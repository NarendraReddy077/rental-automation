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Main" sheetId="1" state="visible" r:id="rId1"/>
  </sheets>
  <definedNames/>
  <calcPr calcId="191029" fullCalcOnLoad="1" concurrentManualCount="12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Aptos Narrow"/>
      <family val="2"/>
      <b val="1"/>
      <color theme="1"/>
      <sz val="11"/>
      <scheme val="minor"/>
    </font>
    <font>
      <name val="Arial"/>
      <family val="2"/>
      <sz val="10"/>
    </font>
    <font>
      <name val="Aptos Narrow"/>
      <family val="2"/>
      <sz val="8"/>
      <scheme val="minor"/>
    </font>
    <font>
      <name val="Consolas"/>
      <family val="3"/>
      <b val="1"/>
      <sz val="9.9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0" fontId="2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15" fontId="0" fillId="0" borderId="1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tabSelected="1" topLeftCell="A28" workbookViewId="0">
      <selection activeCell="B33" sqref="B33"/>
    </sheetView>
  </sheetViews>
  <sheetFormatPr baseColWidth="8" defaultRowHeight="14.5"/>
  <cols>
    <col width="43.90625" bestFit="1" customWidth="1" min="1" max="1"/>
    <col width="13.6328125" bestFit="1" customWidth="1" min="2" max="2"/>
  </cols>
  <sheetData>
    <row r="1" ht="15.5" customHeight="1">
      <c r="A1" s="1" t="inlineStr">
        <is>
          <t>Field Name</t>
        </is>
      </c>
      <c r="B1" s="1" t="inlineStr">
        <is>
          <t>Sample Value</t>
        </is>
      </c>
    </row>
    <row r="2">
      <c r="A2" s="2" t="inlineStr">
        <is>
          <t>Lease ID</t>
        </is>
      </c>
      <c r="B2" s="3" t="inlineStr">
        <is>
          <t>LEASE-001</t>
        </is>
      </c>
    </row>
    <row r="3">
      <c r="A3" s="2" t="inlineStr">
        <is>
          <t>REU Name</t>
        </is>
      </c>
      <c r="B3" s="3" t="inlineStr">
        <is>
          <t>IN-BANN2</t>
        </is>
      </c>
    </row>
    <row r="4">
      <c r="A4" s="2" t="inlineStr">
        <is>
          <t>Lease Type</t>
        </is>
      </c>
      <c r="B4" s="3" t="inlineStr">
        <is>
          <t>Office</t>
        </is>
      </c>
    </row>
    <row r="5">
      <c r="A5" s="2" t="inlineStr">
        <is>
          <t>Building Name</t>
        </is>
      </c>
      <c r="B5" s="3" t="inlineStr">
        <is>
          <t>Nalapad</t>
        </is>
      </c>
    </row>
    <row r="6">
      <c r="A6" s="2" t="inlineStr">
        <is>
          <t>City</t>
        </is>
      </c>
      <c r="B6" s="3" t="inlineStr">
        <is>
          <t>Bangalore</t>
        </is>
      </c>
    </row>
    <row r="7">
      <c r="A7" s="2" t="inlineStr">
        <is>
          <t>Country</t>
        </is>
      </c>
      <c r="B7" s="3" t="inlineStr">
        <is>
          <t>India</t>
        </is>
      </c>
    </row>
    <row r="8">
      <c r="A8" s="2" t="inlineStr">
        <is>
          <t>Currency</t>
        </is>
      </c>
      <c r="B8" s="3" t="inlineStr">
        <is>
          <t>INR</t>
        </is>
      </c>
    </row>
    <row r="9">
      <c r="A9" s="2" t="inlineStr">
        <is>
          <t>Chargeable Area Sqft</t>
        </is>
      </c>
      <c r="B9" s="3" t="n">
        <v>29750</v>
      </c>
    </row>
    <row r="10">
      <c r="A10" s="2" t="inlineStr">
        <is>
          <t>Chargeable Area Sqm</t>
        </is>
      </c>
      <c r="B10" s="3">
        <f>B9/10.764</f>
        <v/>
      </c>
    </row>
    <row r="11">
      <c r="A11" s="2" t="inlineStr">
        <is>
          <t>Parking Slots</t>
        </is>
      </c>
      <c r="B11" s="3" t="n">
        <v>0</v>
      </c>
    </row>
    <row r="12">
      <c r="A12" s="2" t="inlineStr">
        <is>
          <t>Agreement Start Date</t>
        </is>
      </c>
      <c r="B12" s="10" t="n">
        <v>46246</v>
      </c>
    </row>
    <row r="13">
      <c r="A13" s="2" t="inlineStr">
        <is>
          <t>Agreement End Date</t>
        </is>
      </c>
      <c r="B13" s="10" t="n">
        <v>48071</v>
      </c>
    </row>
    <row r="14">
      <c r="A14" s="2" t="inlineStr">
        <is>
          <t>Rent Start Date</t>
        </is>
      </c>
      <c r="B14" s="10" t="n">
        <v>46246</v>
      </c>
    </row>
    <row r="15">
      <c r="A15" s="2" t="inlineStr">
        <is>
          <t>Lease Term Months</t>
        </is>
      </c>
      <c r="B15" s="3">
        <f>(B13-B12)/365*12</f>
        <v/>
      </c>
    </row>
    <row r="16">
      <c r="A16" s="2" t="inlineStr">
        <is>
          <t>Lock-in Period Months</t>
        </is>
      </c>
      <c r="B16" s="3" t="n">
        <v>36</v>
      </c>
    </row>
    <row r="17">
      <c r="A17" s="2" t="inlineStr">
        <is>
          <t>Rent Per Sqft</t>
        </is>
      </c>
      <c r="B17" s="3" t="n">
        <v>69</v>
      </c>
    </row>
    <row r="18">
      <c r="A18" s="2" t="inlineStr">
        <is>
          <t>Escalation %</t>
        </is>
      </c>
      <c r="B18" s="4" t="n">
        <v>0.15</v>
      </c>
    </row>
    <row r="19">
      <c r="A19" s="2" t="inlineStr">
        <is>
          <t>Escalation Frequency Months</t>
        </is>
      </c>
      <c r="B19" s="13" t="n">
        <v>36</v>
      </c>
    </row>
    <row r="20">
      <c r="A20" s="2" t="inlineStr">
        <is>
          <t>Billing Frequency</t>
        </is>
      </c>
      <c r="B20" s="3" t="inlineStr">
        <is>
          <t>Monthly</t>
        </is>
      </c>
    </row>
    <row r="21">
      <c r="A21" s="2" t="inlineStr">
        <is>
          <t>Security Deposit Months</t>
        </is>
      </c>
      <c r="B21" s="3" t="n">
        <v>6</v>
      </c>
    </row>
    <row r="22">
      <c r="A22" s="2" t="inlineStr">
        <is>
          <t>Security Deposit Amount</t>
        </is>
      </c>
      <c r="B22" s="5" t="n">
        <v>16869000</v>
      </c>
    </row>
    <row r="23">
      <c r="A23" s="2" t="inlineStr">
        <is>
          <t>Fitout Cost</t>
        </is>
      </c>
      <c r="B23" s="3" t="n">
        <v>0</v>
      </c>
    </row>
    <row r="24">
      <c r="A24" s="2" t="inlineStr">
        <is>
          <t>CAM per Sq ft</t>
        </is>
      </c>
      <c r="B24" s="3" t="n">
        <v>13</v>
      </c>
    </row>
    <row r="25">
      <c r="A25" s="2" t="inlineStr">
        <is>
          <t>CAM Escalation %</t>
        </is>
      </c>
      <c r="B25" s="15" t="n">
        <v>0.05</v>
      </c>
    </row>
    <row r="26">
      <c r="A26" s="2" t="inlineStr">
        <is>
          <t>Escalation Frequency Months</t>
        </is>
      </c>
      <c r="B26" s="3" t="n">
        <v>12</v>
      </c>
    </row>
    <row r="27">
      <c r="A27" s="2" t="inlineStr">
        <is>
          <t>Useful Life Years</t>
        </is>
      </c>
      <c r="B27" s="3" t="n">
        <v>5</v>
      </c>
    </row>
    <row r="28">
      <c r="A28" s="6" t="inlineStr">
        <is>
          <t>Cost of Capital</t>
        </is>
      </c>
      <c r="B28" s="11" t="n">
        <v>0.105</v>
      </c>
    </row>
    <row r="29">
      <c r="A29" s="7" t="inlineStr">
        <is>
          <t>Maintenance Security Deposit (number of months)</t>
        </is>
      </c>
    </row>
    <row r="30">
      <c r="A30" s="8" t="inlineStr">
        <is>
          <t>Addnl.Deposit -energy(Refundable)</t>
        </is>
      </c>
      <c r="B30" s="9" t="n">
        <v>0</v>
      </c>
    </row>
    <row r="31">
      <c r="A31" s="12" t="inlineStr">
        <is>
          <t>Imputed Interest Rate</t>
        </is>
      </c>
      <c r="B31" s="11" t="n">
        <v>0.0711</v>
      </c>
    </row>
    <row r="32">
      <c r="A32" s="7" t="inlineStr">
        <is>
          <t>No. of 4 wheelers</t>
        </is>
      </c>
      <c r="B32" t="n">
        <v>60</v>
      </c>
    </row>
    <row r="33">
      <c r="A33" s="7" t="inlineStr">
        <is>
          <t>Rate per 4 wheeler</t>
        </is>
      </c>
      <c r="B33" t="n">
        <v>4700</v>
      </c>
    </row>
    <row r="34">
      <c r="A34" s="7" t="inlineStr">
        <is>
          <t>No. of 2 wheelers</t>
        </is>
      </c>
      <c r="B34" t="n">
        <v>0</v>
      </c>
    </row>
    <row r="35">
      <c r="A35" s="7" t="inlineStr">
        <is>
          <t>Rate per 2 wheeler</t>
        </is>
      </c>
      <c r="B35" t="n">
        <v>0</v>
      </c>
    </row>
    <row r="36" customFormat="1" s="7">
      <c r="A36" s="7" t="inlineStr">
        <is>
          <t>Parking Escalation %</t>
        </is>
      </c>
      <c r="B36" s="14" t="n">
        <v>0.15</v>
      </c>
    </row>
    <row r="37" customFormat="1" s="7">
      <c r="A37" s="7" t="inlineStr">
        <is>
          <t>Parking Escalation Frequency Months</t>
        </is>
      </c>
      <c r="B37" t="n">
        <v>36</v>
      </c>
    </row>
    <row r="38">
      <c r="A38" s="12" t="inlineStr">
        <is>
          <t>Exchange Rate</t>
        </is>
      </c>
      <c r="B38" t="n">
        <v>110.5</v>
      </c>
    </row>
    <row r="39">
      <c r="A39" s="12" t="inlineStr">
        <is>
          <t>PM Cost Over Lease</t>
        </is>
      </c>
      <c r="B39" t="n">
        <v>0</v>
      </c>
    </row>
    <row r="40">
      <c r="A40" s="12" t="inlineStr">
        <is>
          <t>Fitout Phase 1 Cost</t>
        </is>
      </c>
      <c r="B40" t="n">
        <v>5000000</v>
      </c>
    </row>
    <row r="41">
      <c r="A41" s="12" t="inlineStr">
        <is>
          <t>Fitout Phase 2 Cost</t>
        </is>
      </c>
      <c r="B41" t="n">
        <v>0</v>
      </c>
    </row>
    <row r="42">
      <c r="A42" s="12" t="inlineStr">
        <is>
          <t>Fitout Phase 3 Cost</t>
        </is>
      </c>
      <c r="B42" t="n">
        <v>0</v>
      </c>
    </row>
    <row r="43">
      <c r="A43" s="12" t="inlineStr">
        <is>
          <t>Capex FY2026</t>
        </is>
      </c>
      <c r="B43" t="n">
        <v>0</v>
      </c>
    </row>
    <row r="44">
      <c r="A44" s="12" t="inlineStr">
        <is>
          <t>Capex FY2027</t>
        </is>
      </c>
      <c r="B44" t="n">
        <v>0</v>
      </c>
    </row>
    <row r="45">
      <c r="A45" s="12" t="inlineStr">
        <is>
          <t>Capex FY2028</t>
        </is>
      </c>
      <c r="B45" t="n">
        <v>0</v>
      </c>
    </row>
    <row r="46">
      <c r="A46" s="12" t="inlineStr">
        <is>
          <t>Capex FY2029</t>
        </is>
      </c>
      <c r="B46" t="n">
        <v>0</v>
      </c>
    </row>
    <row r="47">
      <c r="A47" s="12" t="inlineStr">
        <is>
          <t>Capex FY2030</t>
        </is>
      </c>
      <c r="B47" t="n">
        <v>0</v>
      </c>
    </row>
    <row r="48">
      <c r="A48" s="12" t="inlineStr">
        <is>
          <t>PM FY2026</t>
        </is>
      </c>
      <c r="B48" t="n">
        <v>0</v>
      </c>
    </row>
    <row r="49">
      <c r="A49" s="12" t="inlineStr">
        <is>
          <t>PM FY2027</t>
        </is>
      </c>
      <c r="B49" t="n">
        <v>0</v>
      </c>
    </row>
    <row r="50">
      <c r="A50" s="12" t="inlineStr">
        <is>
          <t>PM FY2028</t>
        </is>
      </c>
      <c r="B50" t="n">
        <v>0</v>
      </c>
    </row>
    <row r="51">
      <c r="A51" s="12" t="inlineStr">
        <is>
          <t>PM FY2029</t>
        </is>
      </c>
      <c r="B51" t="n">
        <v>0</v>
      </c>
    </row>
    <row r="52">
      <c r="A52" s="12" t="inlineStr">
        <is>
          <t>PM FY2030</t>
        </is>
      </c>
      <c r="B52" t="n">
        <v>0</v>
      </c>
    </row>
    <row r="53">
      <c r="A53" s="12" t="inlineStr">
        <is>
          <t>PM FY2031</t>
        </is>
      </c>
      <c r="B53" t="n">
        <v>0</v>
      </c>
    </row>
    <row r="54">
      <c r="A54" t="inlineStr">
        <is>
          <t>Opex Others Per Month</t>
        </is>
      </c>
      <c r="B54" t="n">
        <v>654</v>
      </c>
    </row>
    <row r="55">
      <c r="A55" t="inlineStr">
        <is>
          <t>Opex II Per Month</t>
        </is>
      </c>
      <c r="B55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Dubey, Prathmesh (SRE IWS SBT GVT)</dc:creator>
  <dcterms:created xsi:type="dcterms:W3CDTF">2026-05-18T05:14:25Z</dcterms:created>
  <dcterms:modified xsi:type="dcterms:W3CDTF">2026-06-10T05:45:07Z</dcterms:modified>
  <cp:lastModifiedBy>GAVATAR SRE</cp:lastModifiedBy>
</cp:coreProperties>
</file>