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58AEBA17-9FB0-450A-8653-B18B14DED460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Main" sheetId="1" r:id="rId1"/>
  </sheets>
  <calcPr calcId="191029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0" i="1"/>
</calcChain>
</file>

<file path=xl/sharedStrings.xml><?xml version="1.0" encoding="utf-8"?>
<sst xmlns="http://schemas.openxmlformats.org/spreadsheetml/2006/main" count="65" uniqueCount="64">
  <si>
    <t>Field Name</t>
  </si>
  <si>
    <t>Sample Value</t>
  </si>
  <si>
    <t>Lease ID</t>
  </si>
  <si>
    <t>LEASE-001</t>
  </si>
  <si>
    <t>REU Name</t>
  </si>
  <si>
    <t>IN-BANN2</t>
  </si>
  <si>
    <t>Lease Type</t>
  </si>
  <si>
    <t>Office</t>
  </si>
  <si>
    <t>Building Name</t>
  </si>
  <si>
    <t>City</t>
  </si>
  <si>
    <t>Bangalore</t>
  </si>
  <si>
    <t>Country</t>
  </si>
  <si>
    <t>India</t>
  </si>
  <si>
    <t>Currency</t>
  </si>
  <si>
    <t>INR</t>
  </si>
  <si>
    <t>Chargeable Area Sqft</t>
  </si>
  <si>
    <t>Chargeable Area Sqm</t>
  </si>
  <si>
    <t>Parking Slots</t>
  </si>
  <si>
    <t>Agreement Start Date</t>
  </si>
  <si>
    <t>Agreement End Date</t>
  </si>
  <si>
    <t>Rent Start Date</t>
  </si>
  <si>
    <t>Lease Term Months</t>
  </si>
  <si>
    <t>Lock-in Period Months</t>
  </si>
  <si>
    <t>Rent Per Sqft</t>
  </si>
  <si>
    <t>Escalation %</t>
  </si>
  <si>
    <t>Escalation Frequency Months</t>
  </si>
  <si>
    <t>Billing Frequency</t>
  </si>
  <si>
    <t>Monthly</t>
  </si>
  <si>
    <t>Security Deposit Months</t>
  </si>
  <si>
    <t>Security Deposit Amount</t>
  </si>
  <si>
    <t>Fitout Cost</t>
  </si>
  <si>
    <t>CAM per Sq ft</t>
  </si>
  <si>
    <t>CAM Escalation %</t>
  </si>
  <si>
    <t>Useful Life Years</t>
  </si>
  <si>
    <t>Cost of Capital</t>
  </si>
  <si>
    <t>Maintenance Security Deposit (number of months)</t>
  </si>
  <si>
    <t>Addnl.Deposit -energy(Refundable)</t>
  </si>
  <si>
    <t>Imputed Interest Rate</t>
  </si>
  <si>
    <t>No. of 4 wheelers</t>
  </si>
  <si>
    <t>Rate per 4 wheeler</t>
  </si>
  <si>
    <t>No. of 2 wheelers</t>
  </si>
  <si>
    <t>Rate per 2 wheeler</t>
  </si>
  <si>
    <t>Parking Escalation %</t>
  </si>
  <si>
    <t>Parking Escalation Frequency Months</t>
  </si>
  <si>
    <t>Exchange Rate</t>
  </si>
  <si>
    <t>PM Cost Over Lease</t>
  </si>
  <si>
    <t>Fitout Phase 1 Cost</t>
  </si>
  <si>
    <t>Fitout Phase 2 Cost</t>
  </si>
  <si>
    <t>Fitout Phase 3 Cost</t>
  </si>
  <si>
    <t>Capex FY2026</t>
  </si>
  <si>
    <t>Capex FY2027</t>
  </si>
  <si>
    <t>Capex FY2028</t>
  </si>
  <si>
    <t>Capex FY2029</t>
  </si>
  <si>
    <t>Capex FY2030</t>
  </si>
  <si>
    <t>PM FY2026</t>
  </si>
  <si>
    <t>PM FY2027</t>
  </si>
  <si>
    <t>PM FY2028</t>
  </si>
  <si>
    <t>PM FY2029</t>
  </si>
  <si>
    <t>PM FY2030</t>
  </si>
  <si>
    <t>PM FY2031</t>
  </si>
  <si>
    <t>Opex Others Per Month</t>
  </si>
  <si>
    <t>Opex II Per Month</t>
  </si>
  <si>
    <t>Nalapad Bridage</t>
  </si>
  <si>
    <t>ARO rate per sq 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</si>
</sst>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b/>
      <sz val="9.9"/>
      <name val="Consolas"/>
      <family val="3"/>
    </font>
    <font>
      <b/>
      <sz val="11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0" fillId="0" borderId="1" xfId="0" applyBorder="1"/>
    <xf numFmtId="10" fontId="0" fillId="0" borderId="1" xfId="0" applyNumberFormat="1" applyBorder="1"/>
    <xf numFmtId="3" fontId="0" fillId="0" borderId="1" xfId="0" applyNumberFormat="1" applyBorder="1"/>
    <xf numFmtId="0" fontId="2" fillId="0" borderId="2" xfId="0" applyFont="1" applyBorder="1"/>
    <xf numFmtId="0" fontId="3" fillId="0" borderId="0" xfId="0" applyFont="1"/>
    <xf numFmtId="0" fontId="3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15" fontId="0" fillId="0" borderId="1" xfId="0" applyNumberFormat="1" applyBorder="1"/>
    <xf numFmtId="10" fontId="0" fillId="0" borderId="0" xfId="0" applyNumberFormat="1"/>
    <xf numFmtId="0" fontId="5" fillId="0" borderId="0" xfId="0" applyFont="1"/>
    <xf numFmtId="2" fontId="0" fillId="0" borderId="1" xfId="0" applyNumberFormat="1" applyBorder="1"/>
    <xf numFmtId="9" fontId="0" fillId="0" borderId="0" xfId="0" applyNumberFormat="1"/>
    <xf numFmtId="9" fontId="0" fillId="0" borderId="1" xfId="0" applyNumberFormat="1" applyBorder="1"/>
    <xf numFmtId="0" fontId="0" fillId="0" borderId="3" xfId="0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6"/>
  <sheetViews>
    <sheetView tabSelected="1" topLeftCell="A38" workbookViewId="0">
      <selection activeCell="A56" sqref="A56"/>
    </sheetView>
  </sheetViews>
  <sheetFormatPr defaultRowHeight="14.5" x14ac:dyDescent="0.35"/>
  <cols>
    <col min="1" max="1" width="43.90625" bestFit="1" customWidth="1"/>
    <col min="2" max="2" width="13.6328125" bestFit="1" customWidth="1"/>
  </cols>
  <sheetData>
    <row r="1" spans="1:2" ht="15.5" customHeight="1" x14ac:dyDescent="0.35">
      <c r="A1" s="1" t="s">
        <v>0</v>
      </c>
      <c r="B1" s="1" t="s">
        <v>1</v>
      </c>
    </row>
    <row r="2" spans="1:2" x14ac:dyDescent="0.35">
      <c r="A2" s="2" t="s">
        <v>2</v>
      </c>
      <c r="B2" s="3" t="s">
        <v>3</v>
      </c>
    </row>
    <row r="3" spans="1:2" x14ac:dyDescent="0.35">
      <c r="A3" s="2" t="s">
        <v>4</v>
      </c>
      <c r="B3" s="3" t="s">
        <v>5</v>
      </c>
    </row>
    <row r="4" spans="1:2" x14ac:dyDescent="0.35">
      <c r="A4" s="2" t="s">
        <v>6</v>
      </c>
      <c r="B4" s="3" t="s">
        <v>7</v>
      </c>
    </row>
    <row r="5" spans="1:2" x14ac:dyDescent="0.35">
      <c r="A5" s="2" t="s">
        <v>8</v>
      </c>
      <c r="B5" s="3" t="s">
        <v>62</v>
      </c>
    </row>
    <row r="6" spans="1:2" x14ac:dyDescent="0.35">
      <c r="A6" s="2" t="s">
        <v>9</v>
      </c>
      <c r="B6" s="3" t="s">
        <v>10</v>
      </c>
    </row>
    <row r="7" spans="1:2" x14ac:dyDescent="0.35">
      <c r="A7" s="2" t="s">
        <v>11</v>
      </c>
      <c r="B7" s="3" t="s">
        <v>12</v>
      </c>
    </row>
    <row r="8" spans="1:2" x14ac:dyDescent="0.35">
      <c r="A8" s="2" t="s">
        <v>13</v>
      </c>
      <c r="B8" s="3" t="s">
        <v>14</v>
      </c>
    </row>
    <row r="9" spans="1:2" x14ac:dyDescent="0.35">
      <c r="A9" s="2" t="s">
        <v>15</v>
      </c>
      <c r="B9" s="3">
        <v>28440</v>
      </c>
    </row>
    <row r="10" spans="1:2" x14ac:dyDescent="0.35">
      <c r="A10" s="2" t="s">
        <v>16</v>
      </c>
      <c r="B10" s="3">
        <f>B9/10.764</f>
        <v>2642.1404682274251</v>
      </c>
    </row>
    <row r="11" spans="1:2" x14ac:dyDescent="0.35">
      <c r="A11" s="2" t="s">
        <v>17</v>
      </c>
      <c r="B11" s="3">
        <v>0</v>
      </c>
    </row>
    <row r="12" spans="1:2" x14ac:dyDescent="0.35">
      <c r="A12" s="2" t="s">
        <v>18</v>
      </c>
      <c r="B12" s="10">
        <v>45947</v>
      </c>
    </row>
    <row r="13" spans="1:2" x14ac:dyDescent="0.35">
      <c r="A13" s="2" t="s">
        <v>19</v>
      </c>
      <c r="B13" s="10">
        <v>47042</v>
      </c>
    </row>
    <row r="14" spans="1:2" x14ac:dyDescent="0.35">
      <c r="A14" s="2" t="s">
        <v>20</v>
      </c>
      <c r="B14" s="10">
        <v>45947</v>
      </c>
    </row>
    <row r="15" spans="1:2" x14ac:dyDescent="0.35">
      <c r="A15" s="2" t="s">
        <v>21</v>
      </c>
      <c r="B15" s="3">
        <f>(B13-B12)/365*12</f>
        <v>36</v>
      </c>
    </row>
    <row r="16" spans="1:2" x14ac:dyDescent="0.35">
      <c r="A16" s="2" t="s">
        <v>22</v>
      </c>
      <c r="B16" s="3">
        <v>36</v>
      </c>
    </row>
    <row r="17" spans="1:2" x14ac:dyDescent="0.35">
      <c r="A17" s="2" t="s">
        <v>23</v>
      </c>
      <c r="B17" s="3">
        <v>69</v>
      </c>
    </row>
    <row r="18" spans="1:2" x14ac:dyDescent="0.35">
      <c r="A18" s="2" t="s">
        <v>24</v>
      </c>
      <c r="B18" s="4">
        <v>0.15</v>
      </c>
    </row>
    <row r="19" spans="1:2" x14ac:dyDescent="0.35">
      <c r="A19" s="2" t="s">
        <v>25</v>
      </c>
      <c r="B19" s="13">
        <v>36</v>
      </c>
    </row>
    <row r="20" spans="1:2" x14ac:dyDescent="0.35">
      <c r="A20" s="2" t="s">
        <v>26</v>
      </c>
      <c r="B20" s="3" t="s">
        <v>27</v>
      </c>
    </row>
    <row r="21" spans="1:2" x14ac:dyDescent="0.35">
      <c r="A21" s="2" t="s">
        <v>28</v>
      </c>
      <c r="B21" s="3">
        <v>10</v>
      </c>
    </row>
    <row r="22" spans="1:2" x14ac:dyDescent="0.35">
      <c r="A22" s="2" t="s">
        <v>29</v>
      </c>
      <c r="B22" s="5">
        <v>18464000</v>
      </c>
    </row>
    <row r="23" spans="1:2" x14ac:dyDescent="0.35">
      <c r="A23" s="2" t="s">
        <v>30</v>
      </c>
      <c r="B23" s="3">
        <v>0</v>
      </c>
    </row>
    <row r="24" spans="1:2" x14ac:dyDescent="0.35">
      <c r="A24" s="2" t="s">
        <v>31</v>
      </c>
      <c r="B24" s="3">
        <v>10</v>
      </c>
    </row>
    <row r="25" spans="1:2" x14ac:dyDescent="0.35">
      <c r="A25" s="2" t="s">
        <v>32</v>
      </c>
      <c r="B25" s="15">
        <v>0.05</v>
      </c>
    </row>
    <row r="26" spans="1:2" x14ac:dyDescent="0.35">
      <c r="A26" s="2" t="s">
        <v>25</v>
      </c>
      <c r="B26" s="3">
        <v>12</v>
      </c>
    </row>
    <row r="27" spans="1:2" x14ac:dyDescent="0.35">
      <c r="A27" s="2" t="s">
        <v>33</v>
      </c>
      <c r="B27" s="3">
        <v>0</v>
      </c>
    </row>
    <row r="28" spans="1:2" x14ac:dyDescent="0.35">
      <c r="A28" s="6" t="s">
        <v>34</v>
      </c>
      <c r="B28" s="11">
        <v>0.105</v>
      </c>
    </row>
    <row r="29" spans="1:2" x14ac:dyDescent="0.35">
      <c r="A29" s="7" t="s">
        <v>35</v>
      </c>
      <c r="B29" s="16">
        <v>0</v>
      </c>
    </row>
    <row r="30" spans="1:2" x14ac:dyDescent="0.35">
      <c r="A30" s="8" t="s">
        <v>36</v>
      </c>
      <c r="B30" s="9">
        <v>0</v>
      </c>
    </row>
    <row r="31" spans="1:2" x14ac:dyDescent="0.35">
      <c r="A31" s="12" t="s">
        <v>37</v>
      </c>
      <c r="B31" s="11">
        <v>0.01</v>
      </c>
    </row>
    <row r="32" spans="1:2" x14ac:dyDescent="0.35">
      <c r="A32" s="7" t="s">
        <v>38</v>
      </c>
      <c r="B32">
        <v>35</v>
      </c>
    </row>
    <row r="33" spans="1:2" x14ac:dyDescent="0.35">
      <c r="A33" s="7" t="s">
        <v>39</v>
      </c>
      <c r="B33">
        <v>4600</v>
      </c>
    </row>
    <row r="34" spans="1:2" x14ac:dyDescent="0.35">
      <c r="A34" s="7" t="s">
        <v>40</v>
      </c>
      <c r="B34">
        <v>0</v>
      </c>
    </row>
    <row r="35" spans="1:2" x14ac:dyDescent="0.35">
      <c r="A35" s="7" t="s">
        <v>41</v>
      </c>
      <c r="B35">
        <v>0</v>
      </c>
    </row>
    <row r="36" spans="1:2" s="7" customFormat="1" x14ac:dyDescent="0.35">
      <c r="A36" s="7" t="s">
        <v>42</v>
      </c>
      <c r="B36" s="14">
        <v>0</v>
      </c>
    </row>
    <row r="37" spans="1:2" s="7" customFormat="1" x14ac:dyDescent="0.35">
      <c r="A37" s="7" t="s">
        <v>43</v>
      </c>
      <c r="B37">
        <v>0</v>
      </c>
    </row>
    <row r="38" spans="1:2" x14ac:dyDescent="0.35">
      <c r="A38" s="12" t="s">
        <v>44</v>
      </c>
      <c r="B38">
        <v>110</v>
      </c>
    </row>
    <row r="39" spans="1:2" x14ac:dyDescent="0.35">
      <c r="A39" s="12" t="s">
        <v>45</v>
      </c>
      <c r="B39">
        <v>0</v>
      </c>
    </row>
    <row r="40" spans="1:2" x14ac:dyDescent="0.35">
      <c r="A40" s="12" t="s">
        <v>46</v>
      </c>
      <c r="B40">
        <v>0</v>
      </c>
    </row>
    <row r="41" spans="1:2" x14ac:dyDescent="0.35">
      <c r="A41" s="12" t="s">
        <v>47</v>
      </c>
      <c r="B41">
        <v>0</v>
      </c>
    </row>
    <row r="42" spans="1:2" x14ac:dyDescent="0.35">
      <c r="A42" s="12" t="s">
        <v>48</v>
      </c>
      <c r="B42">
        <v>0</v>
      </c>
    </row>
    <row r="43" spans="1:2" x14ac:dyDescent="0.35">
      <c r="A43" s="12" t="s">
        <v>49</v>
      </c>
      <c r="B43">
        <v>0</v>
      </c>
    </row>
    <row r="44" spans="1:2" x14ac:dyDescent="0.35">
      <c r="A44" s="12" t="s">
        <v>50</v>
      </c>
      <c r="B44">
        <v>0</v>
      </c>
    </row>
    <row r="45" spans="1:2" x14ac:dyDescent="0.35">
      <c r="A45" s="12" t="s">
        <v>51</v>
      </c>
      <c r="B45">
        <v>0</v>
      </c>
    </row>
    <row r="46" spans="1:2" x14ac:dyDescent="0.35">
      <c r="A46" s="12" t="s">
        <v>52</v>
      </c>
      <c r="B46">
        <v>0</v>
      </c>
    </row>
    <row r="47" spans="1:2" x14ac:dyDescent="0.35">
      <c r="A47" s="12" t="s">
        <v>53</v>
      </c>
      <c r="B47">
        <v>0</v>
      </c>
    </row>
    <row r="48" spans="1:2" x14ac:dyDescent="0.35">
      <c r="A48" s="12" t="s">
        <v>54</v>
      </c>
      <c r="B48">
        <v>0</v>
      </c>
    </row>
    <row r="49" spans="1:2" x14ac:dyDescent="0.35">
      <c r="A49" s="12" t="s">
        <v>55</v>
      </c>
      <c r="B49">
        <v>0</v>
      </c>
    </row>
    <row r="50" spans="1:2" x14ac:dyDescent="0.35">
      <c r="A50" s="12" t="s">
        <v>56</v>
      </c>
      <c r="B50">
        <v>0</v>
      </c>
    </row>
    <row r="51" spans="1:2" x14ac:dyDescent="0.35">
      <c r="A51" s="12" t="s">
        <v>57</v>
      </c>
      <c r="B51">
        <v>0</v>
      </c>
    </row>
    <row r="52" spans="1:2" x14ac:dyDescent="0.35">
      <c r="A52" s="12" t="s">
        <v>58</v>
      </c>
      <c r="B52">
        <v>0</v>
      </c>
    </row>
    <row r="53" spans="1:2" x14ac:dyDescent="0.35">
      <c r="A53" s="12" t="s">
        <v>59</v>
      </c>
      <c r="B53">
        <v>0</v>
      </c>
    </row>
    <row r="54" spans="1:2" x14ac:dyDescent="0.35">
      <c r="A54" t="s">
        <v>60</v>
      </c>
      <c r="B54">
        <v>0</v>
      </c>
    </row>
    <row r="55" spans="1:2" x14ac:dyDescent="0.35">
      <c r="A55" t="s">
        <v>61</v>
      </c>
      <c r="B55">
        <v>0</v>
      </c>
    </row>
    <row r="56" spans="1:2" x14ac:dyDescent="0.35">
      <c r="A56" s="17" t="s">
        <v>63</v>
      </c>
      <c r="B56">
        <v>82.6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Dubey, Prathmesh (SRE IWS SBT GVT)</dc:creator>
  <cp:lastModifiedBy>GAVATAR SRE</cp:lastModifiedBy>
  <dcterms:created xsi:type="dcterms:W3CDTF">2026-05-18T05:14:25Z</dcterms:created>
  <dcterms:modified xsi:type="dcterms:W3CDTF">2026-06-13T06:16:33Z</dcterms:modified>
</cp:coreProperties>
</file>