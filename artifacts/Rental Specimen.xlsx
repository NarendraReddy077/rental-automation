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507CAAD8-47BA-4061-9A20-68D33B0A793E}" xr6:coauthVersionLast="47" xr6:coauthVersionMax="47" xr10:uidLastSave="{00000000-0000-0000-0000-000000000000}"/>
  <bookViews>
    <workbookView xWindow="-110" yWindow="-110" windowWidth="19420" windowHeight="11500" tabRatio="764" activeTab="2" xr2:uid="{00000000-000D-0000-FFFF-FFFF00000000}"/>
  </bookViews>
  <sheets>
    <sheet name="Main" sheetId="26" r:id="rId1"/>
    <sheet name="Rent Calculation" sheetId="2" r:id="rId2"/>
    <sheet name="Lease Size" sheetId="1" r:id="rId3"/>
    <sheet name="Lease Rent" sheetId="11" r:id="rId4"/>
    <sheet name="CAPEX and PM" sheetId="3" r:id="rId5"/>
    <sheet name="Security Deposit" sheetId="4" r:id="rId6"/>
  </sheets>
  <definedNames>
    <definedName name="NC_ARO_Carrying_Amount">#REF!</definedName>
    <definedName name="PBBT_Intern_Projektabrechnung_Caption" hidden="1">#REF!</definedName>
    <definedName name="_xlnm.Print_Area" localSheetId="1">'Rent Calculation'!$A$1:$R$221</definedName>
    <definedName name="_xlnm.Print_Titles" localSheetId="1">'Rent Calculation'!$1:$6</definedName>
    <definedName name="Waehrung">#REF!</definedName>
  </definedNames>
  <calcPr calcId="191028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1" l="1"/>
  <c r="Q26" i="1"/>
  <c r="F118" i="2"/>
  <c r="G117" i="2"/>
  <c r="G118" i="2" s="1"/>
  <c r="C17" i="4"/>
  <c r="D25" i="4"/>
  <c r="C11" i="4" l="1"/>
  <c r="C10" i="4"/>
  <c r="F152" i="2"/>
  <c r="F151" i="2"/>
  <c r="F149" i="2"/>
  <c r="F65" i="2" l="1"/>
  <c r="F119" i="2"/>
  <c r="F67" i="2"/>
  <c r="I97" i="2"/>
  <c r="F91" i="2"/>
  <c r="F66" i="2"/>
  <c r="F64" i="2"/>
  <c r="F60" i="2"/>
  <c r="B26" i="2"/>
  <c r="B27" i="2"/>
  <c r="G216" i="2"/>
  <c r="G215" i="2"/>
  <c r="G214" i="2"/>
  <c r="G213" i="2"/>
  <c r="G212" i="2"/>
  <c r="G211" i="2"/>
  <c r="G210" i="2"/>
  <c r="P104" i="11"/>
  <c r="P103" i="11"/>
  <c r="P99" i="11"/>
  <c r="P87" i="11"/>
  <c r="P75" i="11"/>
  <c r="P63" i="11"/>
  <c r="P51" i="11"/>
  <c r="P39" i="11"/>
  <c r="I104" i="11"/>
  <c r="I67" i="11"/>
  <c r="I34" i="1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33" i="11"/>
  <c r="I32" i="11"/>
  <c r="I31" i="11"/>
  <c r="H67" i="11" l="1"/>
  <c r="H66" i="11"/>
  <c r="F49" i="2"/>
  <c r="F48" i="2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32" i="2"/>
  <c r="F29" i="2"/>
  <c r="F28" i="2"/>
  <c r="F21" i="2"/>
  <c r="D10" i="1" s="1"/>
  <c r="D11" i="1" s="1"/>
  <c r="E20" i="1"/>
  <c r="E21" i="1"/>
  <c r="E17" i="1"/>
  <c r="E16" i="1"/>
  <c r="E15" i="1"/>
  <c r="E14" i="1"/>
  <c r="E13" i="1"/>
  <c r="E12" i="1"/>
  <c r="Q9" i="1" l="1"/>
  <c r="T9" i="1"/>
  <c r="H26" i="1" s="1"/>
  <c r="F20" i="1"/>
  <c r="F19" i="1"/>
  <c r="B21" i="1"/>
  <c r="B20" i="1"/>
  <c r="B19" i="1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I61" i="2"/>
  <c r="J61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L62" i="3"/>
  <c r="K62" i="3"/>
  <c r="J62" i="3"/>
  <c r="B61" i="3"/>
  <c r="K63" i="3"/>
  <c r="K87" i="3" s="1"/>
  <c r="B60" i="3"/>
  <c r="I87" i="3"/>
  <c r="H87" i="3"/>
  <c r="G87" i="3"/>
  <c r="H22" i="3"/>
  <c r="H21" i="3"/>
  <c r="N27" i="3"/>
  <c r="M27" i="3"/>
  <c r="L27" i="3"/>
  <c r="K27" i="3"/>
  <c r="J27" i="3"/>
  <c r="I27" i="3"/>
  <c r="H27" i="3"/>
  <c r="G27" i="3"/>
  <c r="F22" i="3"/>
  <c r="F21" i="3"/>
  <c r="B19" i="3"/>
  <c r="K19" i="3"/>
  <c r="H19" i="3"/>
  <c r="G19" i="3"/>
  <c r="N18" i="3"/>
  <c r="N19" i="3" s="1"/>
  <c r="M18" i="3"/>
  <c r="M19" i="3" s="1"/>
  <c r="L18" i="3"/>
  <c r="L19" i="3" s="1"/>
  <c r="K18" i="3"/>
  <c r="J18" i="3"/>
  <c r="J19" i="3" s="1"/>
  <c r="I18" i="3"/>
  <c r="I19" i="3" s="1"/>
  <c r="H18" i="3"/>
  <c r="G18" i="3"/>
  <c r="N6" i="3"/>
  <c r="N7" i="3" s="1"/>
  <c r="M6" i="3"/>
  <c r="M7" i="3" s="1"/>
  <c r="E9" i="3"/>
  <c r="B13" i="3" s="1"/>
  <c r="B37" i="3"/>
  <c r="E70" i="3"/>
  <c r="E71" i="3"/>
  <c r="O67" i="3"/>
  <c r="O68" i="3"/>
  <c r="N67" i="3"/>
  <c r="N68" i="3"/>
  <c r="M67" i="3"/>
  <c r="M68" i="3"/>
  <c r="L67" i="3"/>
  <c r="L68" i="3"/>
  <c r="O62" i="3"/>
  <c r="O63" i="3" s="1"/>
  <c r="O87" i="3" s="1"/>
  <c r="O89" i="3" s="1"/>
  <c r="N62" i="3"/>
  <c r="N63" i="3" s="1"/>
  <c r="N87" i="3" s="1"/>
  <c r="M62" i="3"/>
  <c r="M63" i="3"/>
  <c r="M87" i="3" s="1"/>
  <c r="E65" i="3"/>
  <c r="E60" i="3"/>
  <c r="E61" i="3" s="1"/>
  <c r="O57" i="3"/>
  <c r="O58" i="3"/>
  <c r="N57" i="3"/>
  <c r="N58" i="3"/>
  <c r="M57" i="3"/>
  <c r="M58" i="3"/>
  <c r="E55" i="3"/>
  <c r="K57" i="3"/>
  <c r="K58" i="3"/>
  <c r="O52" i="3"/>
  <c r="O53" i="3"/>
  <c r="N52" i="3"/>
  <c r="N53" i="3"/>
  <c r="M52" i="3"/>
  <c r="M53" i="3"/>
  <c r="E50" i="3"/>
  <c r="L52" i="3"/>
  <c r="L53" i="3"/>
  <c r="O47" i="3"/>
  <c r="O48" i="3"/>
  <c r="N47" i="3"/>
  <c r="N48" i="3"/>
  <c r="M47" i="3"/>
  <c r="M48" i="3"/>
  <c r="E45" i="3"/>
  <c r="L47" i="3"/>
  <c r="O42" i="3"/>
  <c r="O43" i="3"/>
  <c r="N42" i="3"/>
  <c r="N43" i="3"/>
  <c r="M42" i="3"/>
  <c r="M43" i="3"/>
  <c r="E40" i="3"/>
  <c r="L57" i="3"/>
  <c r="L58" i="3"/>
  <c r="I52" i="3"/>
  <c r="I53" i="3"/>
  <c r="J52" i="3"/>
  <c r="J53" i="3"/>
  <c r="K52" i="3"/>
  <c r="K53" i="3"/>
  <c r="J57" i="3"/>
  <c r="J58" i="3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B95" i="3"/>
  <c r="F50" i="2"/>
  <c r="I50" i="2" s="1"/>
  <c r="F38" i="2"/>
  <c r="G38" i="2" s="1"/>
  <c r="J33" i="11"/>
  <c r="J34" i="11" s="1"/>
  <c r="A33" i="11"/>
  <c r="F140" i="2"/>
  <c r="G140" i="2" s="1"/>
  <c r="G21" i="2"/>
  <c r="I57" i="3"/>
  <c r="I58" i="3"/>
  <c r="B51" i="3"/>
  <c r="B46" i="3"/>
  <c r="I47" i="3"/>
  <c r="I48" i="3"/>
  <c r="K47" i="3"/>
  <c r="K48" i="3"/>
  <c r="J47" i="3"/>
  <c r="J48" i="3"/>
  <c r="H47" i="3"/>
  <c r="H48" i="3"/>
  <c r="D3" i="11"/>
  <c r="E15" i="3"/>
  <c r="E16" i="3"/>
  <c r="J3" i="11"/>
  <c r="J4" i="11"/>
  <c r="P3" i="11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B22" i="4"/>
  <c r="B23" i="4" s="1"/>
  <c r="C23" i="4" s="1"/>
  <c r="F47" i="2"/>
  <c r="F46" i="2"/>
  <c r="F44" i="2"/>
  <c r="I43" i="2"/>
  <c r="J43" i="2"/>
  <c r="G43" i="2"/>
  <c r="E3" i="11"/>
  <c r="E4" i="11" s="1"/>
  <c r="E5" i="11" s="1"/>
  <c r="E3" i="3"/>
  <c r="B7" i="3"/>
  <c r="Q27" i="1"/>
  <c r="R27" i="1"/>
  <c r="J13" i="1"/>
  <c r="S27" i="1"/>
  <c r="T27" i="1"/>
  <c r="Q28" i="1"/>
  <c r="R28" i="1"/>
  <c r="I13" i="1"/>
  <c r="S28" i="1"/>
  <c r="I14" i="1"/>
  <c r="T28" i="1"/>
  <c r="B15" i="4"/>
  <c r="F81" i="3"/>
  <c r="D24" i="11"/>
  <c r="L1" i="11"/>
  <c r="E23" i="11"/>
  <c r="E22" i="11"/>
  <c r="E24" i="11" s="1"/>
  <c r="E25" i="11" s="1"/>
  <c r="I3" i="11" s="1"/>
  <c r="I4" i="11" s="1"/>
  <c r="I6" i="11" s="1"/>
  <c r="I8" i="11" s="1"/>
  <c r="I10" i="11" s="1"/>
  <c r="R10" i="11" s="1"/>
  <c r="G217" i="2" s="1"/>
  <c r="E19" i="1" s="1"/>
  <c r="N77" i="3"/>
  <c r="N78" i="3"/>
  <c r="M77" i="3"/>
  <c r="M78" i="3"/>
  <c r="N72" i="3"/>
  <c r="N73" i="3"/>
  <c r="M72" i="3"/>
  <c r="M73" i="3"/>
  <c r="L72" i="3"/>
  <c r="L73" i="3"/>
  <c r="K67" i="3"/>
  <c r="K68" i="3"/>
  <c r="L63" i="3"/>
  <c r="L87" i="3" s="1"/>
  <c r="J63" i="3"/>
  <c r="J87" i="3" s="1"/>
  <c r="L48" i="3"/>
  <c r="E66" i="3"/>
  <c r="B75" i="3"/>
  <c r="B70" i="3"/>
  <c r="B65" i="3"/>
  <c r="B55" i="3"/>
  <c r="B50" i="3"/>
  <c r="B45" i="3"/>
  <c r="B40" i="3"/>
  <c r="U27" i="1"/>
  <c r="I21" i="2"/>
  <c r="G7" i="2"/>
  <c r="I28" i="1"/>
  <c r="I48" i="2"/>
  <c r="I28" i="2"/>
  <c r="J28" i="2" s="1"/>
  <c r="I17" i="2"/>
  <c r="C9" i="4"/>
  <c r="I81" i="2"/>
  <c r="J81" i="2" s="1"/>
  <c r="I80" i="2"/>
  <c r="J80" i="2" s="1"/>
  <c r="I76" i="2"/>
  <c r="J76" i="2" s="1"/>
  <c r="I72" i="2"/>
  <c r="J72" i="2" s="1"/>
  <c r="I70" i="2"/>
  <c r="G37" i="2"/>
  <c r="U28" i="1"/>
  <c r="V28" i="1"/>
  <c r="W28" i="1"/>
  <c r="I18" i="1"/>
  <c r="X28" i="1"/>
  <c r="I19" i="1"/>
  <c r="Y28" i="1"/>
  <c r="Z28" i="1"/>
  <c r="I21" i="1"/>
  <c r="V27" i="1"/>
  <c r="J17" i="1"/>
  <c r="W27" i="1"/>
  <c r="J18" i="1"/>
  <c r="X27" i="1"/>
  <c r="J19" i="1"/>
  <c r="Y27" i="1"/>
  <c r="J20" i="1"/>
  <c r="Z27" i="1"/>
  <c r="J21" i="1"/>
  <c r="B87" i="2"/>
  <c r="B88" i="2" s="1"/>
  <c r="B89" i="2" s="1"/>
  <c r="B90" i="2" s="1"/>
  <c r="I42" i="2"/>
  <c r="J42" i="2" s="1"/>
  <c r="I10" i="2"/>
  <c r="C174" i="2"/>
  <c r="C171" i="2"/>
  <c r="C170" i="2"/>
  <c r="C167" i="2"/>
  <c r="C166" i="2"/>
  <c r="B107" i="2"/>
  <c r="B108" i="2" s="1"/>
  <c r="B4" i="3"/>
  <c r="B38" i="3" s="1"/>
  <c r="F86" i="3" s="1"/>
  <c r="F89" i="3" s="1"/>
  <c r="C100" i="2"/>
  <c r="C99" i="2"/>
  <c r="J123" i="2"/>
  <c r="J171" i="2" s="1"/>
  <c r="I123" i="2"/>
  <c r="I171" i="2" s="1"/>
  <c r="G123" i="2"/>
  <c r="G171" i="2" s="1"/>
  <c r="F123" i="2"/>
  <c r="F171" i="2" s="1"/>
  <c r="J132" i="2"/>
  <c r="J174" i="2" s="1"/>
  <c r="J175" i="2" s="1"/>
  <c r="I132" i="2"/>
  <c r="I174" i="2" s="1"/>
  <c r="I175" i="2" s="1"/>
  <c r="G132" i="2"/>
  <c r="G174" i="2" s="1"/>
  <c r="G175" i="2" s="1"/>
  <c r="G183" i="2" s="1"/>
  <c r="F132" i="2"/>
  <c r="F174" i="2" s="1"/>
  <c r="F175" i="2" s="1"/>
  <c r="B127" i="2"/>
  <c r="B128" i="2"/>
  <c r="B129" i="2" s="1"/>
  <c r="B130" i="2" s="1"/>
  <c r="B131" i="2" s="1"/>
  <c r="C101" i="2"/>
  <c r="C98" i="2"/>
  <c r="C97" i="2"/>
  <c r="B111" i="2"/>
  <c r="B112" i="2" s="1"/>
  <c r="B113" i="2" s="1"/>
  <c r="B114" i="2" s="1"/>
  <c r="B115" i="2" s="1"/>
  <c r="B116" i="2" s="1"/>
  <c r="B117" i="2" s="1"/>
  <c r="B118" i="2" s="1"/>
  <c r="B119" i="2" s="1"/>
  <c r="B98" i="2"/>
  <c r="B99" i="2" s="1"/>
  <c r="B100" i="2" s="1"/>
  <c r="B101" i="2" s="1"/>
  <c r="B102" i="2" s="1"/>
  <c r="B103" i="2" s="1"/>
  <c r="I25" i="2"/>
  <c r="I24" i="2"/>
  <c r="J24" i="2" s="1"/>
  <c r="J141" i="2" s="1"/>
  <c r="B33" i="2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50" i="2" s="1"/>
  <c r="B51" i="2" s="1"/>
  <c r="B52" i="2" s="1"/>
  <c r="B53" i="2" s="1"/>
  <c r="B54" i="2" s="1"/>
  <c r="B55" i="2" s="1"/>
  <c r="B56" i="2" s="1"/>
  <c r="B57" i="2" s="1"/>
  <c r="A9" i="1"/>
  <c r="I53" i="2"/>
  <c r="AA18" i="1"/>
  <c r="I56" i="2"/>
  <c r="J56" i="2" s="1"/>
  <c r="I55" i="2"/>
  <c r="J55" i="2" s="1"/>
  <c r="I49" i="2"/>
  <c r="G40" i="2"/>
  <c r="I29" i="2"/>
  <c r="J29" i="2" s="1"/>
  <c r="I40" i="2"/>
  <c r="J40" i="2" s="1"/>
  <c r="I34" i="2"/>
  <c r="J34" i="2" s="1"/>
  <c r="M12" i="3"/>
  <c r="M13" i="3" s="1"/>
  <c r="N12" i="3"/>
  <c r="N13" i="3" s="1"/>
  <c r="G34" i="2"/>
  <c r="C23" i="1"/>
  <c r="F18" i="2"/>
  <c r="I18" i="2" s="1"/>
  <c r="I7" i="2"/>
  <c r="J7" i="2" s="1"/>
  <c r="G189" i="2"/>
  <c r="J189" i="2" s="1"/>
  <c r="I15" i="2"/>
  <c r="I12" i="2"/>
  <c r="I11" i="2"/>
  <c r="I14" i="2"/>
  <c r="I68" i="2"/>
  <c r="I22" i="2"/>
  <c r="J22" i="2" s="1"/>
  <c r="J20" i="2"/>
  <c r="J97" i="2"/>
  <c r="J45" i="2"/>
  <c r="J33" i="2"/>
  <c r="I142" i="2"/>
  <c r="F142" i="2"/>
  <c r="I20" i="2"/>
  <c r="G56" i="2"/>
  <c r="G55" i="2"/>
  <c r="G42" i="2"/>
  <c r="G33" i="2"/>
  <c r="G29" i="2"/>
  <c r="G28" i="2"/>
  <c r="F141" i="2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4" i="2"/>
  <c r="G141" i="2" s="1"/>
  <c r="F211" i="2"/>
  <c r="F212" i="2" s="1"/>
  <c r="F213" i="2" s="1"/>
  <c r="F214" i="2" s="1"/>
  <c r="G68" i="2"/>
  <c r="J68" i="2" s="1"/>
  <c r="G72" i="2"/>
  <c r="U37" i="1"/>
  <c r="V37" i="1" s="1"/>
  <c r="G142" i="2"/>
  <c r="J142" i="2"/>
  <c r="B21" i="3"/>
  <c r="B22" i="3" s="1"/>
  <c r="F23" i="2"/>
  <c r="B14" i="4"/>
  <c r="B12" i="4"/>
  <c r="C12" i="4" s="1"/>
  <c r="I69" i="2"/>
  <c r="J69" i="2"/>
  <c r="G69" i="2"/>
  <c r="G30" i="2"/>
  <c r="J30" i="2" s="1"/>
  <c r="F83" i="2"/>
  <c r="I91" i="2" s="1"/>
  <c r="J91" i="2" s="1"/>
  <c r="I30" i="2"/>
  <c r="G97" i="2"/>
  <c r="F78" i="2"/>
  <c r="G78" i="2" s="1"/>
  <c r="G45" i="2"/>
  <c r="G23" i="2"/>
  <c r="F18" i="3"/>
  <c r="F19" i="3" s="1"/>
  <c r="J220" i="2"/>
  <c r="I117" i="2"/>
  <c r="J117" i="2" s="1"/>
  <c r="I118" i="2"/>
  <c r="J118" i="2" s="1"/>
  <c r="I17" i="1"/>
  <c r="H52" i="3"/>
  <c r="H53" i="3"/>
  <c r="G47" i="3"/>
  <c r="G48" i="3"/>
  <c r="I15" i="1"/>
  <c r="I20" i="1"/>
  <c r="E56" i="3"/>
  <c r="B56" i="3"/>
  <c r="A34" i="11"/>
  <c r="A35" i="11" s="1"/>
  <c r="A36" i="11" s="1"/>
  <c r="A37" i="11" s="1"/>
  <c r="A38" i="11" s="1"/>
  <c r="J70" i="2"/>
  <c r="P4" i="11"/>
  <c r="P5" i="11"/>
  <c r="P6" i="11"/>
  <c r="P7" i="11" s="1"/>
  <c r="P8" i="11" s="1"/>
  <c r="P9" i="11" s="1"/>
  <c r="P10" i="11"/>
  <c r="J16" i="1"/>
  <c r="J12" i="1"/>
  <c r="J14" i="1"/>
  <c r="F79" i="2"/>
  <c r="I79" i="2" s="1"/>
  <c r="J79" i="2" s="1"/>
  <c r="J160" i="2" s="1"/>
  <c r="J15" i="1"/>
  <c r="AA27" i="1"/>
  <c r="E51" i="3"/>
  <c r="E46" i="3"/>
  <c r="I12" i="1"/>
  <c r="M4" i="11"/>
  <c r="J5" i="11"/>
  <c r="M3" i="11"/>
  <c r="F36" i="3"/>
  <c r="G36" i="3"/>
  <c r="H36" i="3"/>
  <c r="I36" i="3"/>
  <c r="J36" i="3"/>
  <c r="K36" i="3"/>
  <c r="L36" i="3"/>
  <c r="M36" i="3"/>
  <c r="N36" i="3"/>
  <c r="O36" i="3"/>
  <c r="G2" i="3"/>
  <c r="H2" i="3"/>
  <c r="I2" i="3"/>
  <c r="J2" i="3"/>
  <c r="K2" i="3"/>
  <c r="L2" i="3"/>
  <c r="M2" i="3"/>
  <c r="N2" i="3"/>
  <c r="B23" i="3"/>
  <c r="B83" i="3"/>
  <c r="F36" i="2"/>
  <c r="F39" i="2" s="1"/>
  <c r="I39" i="2" s="1"/>
  <c r="J39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1" i="2" s="1"/>
  <c r="F27" i="2"/>
  <c r="I27" i="2" s="1"/>
  <c r="J27" i="2" s="1"/>
  <c r="E4" i="3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3" i="11"/>
  <c r="F4" i="11" s="1"/>
  <c r="F5" i="11" s="1"/>
  <c r="F6" i="11" s="1"/>
  <c r="F7" i="11" s="1"/>
  <c r="F8" i="11" s="1"/>
  <c r="F9" i="11" s="1"/>
  <c r="F10" i="11" s="1"/>
  <c r="E41" i="3"/>
  <c r="B41" i="3"/>
  <c r="L42" i="3"/>
  <c r="L43" i="3"/>
  <c r="J23" i="1"/>
  <c r="R5" i="11"/>
  <c r="E33" i="11"/>
  <c r="J42" i="3"/>
  <c r="K42" i="3"/>
  <c r="H42" i="3"/>
  <c r="I42" i="3"/>
  <c r="F42" i="3"/>
  <c r="F43" i="3"/>
  <c r="F87" i="3"/>
  <c r="F82" i="3"/>
  <c r="G81" i="3"/>
  <c r="G42" i="3"/>
  <c r="M32" i="11"/>
  <c r="E34" i="11"/>
  <c r="K33" i="11"/>
  <c r="J43" i="3"/>
  <c r="K43" i="3"/>
  <c r="G43" i="3"/>
  <c r="I43" i="3"/>
  <c r="H43" i="3"/>
  <c r="F83" i="3"/>
  <c r="I67" i="2"/>
  <c r="G67" i="2"/>
  <c r="J67" i="2" s="1"/>
  <c r="G82" i="3"/>
  <c r="G83" i="3" s="1"/>
  <c r="H81" i="3"/>
  <c r="H82" i="3" s="1"/>
  <c r="I32" i="2"/>
  <c r="J32" i="2"/>
  <c r="G32" i="2"/>
  <c r="C22" i="4" l="1"/>
  <c r="G91" i="2"/>
  <c r="F160" i="2"/>
  <c r="B28" i="2"/>
  <c r="B29" i="2" s="1"/>
  <c r="B30" i="2" s="1"/>
  <c r="G79" i="2"/>
  <c r="G160" i="2" s="1"/>
  <c r="B96" i="3"/>
  <c r="F100" i="2" s="1"/>
  <c r="G190" i="2"/>
  <c r="G191" i="2" s="1"/>
  <c r="G192" i="2" s="1"/>
  <c r="J192" i="2" s="1"/>
  <c r="I160" i="2"/>
  <c r="F102" i="2"/>
  <c r="G102" i="2" s="1"/>
  <c r="B91" i="2"/>
  <c r="B92" i="2" s="1"/>
  <c r="B93" i="2" s="1"/>
  <c r="B94" i="2" s="1"/>
  <c r="I141" i="2"/>
  <c r="I23" i="2"/>
  <c r="I26" i="2" s="1"/>
  <c r="J26" i="2" s="1"/>
  <c r="T15" i="1"/>
  <c r="F159" i="2"/>
  <c r="Z16" i="1"/>
  <c r="F215" i="2"/>
  <c r="F216" i="2" s="1"/>
  <c r="F217" i="2" s="1"/>
  <c r="F218" i="2" s="1"/>
  <c r="G27" i="2"/>
  <c r="G203" i="2"/>
  <c r="J203" i="2" s="1"/>
  <c r="F54" i="2"/>
  <c r="I54" i="2" s="1"/>
  <c r="J21" i="2"/>
  <c r="J23" i="2" s="1"/>
  <c r="J190" i="2" s="1"/>
  <c r="J191" i="2" s="1"/>
  <c r="T17" i="1"/>
  <c r="Z15" i="1"/>
  <c r="U17" i="1"/>
  <c r="Q16" i="1"/>
  <c r="U16" i="1"/>
  <c r="Y16" i="1"/>
  <c r="Q17" i="1"/>
  <c r="V17" i="1"/>
  <c r="Y17" i="1"/>
  <c r="Z17" i="1"/>
  <c r="G83" i="2"/>
  <c r="R15" i="1"/>
  <c r="V15" i="1"/>
  <c r="V35" i="1"/>
  <c r="I140" i="2"/>
  <c r="J197" i="2" s="1"/>
  <c r="R16" i="1"/>
  <c r="V16" i="1"/>
  <c r="V36" i="1"/>
  <c r="R17" i="1"/>
  <c r="W17" i="1"/>
  <c r="S17" i="1"/>
  <c r="W16" i="1"/>
  <c r="D23" i="4"/>
  <c r="S15" i="1"/>
  <c r="X17" i="1"/>
  <c r="T16" i="1"/>
  <c r="X16" i="1"/>
  <c r="Y15" i="1"/>
  <c r="S16" i="1"/>
  <c r="X15" i="1"/>
  <c r="I36" i="2"/>
  <c r="J36" i="2" s="1"/>
  <c r="B10" i="1"/>
  <c r="B11" i="1" s="1"/>
  <c r="G86" i="3"/>
  <c r="G89" i="3" s="1"/>
  <c r="E10" i="1"/>
  <c r="E11" i="1" s="1"/>
  <c r="F71" i="2"/>
  <c r="G71" i="2" s="1"/>
  <c r="F26" i="2"/>
  <c r="G26" i="2" s="1"/>
  <c r="G25" i="2" s="1"/>
  <c r="J25" i="2" s="1"/>
  <c r="E31" i="11"/>
  <c r="L31" i="11" s="1"/>
  <c r="O39" i="11" s="1"/>
  <c r="G193" i="2"/>
  <c r="J193" i="2" s="1"/>
  <c r="G197" i="2"/>
  <c r="F31" i="11"/>
  <c r="B81" i="3"/>
  <c r="D12" i="1"/>
  <c r="D13" i="1"/>
  <c r="F52" i="2"/>
  <c r="I52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4" i="2"/>
  <c r="G44" i="2"/>
  <c r="U34" i="1"/>
  <c r="V34" i="1" s="1"/>
  <c r="B11" i="4"/>
  <c r="G39" i="2"/>
  <c r="G36" i="2"/>
  <c r="I38" i="2"/>
  <c r="J38" i="2" s="1"/>
  <c r="I51" i="2"/>
  <c r="H3" i="11"/>
  <c r="F41" i="2"/>
  <c r="F10" i="1" s="1"/>
  <c r="F11" i="1" s="1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8" i="2"/>
  <c r="I16" i="1"/>
  <c r="G159" i="2"/>
  <c r="E87" i="3"/>
  <c r="AA28" i="1"/>
  <c r="H83" i="3"/>
  <c r="H86" i="3" s="1"/>
  <c r="H89" i="3" s="1"/>
  <c r="I81" i="3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B97" i="3" l="1"/>
  <c r="I102" i="2"/>
  <c r="J102" i="2" s="1"/>
  <c r="I71" i="2"/>
  <c r="J71" i="2" s="1"/>
  <c r="J194" i="2"/>
  <c r="F220" i="2"/>
  <c r="J140" i="2"/>
  <c r="AA17" i="1"/>
  <c r="J83" i="2"/>
  <c r="G54" i="2"/>
  <c r="G196" i="2" s="1"/>
  <c r="B16" i="4"/>
  <c r="D24" i="4" s="1"/>
  <c r="F101" i="2" s="1"/>
  <c r="I101" i="2" s="1"/>
  <c r="AA16" i="1"/>
  <c r="S6" i="11"/>
  <c r="K31" i="11"/>
  <c r="B82" i="3"/>
  <c r="L6" i="11"/>
  <c r="I100" i="2"/>
  <c r="J100" i="2" s="1"/>
  <c r="G100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4" i="2"/>
  <c r="G41" i="2"/>
  <c r="I41" i="2"/>
  <c r="J41" i="2" s="1"/>
  <c r="J54" i="2"/>
  <c r="J196" i="2" s="1"/>
  <c r="U38" i="1"/>
  <c r="V38" i="1"/>
  <c r="H19" i="11"/>
  <c r="H24" i="11"/>
  <c r="H21" i="11"/>
  <c r="I159" i="2"/>
  <c r="J78" i="2"/>
  <c r="I23" i="1"/>
  <c r="I82" i="3"/>
  <c r="J81" i="3" s="1"/>
  <c r="L13" i="3"/>
  <c r="I6" i="3"/>
  <c r="I7" i="3" s="1"/>
  <c r="H6" i="3"/>
  <c r="H7" i="3" s="1"/>
  <c r="K6" i="3"/>
  <c r="K7" i="3"/>
  <c r="J6" i="3"/>
  <c r="J7" i="3" s="1"/>
  <c r="F77" i="2"/>
  <c r="I77" i="2" s="1"/>
  <c r="I158" i="2" s="1"/>
  <c r="G6" i="3"/>
  <c r="G7" i="3"/>
  <c r="F6" i="3"/>
  <c r="F7" i="3"/>
  <c r="F27" i="3" s="1"/>
  <c r="L6" i="3"/>
  <c r="L7" i="3" s="1"/>
  <c r="B3" i="3"/>
  <c r="G21" i="3"/>
  <c r="I161" i="2" l="1"/>
  <c r="G101" i="2"/>
  <c r="M31" i="11"/>
  <c r="W26" i="1"/>
  <c r="W15" i="1" s="1"/>
  <c r="Q15" i="1"/>
  <c r="D19" i="1"/>
  <c r="D18" i="1"/>
  <c r="M7" i="11"/>
  <c r="J8" i="11"/>
  <c r="S7" i="11"/>
  <c r="E10" i="11"/>
  <c r="L7" i="11"/>
  <c r="I9" i="11"/>
  <c r="M35" i="11"/>
  <c r="H72" i="11"/>
  <c r="J37" i="11"/>
  <c r="L36" i="11"/>
  <c r="E37" i="11"/>
  <c r="K36" i="11"/>
  <c r="M36" i="11" s="1"/>
  <c r="K4" i="11"/>
  <c r="N4" i="11" s="1"/>
  <c r="H6" i="11"/>
  <c r="Q4" i="11"/>
  <c r="T4" i="11" s="1"/>
  <c r="T3" i="11"/>
  <c r="H26" i="11"/>
  <c r="J101" i="2"/>
  <c r="G10" i="1"/>
  <c r="G11" i="1"/>
  <c r="C13" i="4"/>
  <c r="H7" i="11"/>
  <c r="K5" i="11"/>
  <c r="N5" i="11" s="1"/>
  <c r="Q5" i="11"/>
  <c r="T5" i="11" s="1"/>
  <c r="J159" i="2"/>
  <c r="J82" i="3"/>
  <c r="K81" i="3" s="1"/>
  <c r="I83" i="3"/>
  <c r="I86" i="3" s="1"/>
  <c r="I89" i="3" s="1"/>
  <c r="G22" i="3"/>
  <c r="F23" i="3"/>
  <c r="F26" i="3" s="1"/>
  <c r="G26" i="1"/>
  <c r="E27" i="3"/>
  <c r="G77" i="2"/>
  <c r="F75" i="2"/>
  <c r="F158" i="2"/>
  <c r="AA26" i="1" l="1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Q7" i="11"/>
  <c r="T7" i="11" s="1"/>
  <c r="H9" i="11"/>
  <c r="K7" i="11"/>
  <c r="N7" i="11" s="1"/>
  <c r="U3" i="11"/>
  <c r="F89" i="2"/>
  <c r="K6" i="11"/>
  <c r="N6" i="11" s="1"/>
  <c r="H8" i="11"/>
  <c r="Q6" i="11"/>
  <c r="T6" i="11" s="1"/>
  <c r="K82" i="3"/>
  <c r="L81" i="3" s="1"/>
  <c r="J83" i="3"/>
  <c r="J86" i="3" s="1"/>
  <c r="J89" i="3" s="1"/>
  <c r="G23" i="3"/>
  <c r="G26" i="3" s="1"/>
  <c r="F29" i="3"/>
  <c r="K26" i="1"/>
  <c r="I75" i="2"/>
  <c r="J75" i="2" s="1"/>
  <c r="I21" i="3"/>
  <c r="I22" i="3" s="1"/>
  <c r="J77" i="2"/>
  <c r="J158" i="2" s="1"/>
  <c r="J161" i="2" s="1"/>
  <c r="G158" i="2"/>
  <c r="G75" i="2"/>
  <c r="F161" i="2"/>
  <c r="D21" i="1" l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18" i="1"/>
  <c r="R11" i="11"/>
  <c r="K38" i="11"/>
  <c r="N39" i="11" s="1"/>
  <c r="E39" i="11"/>
  <c r="H10" i="11"/>
  <c r="K8" i="11"/>
  <c r="N8" i="11" s="1"/>
  <c r="Q8" i="11"/>
  <c r="AA15" i="1"/>
  <c r="Q9" i="11"/>
  <c r="K9" i="11"/>
  <c r="N9" i="11" s="1"/>
  <c r="I89" i="2"/>
  <c r="J89" i="2" s="1"/>
  <c r="G89" i="2"/>
  <c r="L82" i="3"/>
  <c r="M81" i="3" s="1"/>
  <c r="K83" i="3"/>
  <c r="K86" i="3" s="1"/>
  <c r="H23" i="3"/>
  <c r="H26" i="3" s="1"/>
  <c r="G29" i="3"/>
  <c r="G161" i="2"/>
  <c r="J21" i="3"/>
  <c r="J22" i="3" s="1"/>
  <c r="G21" i="1" l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0" i="2"/>
  <c r="E23" i="1"/>
  <c r="T9" i="11"/>
  <c r="T8" i="11"/>
  <c r="Q10" i="11"/>
  <c r="K10" i="11"/>
  <c r="N10" i="11" s="1"/>
  <c r="L83" i="3"/>
  <c r="L86" i="3" s="1"/>
  <c r="L89" i="3" s="1"/>
  <c r="K89" i="3"/>
  <c r="M82" i="3"/>
  <c r="N81" i="3" s="1"/>
  <c r="H29" i="3"/>
  <c r="I23" i="3"/>
  <c r="I26" i="3" s="1"/>
  <c r="K21" i="3"/>
  <c r="K22" i="3" s="1"/>
  <c r="M39" i="11" l="1"/>
  <c r="H21" i="1"/>
  <c r="Z14" i="1" s="1"/>
  <c r="Z25" i="1" s="1"/>
  <c r="Z30" i="1" s="1"/>
  <c r="K21" i="1"/>
  <c r="L21" i="1" s="1"/>
  <c r="Y25" i="1"/>
  <c r="Y30" i="1" s="1"/>
  <c r="Y22" i="1"/>
  <c r="C210" i="2"/>
  <c r="B12" i="1" s="1"/>
  <c r="J41" i="11"/>
  <c r="L40" i="11"/>
  <c r="G201" i="2"/>
  <c r="E41" i="11"/>
  <c r="K40" i="11"/>
  <c r="H76" i="11"/>
  <c r="J19" i="11"/>
  <c r="K19" i="11" s="1"/>
  <c r="T10" i="11"/>
  <c r="T11" i="11" s="1"/>
  <c r="Q11" i="11"/>
  <c r="M83" i="3"/>
  <c r="M86" i="3" s="1"/>
  <c r="M89" i="3" s="1"/>
  <c r="N82" i="3"/>
  <c r="O81" i="3" s="1"/>
  <c r="L21" i="3"/>
  <c r="J23" i="3"/>
  <c r="J26" i="3" s="1"/>
  <c r="J29" i="3" s="1"/>
  <c r="I29" i="3"/>
  <c r="Z22" i="1" l="1"/>
  <c r="G66" i="2"/>
  <c r="F88" i="2"/>
  <c r="I66" i="2"/>
  <c r="M40" i="11"/>
  <c r="E42" i="11"/>
  <c r="K41" i="11"/>
  <c r="L41" i="11"/>
  <c r="J42" i="11"/>
  <c r="I210" i="2"/>
  <c r="F12" i="1" s="1"/>
  <c r="H77" i="11"/>
  <c r="J201" i="2"/>
  <c r="N83" i="3"/>
  <c r="N86" i="3" s="1"/>
  <c r="O82" i="3"/>
  <c r="O83" i="3" s="1"/>
  <c r="K23" i="3"/>
  <c r="K26" i="3" s="1"/>
  <c r="K29" i="3" s="1"/>
  <c r="L22" i="3"/>
  <c r="M21" i="3" s="1"/>
  <c r="M41" i="11" l="1"/>
  <c r="H78" i="11"/>
  <c r="J66" i="2"/>
  <c r="K42" i="11"/>
  <c r="E43" i="11"/>
  <c r="G152" i="2"/>
  <c r="J152" i="2" s="1"/>
  <c r="I152" i="2"/>
  <c r="G88" i="2"/>
  <c r="I88" i="2"/>
  <c r="J88" i="2" s="1"/>
  <c r="L42" i="11"/>
  <c r="N89" i="3"/>
  <c r="E90" i="3"/>
  <c r="B89" i="3" s="1"/>
  <c r="E86" i="3"/>
  <c r="M22" i="3"/>
  <c r="N21" i="3" s="1"/>
  <c r="L23" i="3"/>
  <c r="L26" i="3" s="1"/>
  <c r="L43" i="11" l="1"/>
  <c r="H79" i="11"/>
  <c r="E44" i="11"/>
  <c r="K43" i="11"/>
  <c r="G12" i="1"/>
  <c r="H12" i="1" s="1"/>
  <c r="M42" i="11"/>
  <c r="B90" i="3"/>
  <c r="B87" i="3"/>
  <c r="F99" i="2"/>
  <c r="L29" i="3"/>
  <c r="M23" i="3"/>
  <c r="M26" i="3" s="1"/>
  <c r="M29" i="3" s="1"/>
  <c r="N22" i="3"/>
  <c r="N23" i="3" s="1"/>
  <c r="N26" i="3" s="1"/>
  <c r="N29" i="3" s="1"/>
  <c r="L44" i="11" l="1"/>
  <c r="J45" i="11"/>
  <c r="H80" i="11"/>
  <c r="M43" i="11"/>
  <c r="E45" i="11"/>
  <c r="K44" i="11"/>
  <c r="Q14" i="1"/>
  <c r="Q25" i="1"/>
  <c r="K12" i="1"/>
  <c r="L12" i="1" s="1"/>
  <c r="G99" i="2"/>
  <c r="I99" i="2"/>
  <c r="J99" i="2" s="1"/>
  <c r="E26" i="3"/>
  <c r="E30" i="3"/>
  <c r="J46" i="11" l="1"/>
  <c r="L45" i="11"/>
  <c r="Q30" i="1"/>
  <c r="K45" i="11"/>
  <c r="M45" i="11" s="1"/>
  <c r="E46" i="11"/>
  <c r="H81" i="11"/>
  <c r="M44" i="11"/>
  <c r="B30" i="3"/>
  <c r="B27" i="3"/>
  <c r="B29" i="3"/>
  <c r="F98" i="2" s="1"/>
  <c r="Q22" i="1" l="1"/>
  <c r="Q23" i="1" s="1"/>
  <c r="H82" i="11"/>
  <c r="E47" i="11"/>
  <c r="K46" i="11"/>
  <c r="L46" i="11"/>
  <c r="J47" i="11"/>
  <c r="G98" i="2"/>
  <c r="I98" i="2"/>
  <c r="F103" i="2"/>
  <c r="J48" i="11" l="1"/>
  <c r="L47" i="11"/>
  <c r="K47" i="11"/>
  <c r="E48" i="11"/>
  <c r="H83" i="11"/>
  <c r="M46" i="11"/>
  <c r="I103" i="2"/>
  <c r="I107" i="2" s="1"/>
  <c r="I167" i="2" s="1"/>
  <c r="J98" i="2"/>
  <c r="J103" i="2" s="1"/>
  <c r="J107" i="2" s="1"/>
  <c r="J167" i="2" s="1"/>
  <c r="F107" i="2"/>
  <c r="G103" i="2"/>
  <c r="M47" i="11" l="1"/>
  <c r="H84" i="11"/>
  <c r="K48" i="11"/>
  <c r="E49" i="11"/>
  <c r="J49" i="11"/>
  <c r="L48" i="11"/>
  <c r="F167" i="2"/>
  <c r="G107" i="2"/>
  <c r="J50" i="11" l="1"/>
  <c r="L49" i="11"/>
  <c r="E50" i="11"/>
  <c r="K49" i="11"/>
  <c r="M48" i="11"/>
  <c r="H85" i="11"/>
  <c r="G167" i="2"/>
  <c r="J51" i="11" l="1"/>
  <c r="L50" i="11"/>
  <c r="H86" i="11"/>
  <c r="M49" i="11"/>
  <c r="K50" i="11"/>
  <c r="N51" i="11" s="1"/>
  <c r="E51" i="11"/>
  <c r="J52" i="11" l="1"/>
  <c r="L51" i="11"/>
  <c r="E52" i="11"/>
  <c r="K51" i="11"/>
  <c r="M50" i="11"/>
  <c r="H87" i="11"/>
  <c r="L52" i="11" l="1"/>
  <c r="J53" i="11"/>
  <c r="H88" i="11"/>
  <c r="M51" i="11"/>
  <c r="E53" i="11"/>
  <c r="K52" i="11"/>
  <c r="I211" i="2"/>
  <c r="F13" i="1" s="1"/>
  <c r="J54" i="11" l="1"/>
  <c r="L53" i="11"/>
  <c r="M52" i="11"/>
  <c r="H89" i="11"/>
  <c r="E54" i="11"/>
  <c r="K53" i="11"/>
  <c r="C211" i="2"/>
  <c r="B13" i="1" s="1"/>
  <c r="M53" i="11" l="1"/>
  <c r="K54" i="11"/>
  <c r="E55" i="11"/>
  <c r="H90" i="11"/>
  <c r="L54" i="11"/>
  <c r="M54" i="11" l="1"/>
  <c r="G13" i="1"/>
  <c r="H13" i="1" s="1"/>
  <c r="H91" i="11"/>
  <c r="L55" i="11"/>
  <c r="E56" i="11"/>
  <c r="K55" i="11"/>
  <c r="K13" i="1" l="1"/>
  <c r="L13" i="1" s="1"/>
  <c r="M55" i="11"/>
  <c r="K56" i="11"/>
  <c r="E57" i="11"/>
  <c r="J57" i="11"/>
  <c r="L56" i="11"/>
  <c r="H92" i="11"/>
  <c r="R14" i="1" l="1"/>
  <c r="R25" i="1" s="1"/>
  <c r="J58" i="11"/>
  <c r="L57" i="11"/>
  <c r="M56" i="11"/>
  <c r="K57" i="11"/>
  <c r="E58" i="11"/>
  <c r="H93" i="11"/>
  <c r="L58" i="11" l="1"/>
  <c r="J59" i="11"/>
  <c r="R22" i="1"/>
  <c r="R23" i="1" s="1"/>
  <c r="H94" i="11"/>
  <c r="K58" i="11"/>
  <c r="E59" i="11"/>
  <c r="M57" i="11"/>
  <c r="E60" i="11" l="1"/>
  <c r="K59" i="11"/>
  <c r="H95" i="11"/>
  <c r="R30" i="1"/>
  <c r="M58" i="11"/>
  <c r="L59" i="11"/>
  <c r="J60" i="11"/>
  <c r="L60" i="11" l="1"/>
  <c r="J61" i="11"/>
  <c r="H96" i="11"/>
  <c r="M59" i="11"/>
  <c r="E61" i="11"/>
  <c r="K60" i="11"/>
  <c r="E62" i="11" l="1"/>
  <c r="K61" i="11"/>
  <c r="H97" i="11"/>
  <c r="M60" i="11"/>
  <c r="J62" i="11"/>
  <c r="L61" i="11"/>
  <c r="L62" i="11" l="1"/>
  <c r="J63" i="11"/>
  <c r="M61" i="11"/>
  <c r="H98" i="11"/>
  <c r="K62" i="11"/>
  <c r="N63" i="11" s="1"/>
  <c r="E63" i="11"/>
  <c r="L63" i="11" l="1"/>
  <c r="J64" i="11"/>
  <c r="E64" i="11"/>
  <c r="K63" i="11"/>
  <c r="M62" i="11"/>
  <c r="H99" i="11"/>
  <c r="J65" i="11" l="1"/>
  <c r="L64" i="11"/>
  <c r="I212" i="2"/>
  <c r="F14" i="1" s="1"/>
  <c r="H100" i="11"/>
  <c r="M63" i="11"/>
  <c r="E65" i="11"/>
  <c r="K64" i="11"/>
  <c r="J66" i="11" l="1"/>
  <c r="L65" i="11"/>
  <c r="M64" i="11"/>
  <c r="K65" i="11"/>
  <c r="M65" i="11" s="1"/>
  <c r="E66" i="11"/>
  <c r="C212" i="2"/>
  <c r="B14" i="1" s="1"/>
  <c r="H101" i="11"/>
  <c r="J67" i="11" l="1"/>
  <c r="L66" i="11"/>
  <c r="H102" i="11"/>
  <c r="E67" i="11"/>
  <c r="K66" i="11"/>
  <c r="J68" i="11" l="1"/>
  <c r="L67" i="11"/>
  <c r="M66" i="11"/>
  <c r="E68" i="11"/>
  <c r="K67" i="11"/>
  <c r="G14" i="1"/>
  <c r="H14" i="1" s="1"/>
  <c r="J69" i="11" l="1"/>
  <c r="L68" i="11"/>
  <c r="K14" i="1"/>
  <c r="L14" i="1" s="1"/>
  <c r="M67" i="11"/>
  <c r="K68" i="11"/>
  <c r="E69" i="11"/>
  <c r="E70" i="11" l="1"/>
  <c r="K69" i="11"/>
  <c r="M68" i="11"/>
  <c r="S14" i="1"/>
  <c r="S25" i="1" s="1"/>
  <c r="J70" i="11"/>
  <c r="L69" i="11"/>
  <c r="E71" i="11" l="1"/>
  <c r="K70" i="11"/>
  <c r="L70" i="11"/>
  <c r="J71" i="11"/>
  <c r="S22" i="1"/>
  <c r="S23" i="1" s="1"/>
  <c r="M69" i="11"/>
  <c r="E72" i="11" l="1"/>
  <c r="K71" i="11"/>
  <c r="S30" i="1"/>
  <c r="M70" i="11"/>
  <c r="L71" i="11"/>
  <c r="J72" i="11"/>
  <c r="L72" i="11" l="1"/>
  <c r="J73" i="11"/>
  <c r="M71" i="11"/>
  <c r="E73" i="11"/>
  <c r="K72" i="11"/>
  <c r="M72" i="11" l="1"/>
  <c r="E74" i="11"/>
  <c r="K73" i="11"/>
  <c r="J74" i="11"/>
  <c r="L73" i="11"/>
  <c r="L74" i="11" l="1"/>
  <c r="J75" i="11"/>
  <c r="M73" i="11"/>
  <c r="E75" i="11"/>
  <c r="K74" i="11"/>
  <c r="N75" i="11" s="1"/>
  <c r="J76" i="11" l="1"/>
  <c r="L75" i="11"/>
  <c r="M74" i="11"/>
  <c r="E76" i="11"/>
  <c r="K75" i="11"/>
  <c r="L76" i="11" l="1"/>
  <c r="J77" i="11"/>
  <c r="M75" i="11"/>
  <c r="E77" i="11"/>
  <c r="K76" i="11"/>
  <c r="I213" i="2"/>
  <c r="F15" i="1" s="1"/>
  <c r="E78" i="11" l="1"/>
  <c r="K77" i="11"/>
  <c r="M76" i="11"/>
  <c r="C213" i="2"/>
  <c r="B15" i="1" s="1"/>
  <c r="J78" i="11"/>
  <c r="L77" i="11"/>
  <c r="M77" i="11" l="1"/>
  <c r="E79" i="11"/>
  <c r="K78" i="11"/>
  <c r="L78" i="11"/>
  <c r="L79" i="11" l="1"/>
  <c r="E80" i="11"/>
  <c r="K79" i="11"/>
  <c r="M78" i="11"/>
  <c r="G15" i="1"/>
  <c r="H15" i="1" s="1"/>
  <c r="M79" i="11" l="1"/>
  <c r="K15" i="1"/>
  <c r="L15" i="1" s="1"/>
  <c r="E81" i="11"/>
  <c r="K80" i="11"/>
  <c r="L80" i="11"/>
  <c r="J81" i="11"/>
  <c r="L81" i="11" l="1"/>
  <c r="J82" i="11"/>
  <c r="E82" i="11"/>
  <c r="K81" i="11"/>
  <c r="M80" i="11"/>
  <c r="T14" i="1"/>
  <c r="T25" i="1" s="1"/>
  <c r="M81" i="11" l="1"/>
  <c r="T22" i="1"/>
  <c r="T23" i="1" s="1"/>
  <c r="E83" i="11"/>
  <c r="K82" i="11"/>
  <c r="J83" i="11"/>
  <c r="L82" i="11"/>
  <c r="J84" i="11" l="1"/>
  <c r="L83" i="11"/>
  <c r="M82" i="11"/>
  <c r="E84" i="11"/>
  <c r="K83" i="11"/>
  <c r="T30" i="1"/>
  <c r="M83" i="11" l="1"/>
  <c r="E85" i="11"/>
  <c r="K84" i="11"/>
  <c r="J85" i="11"/>
  <c r="L84" i="11"/>
  <c r="L85" i="11" l="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4" i="2" l="1"/>
  <c r="F16" i="1" s="1"/>
  <c r="M87" i="11"/>
  <c r="E89" i="11"/>
  <c r="K88" i="11"/>
  <c r="L88" i="11"/>
  <c r="J89" i="11"/>
  <c r="J90" i="11" l="1"/>
  <c r="L89" i="11"/>
  <c r="M88" i="11"/>
  <c r="E90" i="11"/>
  <c r="K89" i="11"/>
  <c r="C214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5" i="2" s="1"/>
  <c r="F17" i="1" s="1"/>
  <c r="J100" i="11"/>
  <c r="M98" i="11"/>
  <c r="L100" i="11" l="1"/>
  <c r="J101" i="11"/>
  <c r="M99" i="11"/>
  <c r="C215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H17" i="1" s="1"/>
  <c r="N103" i="11" l="1"/>
  <c r="I216" i="2"/>
  <c r="F18" i="1" s="1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M104" i="11" s="1"/>
  <c r="K104" i="11"/>
  <c r="I20" i="11"/>
  <c r="I21" i="11"/>
  <c r="I22" i="11"/>
  <c r="I23" i="11"/>
  <c r="I24" i="11"/>
  <c r="K25" i="11"/>
  <c r="O104" i="11" l="1"/>
  <c r="K22" i="11"/>
  <c r="F23" i="1"/>
  <c r="I220" i="2"/>
  <c r="C216" i="2"/>
  <c r="B18" i="1" s="1"/>
  <c r="N104" i="11"/>
  <c r="K24" i="11"/>
  <c r="K23" i="11"/>
  <c r="K21" i="11"/>
  <c r="K20" i="11"/>
  <c r="I26" i="11"/>
  <c r="J26" i="11"/>
  <c r="V30" i="1"/>
  <c r="V22" i="1"/>
  <c r="K26" i="11" l="1"/>
  <c r="C220" i="2"/>
  <c r="G202" i="2"/>
  <c r="J202" i="2" l="1"/>
  <c r="G64" i="2"/>
  <c r="I64" i="2"/>
  <c r="J64" i="2" s="1"/>
  <c r="F112" i="2"/>
  <c r="F90" i="2"/>
  <c r="G18" i="1"/>
  <c r="H18" i="1" s="1"/>
  <c r="B23" i="1"/>
  <c r="K18" i="1" l="1"/>
  <c r="L18" i="1" s="1"/>
  <c r="G23" i="1"/>
  <c r="G90" i="2"/>
  <c r="I90" i="2"/>
  <c r="J90" i="2" s="1"/>
  <c r="G112" i="2"/>
  <c r="I112" i="2"/>
  <c r="G65" i="2"/>
  <c r="I65" i="2"/>
  <c r="J65" i="2" s="1"/>
  <c r="F62" i="2"/>
  <c r="I60" i="2"/>
  <c r="G60" i="2"/>
  <c r="G198" i="2"/>
  <c r="G199" i="2" s="1"/>
  <c r="J112" i="2" l="1"/>
  <c r="I119" i="2"/>
  <c r="F86" i="2"/>
  <c r="F63" i="2"/>
  <c r="G62" i="2"/>
  <c r="J199" i="2"/>
  <c r="G200" i="2"/>
  <c r="G119" i="2"/>
  <c r="F170" i="2"/>
  <c r="F74" i="2"/>
  <c r="F144" i="2"/>
  <c r="I62" i="2"/>
  <c r="J60" i="2"/>
  <c r="J62" i="2" s="1"/>
  <c r="J198" i="2"/>
  <c r="G151" i="2"/>
  <c r="I151" i="2"/>
  <c r="J151" i="2" s="1"/>
  <c r="L23" i="1"/>
  <c r="K23" i="1"/>
  <c r="W14" i="1"/>
  <c r="W25" i="1" s="1"/>
  <c r="H23" i="1"/>
  <c r="G144" i="2" l="1"/>
  <c r="J119" i="2"/>
  <c r="G170" i="2"/>
  <c r="J200" i="2"/>
  <c r="J204" i="2" s="1"/>
  <c r="G204" i="2"/>
  <c r="W22" i="1"/>
  <c r="R34" i="1" s="1"/>
  <c r="N23" i="1" s="1"/>
  <c r="M23" i="1" s="1"/>
  <c r="AA14" i="1"/>
  <c r="AA22" i="1" s="1"/>
  <c r="G86" i="2"/>
  <c r="F73" i="2"/>
  <c r="G63" i="2"/>
  <c r="I63" i="2"/>
  <c r="J63" i="2" s="1"/>
  <c r="I86" i="2"/>
  <c r="I74" i="2"/>
  <c r="J74" i="2" s="1"/>
  <c r="I144" i="2"/>
  <c r="I170" i="2"/>
  <c r="I172" i="2" s="1"/>
  <c r="F172" i="2"/>
  <c r="W30" i="1" l="1"/>
  <c r="Q34" i="1" s="1"/>
  <c r="AA25" i="1"/>
  <c r="AA30" i="1" s="1"/>
  <c r="G205" i="2"/>
  <c r="G206" i="2"/>
  <c r="J205" i="2"/>
  <c r="J206" i="2"/>
  <c r="G149" i="2"/>
  <c r="I149" i="2"/>
  <c r="F153" i="2"/>
  <c r="G73" i="2"/>
  <c r="I73" i="2"/>
  <c r="J73" i="2" s="1"/>
  <c r="J170" i="2"/>
  <c r="J172" i="2" s="1"/>
  <c r="G172" i="2"/>
  <c r="J144" i="2"/>
  <c r="J86" i="2"/>
  <c r="G182" i="2" l="1"/>
  <c r="G207" i="2"/>
  <c r="F154" i="2"/>
  <c r="J149" i="2"/>
  <c r="J153" i="2" s="1"/>
  <c r="J154" i="2" s="1"/>
  <c r="I153" i="2"/>
  <c r="I154" i="2" s="1"/>
  <c r="G153" i="2"/>
  <c r="G154" i="2" l="1"/>
  <c r="F82" i="2"/>
  <c r="F92" i="2" s="1"/>
  <c r="J182" i="2"/>
  <c r="G82" i="2" l="1"/>
  <c r="G92" i="2" s="1"/>
  <c r="I82" i="2"/>
  <c r="J82" i="2" l="1"/>
  <c r="G194" i="2"/>
  <c r="I92" i="2"/>
  <c r="G93" i="2" l="1"/>
  <c r="J92" i="2"/>
  <c r="G25" i="1"/>
  <c r="H25" i="1" s="1"/>
  <c r="F93" i="2" l="1"/>
  <c r="H28" i="1"/>
  <c r="G28" i="1"/>
  <c r="G31" i="1" s="1"/>
  <c r="K25" i="1"/>
  <c r="K28" i="1" s="1"/>
  <c r="G94" i="2"/>
  <c r="G106" i="2" l="1"/>
  <c r="N28" i="1"/>
  <c r="M28" i="1" s="1"/>
  <c r="H31" i="1"/>
  <c r="I93" i="2"/>
  <c r="F94" i="2"/>
  <c r="H32" i="1" l="1"/>
  <c r="H36" i="1" s="1"/>
  <c r="N31" i="1"/>
  <c r="N32" i="1" s="1"/>
  <c r="J93" i="2"/>
  <c r="I94" i="2"/>
  <c r="I106" i="2" s="1"/>
  <c r="F106" i="2"/>
  <c r="G108" i="2"/>
  <c r="G166" i="2"/>
  <c r="I166" i="2" l="1"/>
  <c r="I168" i="2" s="1"/>
  <c r="I177" i="2" s="1"/>
  <c r="I108" i="2"/>
  <c r="J94" i="2"/>
  <c r="F108" i="2"/>
  <c r="F166" i="2"/>
  <c r="G168" i="2"/>
  <c r="N36" i="1"/>
  <c r="G143" i="2"/>
  <c r="G135" i="2"/>
  <c r="M31" i="1"/>
  <c r="J106" i="2" l="1"/>
  <c r="G145" i="2"/>
  <c r="I143" i="2"/>
  <c r="I135" i="2"/>
  <c r="I145" i="2" s="1"/>
  <c r="G177" i="2"/>
  <c r="G181" i="2"/>
  <c r="F168" i="2"/>
  <c r="F143" i="2"/>
  <c r="F135" i="2"/>
  <c r="G184" i="2" l="1"/>
  <c r="J181" i="2"/>
  <c r="J184" i="2" s="1"/>
  <c r="J185" i="2" s="1"/>
  <c r="F145" i="2"/>
  <c r="F177" i="2"/>
  <c r="J166" i="2"/>
  <c r="J108" i="2"/>
  <c r="J143" i="2" l="1"/>
  <c r="J135" i="2"/>
  <c r="J168" i="2"/>
  <c r="G185" i="2"/>
  <c r="J177" i="2" l="1"/>
  <c r="J145" i="2"/>
</calcChain>
</file>

<file path=xl/sharedStrings.xml><?xml version="1.0" encoding="utf-8"?>
<sst xmlns="http://schemas.openxmlformats.org/spreadsheetml/2006/main" count="550" uniqueCount="331">
  <si>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</si>
  <si>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</si>
  <si>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</si>
  <si>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</si>
  <si>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</si>
  <si>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</si>
  <si>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</si>
  <si>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</si>
  <si>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</si>
  <si>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</si>
  <si>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</si>
  <si>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</si>
  <si>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</si>
  <si>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</si>
  <si>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</si>
  <si>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</si>
  <si>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</si>
  <si>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</si>
  <si>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</si>
  <si>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</si>
  <si>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</si>
  <si>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</si>
  <si>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</si>
  <si>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</si>
  <si>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</si>
  <si>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</si>
  <si>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</si>
  <si>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</si>
  <si>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</si>
  <si>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</si>
  <si>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</si>
  <si>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</si>
  <si>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</si>
  <si>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</si>
  <si>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</si>
  <si>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</si>
  <si>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</si>
  <si>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</si>
  <si>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</si>
  <si>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</si>
  <si>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</si>
  <si>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</si>
  <si>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</si>
  <si>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</si>
  <si>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</si>
  <si>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</si>
  <si>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</si>
  <si>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</si>
  <si>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</si>
  <si>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</si>
  <si>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</si>
  <si>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</si>
  <si>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</si>
  <si>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</si>
  <si>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</si>
  <si>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</si>
  <si>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</si>
  <si>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</si>
  <si>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</si>
  <si>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</si>
  <si>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</si>
  <si>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</si>
  <si>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</si>
  <si>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</si>
  <si>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</si>
  <si>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</si>
  <si>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</si>
  <si>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</si>
  <si>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</si>
  <si>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</si>
  <si>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</si>
  <si>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</si>
  <si>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</si>
  <si>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</si>
  <si>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</si>
  <si>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</si>
  <si>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</si>
  <si>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</si>
  <si>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</si>
  <si>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</si>
  <si>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</si>
  <si>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</si>
  <si>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</si>
  <si>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</si>
  <si>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</si>
  <si>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</si>
  <si>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</si>
  <si>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</si>
  <si>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</si>
  <si>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</si>
  <si>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</si>
  <si>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</si>
  <si>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</si>
  <si>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</si>
  <si>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</si>
  <si>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</si>
  <si>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</si>
  <si>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</si>
  <si>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</si>
  <si>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</si>
  <si>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</si>
  <si>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</si>
  <si>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</si>
  <si>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</si>
  <si>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</si>
  <si>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</si>
  <si>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</si>
  <si>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</si>
  <si>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</si>
  <si>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</si>
  <si>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</si>
  <si>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</si>
  <si>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</si>
  <si>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</si>
  <si>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</si>
  <si>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</si>
  <si>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</si>
  <si>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</si>
  <si>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</si>
  <si>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</si>
  <si>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</si>
  <si>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</si>
  <si>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</si>
  <si>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</si>
  <si>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</si>
  <si>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</si>
  <si>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</si>
  <si>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</si>
  <si>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</si>
  <si>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</si>
  <si>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</si>
  <si>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</si>
  <si>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</si>
  <si>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</si>
  <si>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</si>
  <si>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</si>
  <si>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</si>
  <si>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</si>
  <si>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</si>
  <si>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</si>
  <si>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</si>
  <si>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</si>
  <si>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</si>
  <si>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</si>
  <si>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</si>
  <si>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</si>
  <si>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</si>
  <si>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</si>
  <si>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</si>
  <si>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</si>
  <si>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</si>
  <si>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</si>
  <si>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</si>
  <si>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</si>
  <si>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</si>
  <si>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</si>
  <si>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</si>
  <si>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</si>
  <si>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</si>
  <si>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</si>
  <si>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</si>
  <si>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</si>
  <si>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</si>
  <si>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</si>
  <si>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</si>
  <si>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</si>
  <si>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</si>
  <si>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</si>
  <si>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</si>
  <si>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</si>
  <si>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</si>
  <si>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</si>
  <si>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</si>
  <si>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</si>
  <si>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</si>
  <si>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</si>
  <si>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</si>
  <si>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</si>
  <si>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</si>
  <si>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</si>
  <si>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</si>
  <si>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</si>
  <si>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</si>
  <si>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</si>
  <si>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</si>
  <si>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</si>
  <si>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</si>
  <si>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</si>
  <si>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</si>
  <si>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</si>
  <si>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</si>
  <si>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</si>
  <si>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</si>
  <si>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</si>
  <si>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</si>
  <si>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</si>
  <si>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</si>
  <si>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</si>
  <si>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</si>
  <si>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</si>
  <si>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</si>
  <si>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</si>
  <si>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</si>
  <si>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</si>
  <si>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</si>
  <si>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</si>
  <si>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</si>
  <si>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</si>
  <si>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</si>
  <si>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</si>
  <si>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</si>
  <si>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</si>
  <si>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</si>
  <si>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</si>
  <si>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</si>
  <si>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</si>
  <si>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</si>
  <si>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</si>
  <si>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</si>
  <si>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</si>
  <si>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</si>
  <si>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</si>
  <si>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</si>
  <si>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</si>
  <si>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</si>
  <si>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</si>
  <si>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</si>
  <si>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</si>
  <si>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</si>
  <si>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</si>
  <si>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</si>
  <si>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</si>
  <si>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</si>
  <si>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</si>
  <si>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</si>
  <si>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</si>
  <si>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</si>
  <si>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</si>
  <si>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</si>
  <si>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</si>
  <si>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</si>
  <si>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</si>
  <si>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</si>
  <si>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</si>
  <si>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</si>
  <si>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</si>
  <si>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</si>
  <si>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</si>
  <si>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</si>
  <si>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</si>
  <si>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</si>
  <si>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</si>
  <si>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</si>
  <si>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</si>
  <si>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</si>
  <si>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</si>
  <si>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</si>
  <si>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</si>
  <si>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</si>
  <si>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</si>
  <si>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</si>
  <si>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</si>
  <si>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</si>
  <si>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</si>
  <si>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</si>
  <si>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</si>
  <si>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</si>
  <si>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</si>
  <si>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</si>
  <si>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</si>
  <si>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</si>
  <si>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</si>
  <si>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</si>
  <si>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</si>
  <si>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</si>
  <si>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</si>
  <si>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</si>
  <si>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</si>
  <si>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</si>
  <si>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</si>
  <si>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</si>
  <si>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</si>
  <si>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</si>
  <si>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</si>
  <si>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</si>
  <si>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</si>
  <si>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</si>
  <si>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</si>
  <si>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</si>
  <si>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</si>
  <si>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</si>
  <si>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</si>
  <si>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Lease Size Calculation for 3 Years</t>
  </si>
  <si>
    <t>Rentals</t>
  </si>
  <si>
    <t>Car Park
(INR)</t>
  </si>
  <si>
    <t>Chennai</t>
  </si>
  <si>
    <t>6th floor</t>
  </si>
  <si>
    <t>Additional deposit (Electricity)</t>
  </si>
  <si>
    <t>IN-CHEK2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</si>
  <si>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</si>
  <si>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</si>
  <si>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</si>
  <si>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</si>
  <si>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</si>
  <si>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</si>
  <si>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</si>
  <si>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</si>
  <si>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</si>
  <si>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</si>
  <si>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</si>
  <si>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</si>
  <si>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</si>
  <si>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</si>
  <si>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</si>
  <si>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</si>
  <si>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</si>
  <si>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</si>
  <si>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</si>
  <si>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</si>
  <si>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</si>
  <si>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</si>
  <si>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</si>
  <si>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</si>
  <si>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</si>
  <si>
    <t>Rental 
SQF</t>
  </si>
  <si>
    <t>CAM 
SQF</t>
  </si>
  <si>
    <t>PARKING</t>
  </si>
  <si>
    <t>No. of 4 wheelers</t>
  </si>
  <si>
    <t>No. of 2 wheelers</t>
  </si>
  <si>
    <t>Rate per 4 wheeler</t>
  </si>
  <si>
    <t>Rate per 2 wheeler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</si>
</sst>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7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012">
    <xf numFmtId="0" fontId="0" fillId="0" borderId="0"/>
    <xf numFmtId="0" fontId="15" fillId="0" borderId="0"/>
    <xf numFmtId="0" fontId="15" fillId="0" borderId="0"/>
    <xf numFmtId="43" fontId="4" fillId="0" borderId="0" applyFont="0" applyFill="0" applyBorder="0" applyAlignment="0" applyProtection="0"/>
    <xf numFmtId="4" fontId="44" fillId="2" borderId="1">
      <alignment readingOrder="1"/>
      <protection locked="0"/>
    </xf>
    <xf numFmtId="175" fontId="15" fillId="0" borderId="0"/>
    <xf numFmtId="0" fontId="4" fillId="0" borderId="0"/>
    <xf numFmtId="0" fontId="4" fillId="0" borderId="0"/>
    <xf numFmtId="0" fontId="4" fillId="0" borderId="0"/>
    <xf numFmtId="0" fontId="16" fillId="0" borderId="0"/>
    <xf numFmtId="9" fontId="17" fillId="0" borderId="0"/>
    <xf numFmtId="176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8" fillId="0" borderId="0"/>
    <xf numFmtId="0" fontId="18" fillId="0" borderId="0"/>
    <xf numFmtId="0" fontId="4" fillId="0" borderId="0" applyFill="0" applyBorder="0">
      <alignment vertical="center"/>
    </xf>
    <xf numFmtId="177" fontId="19" fillId="0" borderId="0" applyFont="0" applyFill="0" applyBorder="0" applyAlignment="0" applyProtection="0"/>
    <xf numFmtId="0" fontId="17" fillId="0" borderId="0" applyFont="0" applyFill="0" applyBorder="0" applyAlignment="0" applyProtection="0"/>
    <xf numFmtId="177" fontId="19" fillId="0" borderId="2">
      <protection locked="0"/>
    </xf>
    <xf numFmtId="0" fontId="20" fillId="0" borderId="0" applyNumberFormat="0" applyFill="0" applyBorder="0" applyAlignment="0" applyProtection="0"/>
    <xf numFmtId="0" fontId="21" fillId="0" borderId="0"/>
    <xf numFmtId="43" fontId="4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19" fillId="0" borderId="0"/>
    <xf numFmtId="177" fontId="24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19" fillId="0" borderId="0"/>
    <xf numFmtId="0" fontId="25" fillId="0" borderId="0" applyProtection="0"/>
    <xf numFmtId="178" fontId="19" fillId="0" borderId="0"/>
    <xf numFmtId="0" fontId="26" fillId="0" borderId="0"/>
    <xf numFmtId="2" fontId="25" fillId="0" borderId="0" applyProtection="0"/>
    <xf numFmtId="0" fontId="19" fillId="0" borderId="4" applyNumberFormat="0" applyFill="0" applyBorder="0" applyAlignment="0" applyProtection="0">
      <protection locked="0"/>
    </xf>
    <xf numFmtId="168" fontId="27" fillId="0" borderId="5">
      <alignment horizontal="right"/>
    </xf>
    <xf numFmtId="38" fontId="5" fillId="3" borderId="0" applyNumberFormat="0" applyBorder="0" applyAlignment="0" applyProtection="0"/>
    <xf numFmtId="0" fontId="13" fillId="0" borderId="6" applyNumberFormat="0" applyAlignment="0" applyProtection="0">
      <alignment horizontal="left" vertical="center"/>
    </xf>
    <xf numFmtId="0" fontId="13" fillId="0" borderId="7">
      <alignment horizontal="left" vertical="center"/>
    </xf>
    <xf numFmtId="0" fontId="28" fillId="0" borderId="0" applyProtection="0"/>
    <xf numFmtId="0" fontId="13" fillId="0" borderId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1" fillId="0" borderId="0">
      <alignment horizontal="justify" vertical="top" wrapText="1"/>
    </xf>
    <xf numFmtId="37" fontId="32" fillId="0" borderId="0"/>
    <xf numFmtId="187" fontId="33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5" fillId="0" borderId="0">
      <alignment vertical="center"/>
    </xf>
    <xf numFmtId="0" fontId="4" fillId="0" borderId="0"/>
    <xf numFmtId="175" fontId="46" fillId="0" borderId="0"/>
    <xf numFmtId="175" fontId="46" fillId="0" borderId="0"/>
    <xf numFmtId="0" fontId="4" fillId="0" borderId="0"/>
    <xf numFmtId="0" fontId="46" fillId="0" borderId="0"/>
    <xf numFmtId="0" fontId="46" fillId="0" borderId="0"/>
    <xf numFmtId="0" fontId="1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8" fillId="0" borderId="0"/>
    <xf numFmtId="0" fontId="46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6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4" fillId="0" borderId="0" applyFont="0"/>
    <xf numFmtId="188" fontId="35" fillId="5" borderId="0"/>
    <xf numFmtId="0" fontId="36" fillId="0" borderId="0">
      <alignment horizontal="left" vertical="top"/>
    </xf>
    <xf numFmtId="0" fontId="37" fillId="0" borderId="0">
      <alignment horizontal="left" vertical="top"/>
    </xf>
    <xf numFmtId="0" fontId="38" fillId="0" borderId="0">
      <alignment horizontal="left" vertical="top"/>
    </xf>
    <xf numFmtId="0" fontId="39" fillId="6" borderId="9">
      <alignment horizontal="left"/>
    </xf>
    <xf numFmtId="0" fontId="40" fillId="1" borderId="0">
      <alignment horizontal="center" vertical="center"/>
    </xf>
    <xf numFmtId="0" fontId="40" fillId="1" borderId="10">
      <alignment horizontal="centerContinuous" vertical="center"/>
    </xf>
    <xf numFmtId="0" fontId="41" fillId="6" borderId="8">
      <alignment horizontal="left" vertical="center"/>
    </xf>
    <xf numFmtId="0" fontId="36" fillId="0" borderId="0">
      <alignment horizontal="left" vertical="top"/>
    </xf>
    <xf numFmtId="189" fontId="36" fillId="0" borderId="0">
      <alignment horizontal="right" vertical="top"/>
    </xf>
    <xf numFmtId="0" fontId="37" fillId="0" borderId="0">
      <alignment horizontal="centerContinuous" vertical="top"/>
    </xf>
    <xf numFmtId="9" fontId="4" fillId="0" borderId="0" applyFont="0" applyFill="0" applyBorder="0" applyAlignment="0" applyProtection="0"/>
    <xf numFmtId="0" fontId="42" fillId="0" borderId="0" applyNumberFormat="0" applyFill="0" applyBorder="0" applyAlignment="0" applyProtection="0">
      <alignment vertical="top"/>
      <protection locked="0"/>
    </xf>
    <xf numFmtId="1" fontId="19" fillId="0" borderId="0" applyBorder="0">
      <alignment horizontal="left" vertical="top" wrapText="1"/>
    </xf>
    <xf numFmtId="0" fontId="4" fillId="0" borderId="0"/>
    <xf numFmtId="0" fontId="15" fillId="0" borderId="0"/>
    <xf numFmtId="0" fontId="15" fillId="0" borderId="0"/>
    <xf numFmtId="0" fontId="15" fillId="0" borderId="0"/>
    <xf numFmtId="0" fontId="16" fillId="0" borderId="0"/>
    <xf numFmtId="40" fontId="41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3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1" fillId="0" borderId="0"/>
    <xf numFmtId="43" fontId="51" fillId="0" borderId="0" applyFont="0" applyFill="0" applyBorder="0" applyAlignment="0" applyProtection="0"/>
    <xf numFmtId="0" fontId="4" fillId="0" borderId="0"/>
    <xf numFmtId="0" fontId="55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4" fillId="19" borderId="0" applyNumberFormat="0" applyBorder="0" applyAlignment="0" applyProtection="0"/>
    <xf numFmtId="0" fontId="54" fillId="20" borderId="61" applyNumberFormat="0" applyProtection="0">
      <alignment horizontal="center" vertical="top" wrapText="1"/>
    </xf>
    <xf numFmtId="0" fontId="56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7" fillId="0" borderId="0"/>
    <xf numFmtId="0" fontId="58" fillId="0" borderId="0"/>
    <xf numFmtId="0" fontId="4" fillId="0" borderId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3" borderId="0" applyNumberFormat="0" applyBorder="0" applyAlignment="0" applyProtection="0"/>
    <xf numFmtId="0" fontId="22" fillId="33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3" borderId="0" applyNumberFormat="0" applyBorder="0" applyAlignment="0" applyProtection="0"/>
    <xf numFmtId="0" fontId="59" fillId="33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0" borderId="0" applyNumberFormat="0" applyBorder="0" applyAlignment="0" applyProtection="0"/>
    <xf numFmtId="0" fontId="59" fillId="30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24" borderId="0" applyNumberFormat="0" applyBorder="0" applyAlignment="0" applyProtection="0"/>
    <xf numFmtId="0" fontId="59" fillId="24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43" borderId="0" applyNumberFormat="0" applyBorder="0" applyAlignment="0" applyProtection="0"/>
    <xf numFmtId="0" fontId="59" fillId="43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197" fontId="54" fillId="0" borderId="0" applyFill="0" applyBorder="0" applyAlignment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22" borderId="1" applyNumberFormat="0" applyAlignment="0" applyProtection="0"/>
    <xf numFmtId="0" fontId="62" fillId="22" borderId="1" applyNumberFormat="0" applyAlignment="0" applyProtection="0"/>
    <xf numFmtId="0" fontId="63" fillId="0" borderId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5" fillId="0" borderId="0" applyNumberFormat="0" applyAlignment="0">
      <alignment horizontal="left"/>
    </xf>
    <xf numFmtId="199" fontId="66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7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68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2" fillId="0" borderId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7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199" fontId="71" fillId="0" borderId="0">
      <alignment horizontal="left"/>
    </xf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3" fillId="0" borderId="66" applyNumberFormat="0" applyFill="0" applyAlignment="0" applyProtection="0"/>
    <xf numFmtId="0" fontId="73" fillId="0" borderId="66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5" fillId="0" borderId="67" applyNumberFormat="0" applyFill="0" applyAlignment="0" applyProtection="0"/>
    <xf numFmtId="0" fontId="75" fillId="0" borderId="67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7" fillId="0" borderId="69" applyNumberFormat="0" applyFill="0" applyAlignment="0" applyProtection="0"/>
    <xf numFmtId="0" fontId="77" fillId="0" borderId="69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199" fontId="67" fillId="0" borderId="0" applyFont="0">
      <alignment horizontal="left"/>
    </xf>
    <xf numFmtId="199" fontId="67" fillId="0" borderId="0" applyFont="0" applyFill="0" applyBorder="0">
      <alignment horizontal="left"/>
    </xf>
    <xf numFmtId="40" fontId="5" fillId="0" borderId="0" applyFont="0">
      <protection locked="0"/>
    </xf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199" fontId="67" fillId="0" borderId="0" applyFont="0" applyFill="0" applyBorder="0">
      <alignment horizontal="left"/>
    </xf>
    <xf numFmtId="199" fontId="67" fillId="0" borderId="0" applyFont="0" applyFill="0" applyBorder="0">
      <alignment horizontal="left"/>
    </xf>
    <xf numFmtId="202" fontId="80" fillId="0" borderId="0">
      <alignment horizontal="left" vertical="top"/>
      <protection locked="0"/>
    </xf>
    <xf numFmtId="202" fontId="5" fillId="0" borderId="0" applyFont="0"/>
    <xf numFmtId="41" fontId="54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18" fillId="0" borderId="0" applyFont="0" applyFill="0" applyBorder="0" applyAlignment="0" applyProtection="0"/>
    <xf numFmtId="199" fontId="67" fillId="0" borderId="0" applyFont="0" applyFill="0" applyBorder="0">
      <alignment horizontal="left"/>
    </xf>
    <xf numFmtId="0" fontId="81" fillId="0" borderId="26"/>
    <xf numFmtId="0" fontId="4" fillId="0" borderId="0" applyFont="0" applyFill="0" applyBorder="0" applyAlignment="0" applyProtection="0"/>
    <xf numFmtId="220" fontId="18" fillId="0" borderId="0" applyFont="0" applyFill="0" applyBorder="0" applyAlignment="0" applyProtection="0"/>
    <xf numFmtId="199" fontId="67" fillId="0" borderId="0" applyFont="0">
      <alignment horizontal="left"/>
    </xf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221" fontId="83" fillId="0" borderId="0"/>
    <xf numFmtId="221" fontId="8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" fillId="0" borderId="0"/>
    <xf numFmtId="0" fontId="25" fillId="0" borderId="0"/>
    <xf numFmtId="0" fontId="25" fillId="0" borderId="0"/>
    <xf numFmtId="0" fontId="4" fillId="0" borderId="0"/>
    <xf numFmtId="0" fontId="84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2" fillId="26" borderId="71" applyNumberFormat="0" applyAlignment="0" applyProtection="0"/>
    <xf numFmtId="0" fontId="22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22" borderId="72" applyNumberFormat="0" applyAlignment="0" applyProtection="0"/>
    <xf numFmtId="0" fontId="86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7" fillId="0" borderId="0" applyFont="0">
      <protection locked="0"/>
    </xf>
    <xf numFmtId="40" fontId="71" fillId="0" borderId="0" applyFont="0">
      <protection locked="0"/>
    </xf>
    <xf numFmtId="224" fontId="87" fillId="0" borderId="0" applyNumberFormat="0" applyFill="0" applyBorder="0" applyAlignment="0" applyProtection="0">
      <alignment horizontal="left"/>
    </xf>
    <xf numFmtId="202" fontId="88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1" fillId="0" borderId="0"/>
    <xf numFmtId="0" fontId="89" fillId="0" borderId="0" applyNumberFormat="0" applyProtection="0">
      <alignment wrapText="1"/>
      <protection locked="0"/>
    </xf>
    <xf numFmtId="40" fontId="90" fillId="0" borderId="0" applyBorder="0">
      <alignment horizontal="right"/>
    </xf>
    <xf numFmtId="202" fontId="67" fillId="0" borderId="0" applyFont="0">
      <protection locked="0"/>
    </xf>
    <xf numFmtId="202" fontId="67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99" fontId="93" fillId="0" borderId="41" applyNumberFormat="0" applyFill="0" applyProtection="0">
      <alignment horizontal="center"/>
    </xf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5" applyNumberFormat="0" applyFill="0" applyAlignment="0" applyProtection="0"/>
    <xf numFmtId="0" fontId="94" fillId="0" borderId="75" applyNumberFormat="0" applyFill="0" applyAlignment="0" applyProtection="0"/>
    <xf numFmtId="202" fontId="71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7" fillId="0" borderId="0" applyFill="0">
      <alignment horizontal="center"/>
    </xf>
    <xf numFmtId="202" fontId="67" fillId="0" borderId="0" applyFont="0">
      <alignment horizontal="center"/>
      <protection locked="0"/>
    </xf>
    <xf numFmtId="187" fontId="80" fillId="0" borderId="8">
      <alignment horizontal="center" vertical="center"/>
    </xf>
    <xf numFmtId="187" fontId="80" fillId="0" borderId="8">
      <alignment horizontal="center" vertical="center"/>
    </xf>
    <xf numFmtId="42" fontId="54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6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19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7" borderId="12" xfId="184" applyFill="1" applyBorder="1"/>
    <xf numFmtId="0" fontId="4" fillId="0" borderId="12" xfId="184" applyBorder="1"/>
    <xf numFmtId="167" fontId="4" fillId="0" borderId="12" xfId="21" applyNumberFormat="1" applyBorder="1"/>
    <xf numFmtId="167" fontId="0" fillId="0" borderId="12" xfId="21" applyNumberFormat="1" applyFont="1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4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4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165" fontId="5" fillId="0" borderId="0" xfId="0" applyNumberFormat="1" applyFont="1"/>
    <xf numFmtId="0" fontId="14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4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4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2" fillId="0" borderId="0" xfId="0" applyFont="1"/>
    <xf numFmtId="0" fontId="53" fillId="0" borderId="0" xfId="0" applyFont="1"/>
    <xf numFmtId="0" fontId="53" fillId="0" borderId="0" xfId="0" applyFont="1" applyAlignment="1">
      <alignment horizontal="center"/>
    </xf>
    <xf numFmtId="0" fontId="53" fillId="17" borderId="0" xfId="0" applyFont="1" applyFill="1" applyAlignment="1">
      <alignment horizontal="center"/>
    </xf>
    <xf numFmtId="167" fontId="53" fillId="12" borderId="0" xfId="0" applyNumberFormat="1" applyFont="1" applyFill="1"/>
    <xf numFmtId="0" fontId="52" fillId="18" borderId="8" xfId="0" applyFont="1" applyFill="1" applyBorder="1" applyAlignment="1">
      <alignment horizontal="center" vertical="center"/>
    </xf>
    <xf numFmtId="0" fontId="52" fillId="18" borderId="8" xfId="0" applyFont="1" applyFill="1" applyBorder="1" applyAlignment="1">
      <alignment horizontal="center" vertical="center" wrapText="1"/>
    </xf>
    <xf numFmtId="192" fontId="53" fillId="15" borderId="0" xfId="21" applyNumberFormat="1" applyFont="1" applyFill="1" applyBorder="1" applyAlignment="1">
      <alignment vertical="center" wrapText="1"/>
    </xf>
    <xf numFmtId="192" fontId="53" fillId="15" borderId="0" xfId="0" applyNumberFormat="1" applyFont="1" applyFill="1"/>
    <xf numFmtId="43" fontId="53" fillId="15" borderId="0" xfId="21" applyFont="1" applyFill="1"/>
    <xf numFmtId="43" fontId="53" fillId="15" borderId="0" xfId="0" applyNumberFormat="1" applyFont="1" applyFill="1"/>
    <xf numFmtId="0" fontId="53" fillId="15" borderId="0" xfId="0" applyFont="1" applyFill="1"/>
    <xf numFmtId="9" fontId="53" fillId="15" borderId="0" xfId="0" applyNumberFormat="1" applyFont="1" applyFill="1"/>
    <xf numFmtId="167" fontId="53" fillId="0" borderId="0" xfId="21" applyNumberFormat="1" applyFont="1"/>
    <xf numFmtId="167" fontId="53" fillId="0" borderId="8" xfId="21" applyNumberFormat="1" applyFont="1" applyBorder="1" applyAlignment="1">
      <alignment wrapText="1"/>
    </xf>
    <xf numFmtId="167" fontId="53" fillId="0" borderId="0" xfId="0" applyNumberFormat="1" applyFont="1"/>
    <xf numFmtId="0" fontId="53" fillId="0" borderId="0" xfId="0" applyFont="1" applyAlignment="1">
      <alignment wrapText="1"/>
    </xf>
    <xf numFmtId="167" fontId="53" fillId="0" borderId="0" xfId="21" applyNumberFormat="1" applyFont="1" applyBorder="1" applyAlignment="1">
      <alignment wrapText="1"/>
    </xf>
    <xf numFmtId="167" fontId="50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0" fillId="14" borderId="8" xfId="21" applyNumberFormat="1" applyFont="1" applyFill="1" applyBorder="1" applyAlignment="1">
      <alignment horizontal="center" vertical="center" wrapText="1"/>
    </xf>
    <xf numFmtId="167" fontId="51" fillId="0" borderId="9" xfId="21" applyNumberFormat="1" applyFont="1" applyBorder="1"/>
    <xf numFmtId="0" fontId="6" fillId="0" borderId="0" xfId="0" applyFont="1"/>
    <xf numFmtId="167" fontId="97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4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98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2" fillId="15" borderId="0" xfId="21" applyFont="1" applyFill="1"/>
    <xf numFmtId="43" fontId="52" fillId="15" borderId="0" xfId="0" applyNumberFormat="1" applyFont="1" applyFill="1"/>
    <xf numFmtId="0" fontId="52" fillId="15" borderId="0" xfId="0" applyFont="1" applyFill="1"/>
    <xf numFmtId="171" fontId="52" fillId="15" borderId="0" xfId="21" applyNumberFormat="1" applyFont="1" applyFill="1"/>
    <xf numFmtId="167" fontId="99" fillId="0" borderId="8" xfId="21" applyNumberFormat="1" applyFont="1" applyBorder="1" applyAlignment="1">
      <alignment wrapText="1"/>
    </xf>
    <xf numFmtId="167" fontId="52" fillId="0" borderId="8" xfId="21" applyNumberFormat="1" applyFont="1" applyBorder="1" applyAlignment="1">
      <alignment wrapText="1"/>
    </xf>
    <xf numFmtId="167" fontId="53" fillId="15" borderId="0" xfId="21" applyNumberFormat="1" applyFont="1" applyFill="1"/>
    <xf numFmtId="167" fontId="52" fillId="15" borderId="0" xfId="21" applyNumberFormat="1" applyFont="1" applyFill="1"/>
    <xf numFmtId="0" fontId="0" fillId="0" borderId="0" xfId="0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3" fillId="15" borderId="0" xfId="0" applyNumberFormat="1" applyFont="1" applyFill="1"/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167" fontId="0" fillId="0" borderId="0" xfId="21" applyNumberFormat="1" applyFont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43" fontId="0" fillId="0" borderId="0" xfId="0" applyNumberFormat="1"/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2" fillId="18" borderId="8" xfId="21" applyNumberFormat="1" applyFont="1" applyFill="1" applyBorder="1" applyAlignment="1">
      <alignment horizontal="center" vertical="center"/>
    </xf>
    <xf numFmtId="167" fontId="53" fillId="0" borderId="0" xfId="21" applyNumberFormat="1" applyFont="1" applyAlignment="1">
      <alignment horizontal="center" vertical="center"/>
    </xf>
    <xf numFmtId="167" fontId="53" fillId="15" borderId="0" xfId="21" applyNumberFormat="1" applyFont="1" applyFill="1" applyAlignment="1">
      <alignment horizontal="center"/>
    </xf>
    <xf numFmtId="167" fontId="52" fillId="0" borderId="0" xfId="21" applyNumberFormat="1" applyFont="1"/>
    <xf numFmtId="167" fontId="52" fillId="15" borderId="0" xfId="21" applyNumberFormat="1" applyFont="1" applyFill="1" applyAlignment="1">
      <alignment horizontal="center"/>
    </xf>
    <xf numFmtId="167" fontId="0" fillId="0" borderId="41" xfId="21" applyNumberFormat="1" applyFont="1" applyFill="1" applyBorder="1"/>
    <xf numFmtId="167" fontId="0" fillId="0" borderId="4" xfId="21" applyNumberFormat="1" applyFont="1" applyBorder="1"/>
    <xf numFmtId="43" fontId="53" fillId="0" borderId="0" xfId="0" applyNumberFormat="1" applyFont="1"/>
    <xf numFmtId="167" fontId="50" fillId="0" borderId="9" xfId="21" applyNumberFormat="1" applyFont="1" applyFill="1" applyBorder="1" applyAlignment="1">
      <alignment horizontal="right" vertical="center" wrapText="1"/>
    </xf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0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0" fillId="0" borderId="0" xfId="0" applyFont="1" applyAlignment="1">
      <alignment horizontal="center" vertical="center" wrapText="1"/>
    </xf>
    <xf numFmtId="167" fontId="53" fillId="0" borderId="0" xfId="21" applyNumberFormat="1" applyFont="1" applyFill="1" applyBorder="1"/>
    <xf numFmtId="43" fontId="53" fillId="0" borderId="0" xfId="21" applyFont="1" applyFill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0" fillId="0" borderId="41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3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4" fillId="7" borderId="12" xfId="21" applyFill="1" applyBorder="1"/>
    <xf numFmtId="43" fontId="101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76" xfId="0" applyNumberFormat="1" applyBorder="1"/>
    <xf numFmtId="3" fontId="0" fillId="0" borderId="8" xfId="0" applyNumberFormat="1" applyBorder="1"/>
    <xf numFmtId="14" fontId="0" fillId="49" borderId="8" xfId="0" applyNumberFormat="1" applyFill="1" applyBorder="1"/>
    <xf numFmtId="0" fontId="0" fillId="49" borderId="8" xfId="0" applyFill="1" applyBorder="1"/>
    <xf numFmtId="0" fontId="0" fillId="49" borderId="44" xfId="0" applyFill="1" applyBorder="1"/>
    <xf numFmtId="0" fontId="100" fillId="49" borderId="23" xfId="0" applyFont="1" applyFill="1" applyBorder="1" applyAlignment="1">
      <alignment horizontal="center" vertical="center"/>
    </xf>
    <xf numFmtId="0" fontId="100" fillId="49" borderId="23" xfId="0" applyFont="1" applyFill="1" applyBorder="1" applyAlignment="1">
      <alignment horizontal="center" vertical="center" wrapText="1"/>
    </xf>
    <xf numFmtId="0" fontId="100" fillId="49" borderId="34" xfId="0" applyFont="1" applyFill="1" applyBorder="1" applyAlignment="1">
      <alignment horizontal="center" vertical="center" wrapText="1"/>
    </xf>
    <xf numFmtId="167" fontId="100" fillId="49" borderId="17" xfId="21" applyNumberFormat="1" applyFont="1" applyFill="1" applyBorder="1" applyAlignment="1">
      <alignment horizontal="center" vertical="center" wrapText="1"/>
    </xf>
    <xf numFmtId="167" fontId="100" fillId="49" borderId="44" xfId="21" applyNumberFormat="1" applyFont="1" applyFill="1" applyBorder="1" applyAlignment="1">
      <alignment horizontal="center" vertical="center" wrapText="1"/>
    </xf>
    <xf numFmtId="0" fontId="52" fillId="49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18" xfId="184" applyFill="1" applyBorder="1"/>
    <xf numFmtId="0" fontId="4" fillId="14" borderId="0" xfId="184" applyFill="1"/>
    <xf numFmtId="0" fontId="14" fillId="50" borderId="8" xfId="190" applyFill="1" applyBorder="1"/>
    <xf numFmtId="0" fontId="6" fillId="50" borderId="8" xfId="190" applyFont="1" applyFill="1" applyBorder="1"/>
    <xf numFmtId="0" fontId="6" fillId="50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5" fillId="0" borderId="0" xfId="1"/>
    <xf numFmtId="3" fontId="7" fillId="0" borderId="0" xfId="0" applyNumberFormat="1" applyFont="1" applyAlignment="1">
      <alignment horizontal="center"/>
    </xf>
    <xf numFmtId="167" fontId="100" fillId="0" borderId="0" xfId="21" applyNumberFormat="1" applyFont="1" applyFill="1" applyBorder="1" applyAlignment="1">
      <alignment horizontal="center" vertical="center" wrapText="1"/>
    </xf>
    <xf numFmtId="167" fontId="100" fillId="0" borderId="41" xfId="21" applyNumberFormat="1" applyFont="1" applyFill="1" applyBorder="1" applyAlignment="1">
      <alignment horizontal="center" vertical="center" wrapText="1"/>
    </xf>
    <xf numFmtId="167" fontId="0" fillId="0" borderId="4" xfId="0" applyNumberFormat="1" applyBorder="1"/>
    <xf numFmtId="0" fontId="0" fillId="0" borderId="4" xfId="0" applyBorder="1"/>
    <xf numFmtId="0" fontId="0" fillId="0" borderId="27" xfId="0" applyBorder="1"/>
    <xf numFmtId="167" fontId="0" fillId="0" borderId="53" xfId="0" applyNumberFormat="1" applyBorder="1"/>
    <xf numFmtId="43" fontId="0" fillId="0" borderId="53" xfId="0" applyNumberFormat="1" applyBorder="1"/>
    <xf numFmtId="0" fontId="100" fillId="49" borderId="77" xfId="0" applyFont="1" applyFill="1" applyBorder="1" applyAlignment="1">
      <alignment horizontal="center" vertical="center" wrapText="1"/>
    </xf>
    <xf numFmtId="0" fontId="0" fillId="0" borderId="2" xfId="0" applyBorder="1"/>
    <xf numFmtId="37" fontId="4" fillId="0" borderId="8" xfId="0" applyNumberFormat="1" applyFont="1" applyBorder="1" applyAlignment="1">
      <alignment vertical="center" wrapText="1"/>
    </xf>
    <xf numFmtId="1" fontId="14" fillId="0" borderId="8" xfId="190" applyNumberFormat="1" applyBorder="1"/>
    <xf numFmtId="2" fontId="7" fillId="0" borderId="8" xfId="21" applyNumberFormat="1" applyFont="1" applyBorder="1"/>
    <xf numFmtId="2" fontId="7" fillId="0" borderId="8" xfId="0" applyNumberFormat="1" applyFont="1" applyBorder="1"/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49" fillId="0" borderId="3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49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5" fillId="0" borderId="44" xfId="0" applyFont="1" applyBorder="1" applyAlignment="1">
      <alignment horizontal="center" vertical="center" wrapText="1"/>
    </xf>
    <xf numFmtId="0" fontId="45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0" fontId="45" fillId="0" borderId="47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192" fontId="52" fillId="15" borderId="0" xfId="0" applyNumberFormat="1" applyFont="1" applyFill="1" applyAlignment="1">
      <alignment horizontal="center"/>
    </xf>
    <xf numFmtId="0" fontId="13" fillId="0" borderId="54" xfId="184" applyFont="1" applyBorder="1" applyAlignment="1">
      <alignment horizontal="center"/>
    </xf>
    <xf numFmtId="0" fontId="13" fillId="0" borderId="6" xfId="184" applyFont="1" applyBorder="1" applyAlignment="1">
      <alignment horizontal="center"/>
    </xf>
    <xf numFmtId="0" fontId="13" fillId="0" borderId="50" xfId="184" applyFont="1" applyBorder="1" applyAlignment="1">
      <alignment horizontal="center"/>
    </xf>
    <xf numFmtId="0" fontId="13" fillId="0" borderId="48" xfId="184" applyFont="1" applyBorder="1" applyAlignment="1">
      <alignment horizontal="center"/>
    </xf>
    <xf numFmtId="0" fontId="13" fillId="0" borderId="49" xfId="184" applyFont="1" applyBorder="1" applyAlignment="1">
      <alignment horizontal="center"/>
    </xf>
    <xf numFmtId="0" fontId="13" fillId="0" borderId="51" xfId="184" applyFont="1" applyBorder="1" applyAlignment="1">
      <alignment horizontal="center"/>
    </xf>
    <xf numFmtId="167" fontId="0" fillId="0" borderId="0" xfId="0" applyNumberFormat="1" applyBorder="1"/>
    <xf numFmtId="3" fontId="7" fillId="0" borderId="0" xfId="0" applyNumberFormat="1" applyFont="1" applyBorder="1"/>
    <xf numFmtId="3" fontId="7" fillId="0" borderId="0" xfId="0" applyNumberFormat="1" applyFont="1" applyBorder="1" applyAlignment="1">
      <alignment horizontal="right"/>
    </xf>
    <xf numFmtId="3" fontId="5" fillId="0" borderId="0" xfId="0" applyNumberFormat="1" applyFont="1" applyBorder="1"/>
    <xf numFmtId="3" fontId="7" fillId="0" borderId="17" xfId="0" applyNumberFormat="1" applyFont="1" applyBorder="1" applyAlignment="1">
      <alignment horizontal="right"/>
    </xf>
    <xf numFmtId="3" fontId="7" fillId="0" borderId="41" xfId="0" applyNumberFormat="1" applyFont="1" applyBorder="1"/>
    <xf numFmtId="3" fontId="7" fillId="0" borderId="18" xfId="0" applyNumberFormat="1" applyFont="1" applyBorder="1" applyAlignment="1">
      <alignment horizontal="right"/>
    </xf>
    <xf numFmtId="0" fontId="5" fillId="13" borderId="0" xfId="0" applyFont="1" applyFill="1"/>
    <xf numFmtId="3" fontId="5" fillId="13" borderId="9" xfId="0" applyNumberFormat="1" applyFont="1" applyFill="1" applyBorder="1"/>
    <xf numFmtId="3" fontId="5" fillId="13" borderId="35" xfId="0" applyNumberFormat="1" applyFont="1" applyFill="1" applyBorder="1"/>
    <xf numFmtId="3" fontId="7" fillId="13" borderId="12" xfId="0" applyNumberFormat="1" applyFont="1" applyFill="1" applyBorder="1"/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1">
    <dxf>
      <font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9"/>
  <sheetViews>
    <sheetView workbookViewId="0">
      <selection activeCell="E12" sqref="E12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468"/>
      <c r="B1" s="494" t="s">
        <v>302</v>
      </c>
      <c r="C1" s="494" t="s">
        <v>303</v>
      </c>
    </row>
    <row r="2" spans="1:3">
      <c r="A2" s="468" t="s">
        <v>300</v>
      </c>
      <c r="B2" s="468" t="s">
        <v>298</v>
      </c>
      <c r="C2" s="468"/>
    </row>
    <row r="3" spans="1:3">
      <c r="A3" s="468" t="s">
        <v>301</v>
      </c>
      <c r="B3" s="468">
        <v>9515</v>
      </c>
      <c r="C3" s="468">
        <f>B3/10.764</f>
        <v>883.96506874767749</v>
      </c>
    </row>
    <row r="4" spans="1:3">
      <c r="A4" s="468" t="s">
        <v>304</v>
      </c>
      <c r="B4" s="495">
        <v>46113</v>
      </c>
      <c r="C4" s="468"/>
    </row>
    <row r="5" spans="1:3">
      <c r="A5" s="468" t="s">
        <v>305</v>
      </c>
      <c r="B5" s="495">
        <v>47938</v>
      </c>
      <c r="C5" s="468"/>
    </row>
    <row r="6" spans="1:3">
      <c r="A6" s="468" t="s">
        <v>306</v>
      </c>
      <c r="B6" s="468">
        <f>(B5-B4)/365</f>
        <v>5</v>
      </c>
      <c r="C6" s="468"/>
    </row>
    <row r="7" spans="1:3">
      <c r="A7" s="468" t="s">
        <v>307</v>
      </c>
      <c r="B7" s="468">
        <v>120</v>
      </c>
      <c r="C7" s="468"/>
    </row>
    <row r="8" spans="1:3">
      <c r="A8" s="468" t="s">
        <v>308</v>
      </c>
      <c r="B8" s="468">
        <v>15.48</v>
      </c>
      <c r="C8" s="468"/>
    </row>
    <row r="9" spans="1:3">
      <c r="A9" s="468" t="s">
        <v>36</v>
      </c>
      <c r="B9" s="509">
        <v>11418000</v>
      </c>
      <c r="C9" s="468"/>
    </row>
    <row r="10" spans="1:3">
      <c r="A10" s="468" t="s">
        <v>40</v>
      </c>
      <c r="B10" s="510">
        <v>43000000</v>
      </c>
      <c r="C10" s="468"/>
    </row>
    <row r="11" spans="1:3">
      <c r="A11" s="468" t="s">
        <v>309</v>
      </c>
      <c r="B11" s="510">
        <v>2500000</v>
      </c>
      <c r="C11" s="468"/>
    </row>
    <row r="12" spans="1:3">
      <c r="A12" s="468" t="s">
        <v>310</v>
      </c>
      <c r="B12" s="506">
        <v>0.105</v>
      </c>
      <c r="C12" s="468"/>
    </row>
    <row r="13" spans="1:3">
      <c r="A13" s="468" t="s">
        <v>311</v>
      </c>
      <c r="B13" s="506">
        <v>7.1099999999999997E-2</v>
      </c>
      <c r="C13" s="468"/>
    </row>
    <row r="14" spans="1:3">
      <c r="A14" s="468" t="s">
        <v>312</v>
      </c>
      <c r="B14" s="508" t="s">
        <v>313</v>
      </c>
      <c r="C14" s="508"/>
    </row>
    <row r="15" spans="1:3">
      <c r="A15" s="503" t="s">
        <v>314</v>
      </c>
      <c r="B15" s="468" t="s">
        <v>315</v>
      </c>
      <c r="C15" s="507"/>
    </row>
    <row r="16" spans="1:3">
      <c r="A16" s="468" t="s">
        <v>327</v>
      </c>
      <c r="B16" s="468">
        <v>80</v>
      </c>
      <c r="C16" s="468"/>
    </row>
    <row r="17" spans="1:3">
      <c r="A17" s="468" t="s">
        <v>329</v>
      </c>
      <c r="B17" s="468">
        <v>1500</v>
      </c>
      <c r="C17" s="468"/>
    </row>
    <row r="18" spans="1:3">
      <c r="A18" s="468" t="s">
        <v>328</v>
      </c>
      <c r="B18" s="468">
        <v>50</v>
      </c>
      <c r="C18" s="468"/>
    </row>
    <row r="19" spans="1:3">
      <c r="A19" s="468" t="s">
        <v>330</v>
      </c>
      <c r="B19" s="468">
        <v>1000</v>
      </c>
      <c r="C19" s="468"/>
    </row>
  </sheetData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3"/>
  <sheetViews>
    <sheetView topLeftCell="A60" zoomScale="88" zoomScaleNormal="88" workbookViewId="0">
      <selection activeCell="F69" sqref="F69"/>
    </sheetView>
  </sheetViews>
  <sheetFormatPr defaultColWidth="8.90625" defaultRowHeight="12.5" outlineLevelCol="1"/>
  <cols>
    <col min="1" max="1" width="4.54296875" style="390" customWidth="1"/>
    <col min="2" max="2" width="8.90625" style="390"/>
    <col min="3" max="3" width="19.36328125" style="390" customWidth="1"/>
    <col min="4" max="4" width="40" style="390" customWidth="1"/>
    <col min="5" max="5" width="2.54296875" style="390" customWidth="1"/>
    <col min="6" max="7" width="15.453125" style="390" customWidth="1"/>
    <col min="8" max="8" width="1.6328125" style="390" customWidth="1"/>
    <col min="9" max="10" width="15.453125" style="390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390" bestFit="1" customWidth="1"/>
    <col min="20" max="20" width="16.6328125" style="390" bestFit="1" customWidth="1"/>
    <col min="21" max="21" width="19.08984375" style="390" bestFit="1" customWidth="1"/>
    <col min="22" max="22" width="14.08984375" style="390" bestFit="1" customWidth="1"/>
    <col min="23" max="23" width="10" style="390" bestFit="1" customWidth="1"/>
    <col min="24" max="25" width="14.08984375" style="390" bestFit="1" customWidth="1"/>
    <col min="26" max="26" width="14.90625" style="390" bestFit="1" customWidth="1"/>
    <col min="27" max="16384" width="8.90625" style="390"/>
  </cols>
  <sheetData>
    <row r="1" spans="1:10" ht="13.5" customHeight="1">
      <c r="A1" s="43"/>
      <c r="B1" s="645"/>
      <c r="C1" s="646"/>
      <c r="D1" s="646"/>
      <c r="E1" s="646"/>
      <c r="F1" s="646"/>
      <c r="G1" s="646"/>
      <c r="H1" s="646"/>
      <c r="I1" s="646"/>
      <c r="J1" s="647"/>
    </row>
    <row r="2" spans="1:10" ht="14.25" customHeight="1">
      <c r="A2" s="43"/>
      <c r="B2" s="648"/>
      <c r="C2" s="649"/>
      <c r="D2" s="649"/>
      <c r="E2" s="649"/>
      <c r="F2" s="649"/>
      <c r="G2" s="649"/>
      <c r="H2" s="649"/>
      <c r="I2" s="649"/>
      <c r="J2" s="650"/>
    </row>
    <row r="3" spans="1:10" ht="15" customHeight="1" thickBot="1">
      <c r="A3" s="43"/>
      <c r="B3" s="651"/>
      <c r="C3" s="652"/>
      <c r="D3" s="652"/>
      <c r="E3" s="652"/>
      <c r="F3" s="652"/>
      <c r="G3" s="652"/>
      <c r="H3" s="652"/>
      <c r="I3" s="649"/>
      <c r="J3" s="650"/>
    </row>
    <row r="4" spans="1:10" ht="13">
      <c r="A4" s="43"/>
      <c r="B4" s="586"/>
      <c r="C4" s="587"/>
      <c r="D4" s="587"/>
      <c r="E4" s="587"/>
      <c r="F4" s="587"/>
      <c r="G4" s="587"/>
      <c r="H4" s="392"/>
      <c r="I4" s="393"/>
      <c r="J4" s="394"/>
    </row>
    <row r="5" spans="1:10" ht="16">
      <c r="A5" s="43"/>
      <c r="B5" s="670" t="s">
        <v>66</v>
      </c>
      <c r="C5" s="671"/>
      <c r="D5" s="671"/>
      <c r="E5" s="671"/>
      <c r="F5" s="671"/>
      <c r="G5" s="672"/>
      <c r="H5" s="395"/>
      <c r="I5" s="472" t="s">
        <v>16</v>
      </c>
      <c r="J5" s="498">
        <v>105.02</v>
      </c>
    </row>
    <row r="6" spans="1:10" ht="13.5" thickBot="1">
      <c r="A6" s="43"/>
      <c r="B6" s="673"/>
      <c r="C6" s="674"/>
      <c r="D6" s="675"/>
      <c r="E6" s="44"/>
      <c r="F6" s="668">
        <v>10.763999999999999</v>
      </c>
      <c r="G6" s="669"/>
      <c r="H6" s="396"/>
      <c r="I6" s="659">
        <v>10.763999999999999</v>
      </c>
      <c r="J6" s="660"/>
    </row>
    <row r="7" spans="1:10" ht="26">
      <c r="A7" s="43"/>
      <c r="B7" s="473" t="s">
        <v>67</v>
      </c>
      <c r="C7" s="676" t="s">
        <v>68</v>
      </c>
      <c r="D7" s="677"/>
      <c r="E7" s="474"/>
      <c r="F7" s="474" t="s">
        <v>299</v>
      </c>
      <c r="G7" s="474" t="str">
        <f>+F7</f>
        <v>As on
 01/01/2026</v>
      </c>
      <c r="H7" s="392"/>
      <c r="I7" s="473" t="str">
        <f>F7</f>
        <v>As on
 01/01/2026</v>
      </c>
      <c r="J7" s="475" t="str">
        <f>I7</f>
        <v>As on
 01/01/2026</v>
      </c>
    </row>
    <row r="8" spans="1:10" ht="13">
      <c r="A8" s="43"/>
      <c r="B8" s="476"/>
      <c r="C8" s="477"/>
      <c r="D8" s="478"/>
      <c r="E8" s="479"/>
      <c r="F8" s="606" t="s">
        <v>69</v>
      </c>
      <c r="G8" s="607"/>
      <c r="H8" s="395"/>
      <c r="I8" s="608" t="s">
        <v>63</v>
      </c>
      <c r="J8" s="609"/>
    </row>
    <row r="9" spans="1:10" ht="13">
      <c r="A9" s="43"/>
      <c r="B9" s="608" t="s">
        <v>70</v>
      </c>
      <c r="C9" s="607"/>
      <c r="D9" s="623"/>
      <c r="E9" s="480"/>
      <c r="F9" s="367" t="s">
        <v>71</v>
      </c>
      <c r="G9" s="367" t="s">
        <v>72</v>
      </c>
      <c r="H9" s="395"/>
      <c r="I9" s="372" t="s">
        <v>71</v>
      </c>
      <c r="J9" s="239" t="s">
        <v>72</v>
      </c>
    </row>
    <row r="10" spans="1:10" ht="27" customHeight="1">
      <c r="A10" s="43"/>
      <c r="B10" s="481">
        <v>1</v>
      </c>
      <c r="C10" s="653" t="s">
        <v>73</v>
      </c>
      <c r="D10" s="654"/>
      <c r="E10" s="482"/>
      <c r="F10" s="665" t="s">
        <v>295</v>
      </c>
      <c r="G10" s="666"/>
      <c r="H10" s="395"/>
      <c r="I10" s="661" t="str">
        <f>+F10</f>
        <v>Chennai</v>
      </c>
      <c r="J10" s="662"/>
    </row>
    <row r="11" spans="1:10" ht="28.5" customHeight="1">
      <c r="A11" s="43"/>
      <c r="B11" s="154">
        <f>1+B10</f>
        <v>2</v>
      </c>
      <c r="C11" s="655" t="s">
        <v>74</v>
      </c>
      <c r="D11" s="656"/>
      <c r="E11" s="42"/>
      <c r="F11" s="665"/>
      <c r="G11" s="666"/>
      <c r="H11" s="395"/>
      <c r="I11" s="663">
        <f>+F11</f>
        <v>0</v>
      </c>
      <c r="J11" s="664"/>
    </row>
    <row r="12" spans="1:10" ht="27.75" customHeight="1">
      <c r="A12" s="43"/>
      <c r="B12" s="154">
        <f>1+B11</f>
        <v>3</v>
      </c>
      <c r="C12" s="616" t="s">
        <v>75</v>
      </c>
      <c r="D12" s="617"/>
      <c r="E12" s="483"/>
      <c r="F12" s="644"/>
      <c r="G12" s="639"/>
      <c r="H12" s="395"/>
      <c r="I12" s="640">
        <f>+F12</f>
        <v>0</v>
      </c>
      <c r="J12" s="641"/>
    </row>
    <row r="13" spans="1:10" ht="15.9" customHeight="1">
      <c r="A13" s="43"/>
      <c r="B13" s="154">
        <f t="shared" ref="B13:B30" si="0">1+B12</f>
        <v>4</v>
      </c>
      <c r="C13" s="616" t="s">
        <v>76</v>
      </c>
      <c r="D13" s="617"/>
      <c r="E13" s="42"/>
      <c r="F13" s="638"/>
      <c r="G13" s="639"/>
      <c r="H13" s="395"/>
      <c r="I13" s="640"/>
      <c r="J13" s="641"/>
    </row>
    <row r="14" spans="1:10" ht="48" customHeight="1">
      <c r="A14" s="43"/>
      <c r="B14" s="154">
        <f t="shared" si="0"/>
        <v>5</v>
      </c>
      <c r="C14" s="657" t="s">
        <v>77</v>
      </c>
      <c r="D14" s="658"/>
      <c r="E14" s="467"/>
      <c r="F14" s="644" t="s">
        <v>296</v>
      </c>
      <c r="G14" s="667"/>
      <c r="H14" s="395"/>
      <c r="I14" s="640" t="str">
        <f>+F14</f>
        <v>6th floor</v>
      </c>
      <c r="J14" s="641"/>
    </row>
    <row r="15" spans="1:10" ht="51.75" customHeight="1">
      <c r="A15" s="43"/>
      <c r="B15" s="154">
        <f t="shared" si="0"/>
        <v>6</v>
      </c>
      <c r="C15" s="616" t="s">
        <v>78</v>
      </c>
      <c r="D15" s="617"/>
      <c r="E15" s="50"/>
      <c r="F15" s="606"/>
      <c r="G15" s="607"/>
      <c r="H15" s="395"/>
      <c r="I15" s="608">
        <f>+F15</f>
        <v>0</v>
      </c>
      <c r="J15" s="609"/>
    </row>
    <row r="16" spans="1:10" ht="15.9" customHeight="1">
      <c r="A16" s="43"/>
      <c r="B16" s="154">
        <f t="shared" si="0"/>
        <v>7</v>
      </c>
      <c r="C16" s="616" t="s">
        <v>79</v>
      </c>
      <c r="D16" s="617"/>
      <c r="E16" s="50"/>
      <c r="F16" s="638"/>
      <c r="G16" s="639"/>
      <c r="H16" s="395"/>
      <c r="I16" s="640"/>
      <c r="J16" s="641"/>
    </row>
    <row r="17" spans="1:10" ht="15.9" customHeight="1">
      <c r="A17" s="43"/>
      <c r="B17" s="154">
        <f t="shared" si="0"/>
        <v>8</v>
      </c>
      <c r="C17" s="616" t="s">
        <v>80</v>
      </c>
      <c r="D17" s="617"/>
      <c r="E17" s="50"/>
      <c r="F17" s="644" t="s">
        <v>81</v>
      </c>
      <c r="G17" s="639"/>
      <c r="H17" s="395"/>
      <c r="I17" s="640" t="str">
        <f>+F17</f>
        <v>Warm Shell</v>
      </c>
      <c r="J17" s="641"/>
    </row>
    <row r="18" spans="1:10" ht="48" customHeight="1">
      <c r="A18" s="43"/>
      <c r="B18" s="154">
        <f t="shared" si="0"/>
        <v>9</v>
      </c>
      <c r="C18" s="616" t="s">
        <v>82</v>
      </c>
      <c r="D18" s="617"/>
      <c r="E18" s="155"/>
      <c r="F18" s="606">
        <f>F15</f>
        <v>0</v>
      </c>
      <c r="G18" s="607"/>
      <c r="H18" s="395"/>
      <c r="I18" s="608">
        <f>+F18</f>
        <v>0</v>
      </c>
      <c r="J18" s="609"/>
    </row>
    <row r="19" spans="1:10" ht="15.9" customHeight="1">
      <c r="A19" s="43"/>
      <c r="B19" s="154">
        <f t="shared" si="0"/>
        <v>10</v>
      </c>
      <c r="C19" s="616" t="s">
        <v>83</v>
      </c>
      <c r="D19" s="617"/>
      <c r="E19" s="155"/>
      <c r="F19" s="638"/>
      <c r="G19" s="639"/>
      <c r="H19" s="395"/>
      <c r="I19" s="640"/>
      <c r="J19" s="641"/>
    </row>
    <row r="20" spans="1:10" ht="15.9" customHeight="1">
      <c r="A20" s="43"/>
      <c r="B20" s="154">
        <f t="shared" si="0"/>
        <v>11</v>
      </c>
      <c r="C20" s="610" t="s">
        <v>84</v>
      </c>
      <c r="D20" s="617"/>
      <c r="E20" s="485"/>
      <c r="F20" s="48"/>
      <c r="G20" s="379"/>
      <c r="H20" s="395"/>
      <c r="I20" s="125">
        <f>+F20/J5</f>
        <v>0</v>
      </c>
      <c r="J20" s="49">
        <f>+G20/J5</f>
        <v>0</v>
      </c>
    </row>
    <row r="21" spans="1:10" ht="15.9" customHeight="1">
      <c r="A21" s="43"/>
      <c r="B21" s="154">
        <f t="shared" si="0"/>
        <v>12</v>
      </c>
      <c r="C21" s="616" t="s">
        <v>85</v>
      </c>
      <c r="D21" s="617"/>
      <c r="E21" s="485"/>
      <c r="F21" s="48">
        <f>Main!B3</f>
        <v>9515</v>
      </c>
      <c r="G21" s="379">
        <f>F21/F6</f>
        <v>883.96506874767749</v>
      </c>
      <c r="H21" s="395"/>
      <c r="I21" s="125">
        <f>+F21</f>
        <v>9515</v>
      </c>
      <c r="J21" s="49">
        <f>I21/I6</f>
        <v>883.96506874767749</v>
      </c>
    </row>
    <row r="22" spans="1:10" ht="15.9" customHeight="1">
      <c r="A22" s="486"/>
      <c r="B22" s="154">
        <f t="shared" si="0"/>
        <v>13</v>
      </c>
      <c r="C22" s="610" t="s">
        <v>86</v>
      </c>
      <c r="D22" s="617"/>
      <c r="E22" s="485"/>
      <c r="F22" s="48">
        <v>0</v>
      </c>
      <c r="G22" s="378">
        <v>0</v>
      </c>
      <c r="H22" s="395"/>
      <c r="I22" s="125">
        <f>+F22</f>
        <v>0</v>
      </c>
      <c r="J22" s="49">
        <f>I22/I6</f>
        <v>0</v>
      </c>
    </row>
    <row r="23" spans="1:10" ht="15.9" customHeight="1">
      <c r="A23" s="43"/>
      <c r="B23" s="154">
        <f t="shared" si="0"/>
        <v>14</v>
      </c>
      <c r="C23" s="616" t="s">
        <v>87</v>
      </c>
      <c r="D23" s="617"/>
      <c r="E23" s="485"/>
      <c r="F23" s="48">
        <f>+F21+F22</f>
        <v>9515</v>
      </c>
      <c r="G23" s="379">
        <f>+G21+G22</f>
        <v>883.96506874767749</v>
      </c>
      <c r="H23" s="395"/>
      <c r="I23" s="125">
        <f>+I21+I22</f>
        <v>9515</v>
      </c>
      <c r="J23" s="49">
        <f>+J21+J22</f>
        <v>883.96506874767749</v>
      </c>
    </row>
    <row r="24" spans="1:10" ht="15.9" customHeight="1">
      <c r="A24" s="487"/>
      <c r="B24" s="154">
        <f t="shared" si="0"/>
        <v>15</v>
      </c>
      <c r="C24" s="616" t="s">
        <v>88</v>
      </c>
      <c r="D24" s="617"/>
      <c r="E24" s="51"/>
      <c r="F24" s="48"/>
      <c r="G24" s="379">
        <f>F24</f>
        <v>0</v>
      </c>
      <c r="H24" s="395"/>
      <c r="I24" s="125">
        <f>+F24</f>
        <v>0</v>
      </c>
      <c r="J24" s="49">
        <f>I24</f>
        <v>0</v>
      </c>
    </row>
    <row r="25" spans="1:10" ht="15.9" customHeight="1">
      <c r="A25" s="487"/>
      <c r="B25" s="154">
        <f t="shared" si="0"/>
        <v>16</v>
      </c>
      <c r="C25" s="616" t="s">
        <v>89</v>
      </c>
      <c r="D25" s="617"/>
      <c r="E25" s="51"/>
      <c r="F25" s="48">
        <v>0</v>
      </c>
      <c r="G25" s="379">
        <f>+G23*G26</f>
        <v>0</v>
      </c>
      <c r="H25" s="395"/>
      <c r="I25" s="125">
        <f>+F25</f>
        <v>0</v>
      </c>
      <c r="J25" s="49">
        <f>+G25</f>
        <v>0</v>
      </c>
    </row>
    <row r="26" spans="1:10" ht="15.9" customHeight="1">
      <c r="A26" s="43"/>
      <c r="B26" s="154">
        <f>1+B25</f>
        <v>17</v>
      </c>
      <c r="C26" s="616" t="s">
        <v>90</v>
      </c>
      <c r="D26" s="617"/>
      <c r="E26" s="52"/>
      <c r="F26" s="53">
        <f>F25/F23</f>
        <v>0</v>
      </c>
      <c r="G26" s="190">
        <f>+F26</f>
        <v>0</v>
      </c>
      <c r="H26" s="395"/>
      <c r="I26" s="126">
        <f>+I25/I23</f>
        <v>0</v>
      </c>
      <c r="J26" s="54">
        <f>+I26</f>
        <v>0</v>
      </c>
    </row>
    <row r="27" spans="1:10" ht="15.9" customHeight="1">
      <c r="A27" s="43"/>
      <c r="B27" s="154">
        <f>1+B26</f>
        <v>18</v>
      </c>
      <c r="C27" s="610" t="s">
        <v>91</v>
      </c>
      <c r="D27" s="617"/>
      <c r="E27" s="50"/>
      <c r="F27" s="284">
        <f>'CAPEX and PM'!E3</f>
        <v>72</v>
      </c>
      <c r="G27" s="284">
        <f>+F27</f>
        <v>72</v>
      </c>
      <c r="H27" s="395"/>
      <c r="I27" s="284">
        <f>+F27</f>
        <v>72</v>
      </c>
      <c r="J27" s="284">
        <f>+I27</f>
        <v>72</v>
      </c>
    </row>
    <row r="28" spans="1:10" ht="15.9" customHeight="1">
      <c r="A28" s="43"/>
      <c r="B28" s="154">
        <f t="shared" si="0"/>
        <v>19</v>
      </c>
      <c r="C28" s="610" t="s">
        <v>92</v>
      </c>
      <c r="D28" s="617"/>
      <c r="E28" s="56"/>
      <c r="F28" s="56">
        <f>Main!B12</f>
        <v>0.105</v>
      </c>
      <c r="G28" s="191">
        <f>SUM(F28)</f>
        <v>0.105</v>
      </c>
      <c r="H28" s="395"/>
      <c r="I28" s="127">
        <f>+F28</f>
        <v>0.105</v>
      </c>
      <c r="J28" s="57">
        <f>SUM(I28)</f>
        <v>0.105</v>
      </c>
    </row>
    <row r="29" spans="1:10" ht="15.9" customHeight="1">
      <c r="A29" s="43"/>
      <c r="B29" s="154">
        <f t="shared" si="0"/>
        <v>20</v>
      </c>
      <c r="C29" s="610" t="s">
        <v>93</v>
      </c>
      <c r="D29" s="617"/>
      <c r="E29" s="56"/>
      <c r="F29" s="52">
        <f>Main!B13</f>
        <v>7.1099999999999997E-2</v>
      </c>
      <c r="G29" s="192">
        <f>F29</f>
        <v>7.1099999999999997E-2</v>
      </c>
      <c r="H29" s="395"/>
      <c r="I29" s="176">
        <f>F29</f>
        <v>7.1099999999999997E-2</v>
      </c>
      <c r="J29" s="175">
        <f>I29</f>
        <v>7.1099999999999997E-2</v>
      </c>
    </row>
    <row r="30" spans="1:10" ht="15.9" customHeight="1">
      <c r="A30" s="43"/>
      <c r="B30" s="154">
        <f t="shared" si="0"/>
        <v>21</v>
      </c>
      <c r="C30" s="616" t="s">
        <v>94</v>
      </c>
      <c r="D30" s="617"/>
      <c r="E30" s="50"/>
      <c r="F30" s="48">
        <v>0</v>
      </c>
      <c r="G30" s="379">
        <f>F30</f>
        <v>0</v>
      </c>
      <c r="H30" s="395"/>
      <c r="I30" s="125">
        <f>+F30/J5</f>
        <v>0</v>
      </c>
      <c r="J30" s="49">
        <f>+G30/J5</f>
        <v>0</v>
      </c>
    </row>
    <row r="31" spans="1:10" ht="15.9" customHeight="1">
      <c r="A31" s="43"/>
      <c r="B31" s="635" t="s">
        <v>95</v>
      </c>
      <c r="C31" s="636"/>
      <c r="D31" s="637"/>
      <c r="E31" s="488"/>
      <c r="F31" s="367" t="s">
        <v>71</v>
      </c>
      <c r="G31" s="367" t="s">
        <v>72</v>
      </c>
      <c r="H31" s="395"/>
      <c r="I31" s="372" t="s">
        <v>71</v>
      </c>
      <c r="J31" s="239" t="s">
        <v>72</v>
      </c>
    </row>
    <row r="32" spans="1:10" ht="15.9" customHeight="1">
      <c r="A32" s="43"/>
      <c r="B32" s="154">
        <v>1</v>
      </c>
      <c r="C32" s="610" t="s">
        <v>96</v>
      </c>
      <c r="D32" s="617"/>
      <c r="E32" s="51"/>
      <c r="F32" s="48">
        <f>Main!B9/(Main!B3*Main!B7)</f>
        <v>10</v>
      </c>
      <c r="G32" s="195">
        <f>+F32</f>
        <v>10</v>
      </c>
      <c r="H32" s="395"/>
      <c r="I32" s="130">
        <f>+F32/$J$5</f>
        <v>9.5219958103218441E-2</v>
      </c>
      <c r="J32" s="64">
        <f>+I32*$I$6</f>
        <v>1.0249476290230433</v>
      </c>
    </row>
    <row r="33" spans="1:10" ht="15.9" customHeight="1">
      <c r="A33" s="43"/>
      <c r="B33" s="154">
        <f>1+B32</f>
        <v>2</v>
      </c>
      <c r="C33" s="610" t="s">
        <v>97</v>
      </c>
      <c r="D33" s="617"/>
      <c r="E33" s="51"/>
      <c r="F33" s="48">
        <v>0</v>
      </c>
      <c r="G33" s="379">
        <f>+F33</f>
        <v>0</v>
      </c>
      <c r="H33" s="395"/>
      <c r="I33" s="125">
        <v>0</v>
      </c>
      <c r="J33" s="49">
        <f>+I33</f>
        <v>0</v>
      </c>
    </row>
    <row r="34" spans="1:10" ht="15.9" customHeight="1">
      <c r="A34" s="43"/>
      <c r="B34" s="154">
        <f t="shared" ref="B34:B47" si="1">1+B33</f>
        <v>3</v>
      </c>
      <c r="C34" s="610" t="s">
        <v>98</v>
      </c>
      <c r="D34" s="617"/>
      <c r="E34" s="51"/>
      <c r="F34" s="48">
        <v>0</v>
      </c>
      <c r="G34" s="379">
        <f>F34</f>
        <v>0</v>
      </c>
      <c r="H34" s="395"/>
      <c r="I34" s="125">
        <f>F34/J5</f>
        <v>0</v>
      </c>
      <c r="J34" s="49">
        <f>I34</f>
        <v>0</v>
      </c>
    </row>
    <row r="35" spans="1:10" ht="15.9" customHeight="1">
      <c r="A35" s="43"/>
      <c r="B35" s="154">
        <f t="shared" si="1"/>
        <v>4</v>
      </c>
      <c r="C35" s="616" t="s">
        <v>99</v>
      </c>
      <c r="D35" s="617"/>
      <c r="E35" s="489"/>
      <c r="F35" s="60">
        <v>0</v>
      </c>
      <c r="G35" s="194">
        <v>0</v>
      </c>
      <c r="H35" s="395"/>
      <c r="I35" s="129">
        <v>0</v>
      </c>
      <c r="J35" s="61">
        <v>0</v>
      </c>
    </row>
    <row r="36" spans="1:10" ht="15.9" customHeight="1">
      <c r="A36" s="43"/>
      <c r="B36" s="154">
        <f t="shared" si="1"/>
        <v>5</v>
      </c>
      <c r="C36" s="610" t="s">
        <v>100</v>
      </c>
      <c r="D36" s="617"/>
      <c r="E36" s="489"/>
      <c r="F36" s="62">
        <f>'Lease Rent'!H37</f>
        <v>120</v>
      </c>
      <c r="G36" s="379">
        <f>+F36*F6</f>
        <v>1291.6799999999998</v>
      </c>
      <c r="H36" s="395"/>
      <c r="I36" s="130">
        <f>+F36/$J$5</f>
        <v>1.1426394972386213</v>
      </c>
      <c r="J36" s="49">
        <f>+I36*$I$6</f>
        <v>12.29937154827652</v>
      </c>
    </row>
    <row r="37" spans="1:10" ht="15.9" customHeight="1">
      <c r="A37" s="43"/>
      <c r="B37" s="154">
        <f t="shared" si="1"/>
        <v>6</v>
      </c>
      <c r="C37" s="610" t="s">
        <v>101</v>
      </c>
      <c r="D37" s="617"/>
      <c r="E37" s="489"/>
      <c r="F37" s="62"/>
      <c r="G37" s="195">
        <f>F37*F3</f>
        <v>0</v>
      </c>
      <c r="H37" s="395"/>
      <c r="I37" s="130"/>
      <c r="J37" s="49"/>
    </row>
    <row r="38" spans="1:10" ht="15.9" customHeight="1">
      <c r="A38" s="43"/>
      <c r="B38" s="154">
        <f t="shared" si="1"/>
        <v>7</v>
      </c>
      <c r="C38" s="610" t="s">
        <v>102</v>
      </c>
      <c r="D38" s="617"/>
      <c r="E38" s="63"/>
      <c r="F38" s="62">
        <f>'Lease Rent'!J31</f>
        <v>15.48</v>
      </c>
      <c r="G38" s="195">
        <f>F38*F6</f>
        <v>166.62672000000001</v>
      </c>
      <c r="H38" s="395"/>
      <c r="I38" s="130">
        <f>+F38/$J$5</f>
        <v>0.14740049514378215</v>
      </c>
      <c r="J38" s="59">
        <f>+I38*$I$6</f>
        <v>1.5866189297276709</v>
      </c>
    </row>
    <row r="39" spans="1:10" ht="15.9" customHeight="1">
      <c r="A39" s="43"/>
      <c r="B39" s="154">
        <f t="shared" si="1"/>
        <v>8</v>
      </c>
      <c r="C39" s="610" t="s">
        <v>103</v>
      </c>
      <c r="D39" s="617"/>
      <c r="E39" s="489"/>
      <c r="F39" s="62">
        <f>F36</f>
        <v>120</v>
      </c>
      <c r="G39" s="379">
        <f>F39*F6</f>
        <v>1291.6799999999998</v>
      </c>
      <c r="H39" s="395"/>
      <c r="I39" s="130">
        <f>+F39/$J$5</f>
        <v>1.1426394972386213</v>
      </c>
      <c r="J39" s="49">
        <f>+I39*$I$6</f>
        <v>12.29937154827652</v>
      </c>
    </row>
    <row r="40" spans="1:10" ht="15.9" customHeight="1">
      <c r="A40" s="43"/>
      <c r="B40" s="154">
        <f t="shared" si="1"/>
        <v>9</v>
      </c>
      <c r="C40" s="610" t="s">
        <v>104</v>
      </c>
      <c r="D40" s="617"/>
      <c r="E40" s="489"/>
      <c r="F40" s="62">
        <v>0</v>
      </c>
      <c r="G40" s="195">
        <f>F40*F6</f>
        <v>0</v>
      </c>
      <c r="H40" s="395"/>
      <c r="I40" s="130">
        <f>+F40/$J$5</f>
        <v>0</v>
      </c>
      <c r="J40" s="49">
        <f>+I40*$I$6</f>
        <v>0</v>
      </c>
    </row>
    <row r="41" spans="1:10" ht="15.9" customHeight="1">
      <c r="A41" s="43"/>
      <c r="B41" s="154">
        <f t="shared" si="1"/>
        <v>10</v>
      </c>
      <c r="C41" s="610" t="s">
        <v>105</v>
      </c>
      <c r="D41" s="617"/>
      <c r="E41" s="50"/>
      <c r="F41" s="106">
        <f>F38</f>
        <v>15.48</v>
      </c>
      <c r="G41" s="195">
        <f>F41*F6</f>
        <v>166.62672000000001</v>
      </c>
      <c r="H41" s="395"/>
      <c r="I41" s="130">
        <f>+F41/$J$5</f>
        <v>0.14740049514378215</v>
      </c>
      <c r="J41" s="64">
        <f>I41*I6</f>
        <v>1.5866189297276709</v>
      </c>
    </row>
    <row r="42" spans="1:10" ht="15.9" customHeight="1">
      <c r="A42" s="43"/>
      <c r="B42" s="154">
        <f t="shared" si="1"/>
        <v>11</v>
      </c>
      <c r="C42" s="616" t="s">
        <v>106</v>
      </c>
      <c r="D42" s="617"/>
      <c r="E42" s="51"/>
      <c r="F42" s="101">
        <v>0</v>
      </c>
      <c r="G42" s="379">
        <f>+F42</f>
        <v>0</v>
      </c>
      <c r="H42" s="395"/>
      <c r="I42" s="136">
        <f>+F42</f>
        <v>0</v>
      </c>
      <c r="J42" s="49">
        <f>+I42</f>
        <v>0</v>
      </c>
    </row>
    <row r="43" spans="1:10" ht="15.9" customHeight="1">
      <c r="A43" s="43"/>
      <c r="B43" s="154">
        <f t="shared" si="1"/>
        <v>12</v>
      </c>
      <c r="C43" s="616" t="s">
        <v>107</v>
      </c>
      <c r="D43" s="617"/>
      <c r="E43" s="65"/>
      <c r="F43" s="60">
        <v>0</v>
      </c>
      <c r="G43" s="194">
        <f>F43</f>
        <v>0</v>
      </c>
      <c r="H43" s="395"/>
      <c r="I43" s="129">
        <f>+F43</f>
        <v>0</v>
      </c>
      <c r="J43" s="61">
        <f>I43</f>
        <v>0</v>
      </c>
    </row>
    <row r="44" spans="1:10" ht="15.9" customHeight="1">
      <c r="A44" s="487"/>
      <c r="B44" s="154">
        <f t="shared" si="1"/>
        <v>13</v>
      </c>
      <c r="C44" s="616" t="s">
        <v>108</v>
      </c>
      <c r="D44" s="617"/>
      <c r="E44" s="51"/>
      <c r="F44" s="48">
        <f>'Lease Rent'!C22</f>
        <v>1500</v>
      </c>
      <c r="G44" s="379">
        <f>F44</f>
        <v>1500</v>
      </c>
      <c r="H44" s="395"/>
      <c r="I44" s="130">
        <f>+F44/$J$5</f>
        <v>14.282993715482766</v>
      </c>
      <c r="J44" s="61">
        <f>I44</f>
        <v>14.282993715482766</v>
      </c>
    </row>
    <row r="45" spans="1:10" ht="15.9" customHeight="1">
      <c r="A45" s="487"/>
      <c r="B45" s="154">
        <f t="shared" si="1"/>
        <v>14</v>
      </c>
      <c r="C45" s="610" t="s">
        <v>109</v>
      </c>
      <c r="D45" s="617"/>
      <c r="E45" s="51"/>
      <c r="F45" s="101">
        <v>0</v>
      </c>
      <c r="G45" s="379">
        <f>+F45</f>
        <v>0</v>
      </c>
      <c r="H45" s="395"/>
      <c r="I45" s="125"/>
      <c r="J45" s="49">
        <f>+I45</f>
        <v>0</v>
      </c>
    </row>
    <row r="46" spans="1:10" ht="15.9" customHeight="1">
      <c r="A46" s="487"/>
      <c r="B46" s="154">
        <f t="shared" si="1"/>
        <v>15</v>
      </c>
      <c r="C46" s="616" t="s">
        <v>107</v>
      </c>
      <c r="D46" s="617"/>
      <c r="E46" s="51"/>
      <c r="F46" s="48">
        <f>'Lease Rent'!D23</f>
        <v>50</v>
      </c>
      <c r="G46" s="379"/>
      <c r="H46" s="395"/>
      <c r="I46" s="125"/>
      <c r="J46" s="49"/>
    </row>
    <row r="47" spans="1:10" ht="15.9" customHeight="1">
      <c r="A47" s="487"/>
      <c r="B47" s="154">
        <f t="shared" si="1"/>
        <v>16</v>
      </c>
      <c r="C47" s="616" t="s">
        <v>108</v>
      </c>
      <c r="D47" s="617"/>
      <c r="E47" s="51"/>
      <c r="F47" s="48">
        <f>'Lease Rent'!C23</f>
        <v>1000</v>
      </c>
      <c r="G47" s="379"/>
      <c r="H47" s="395"/>
      <c r="I47" s="125"/>
      <c r="J47" s="49"/>
    </row>
    <row r="48" spans="1:10" ht="28.5" customHeight="1">
      <c r="A48" s="43"/>
      <c r="B48" s="680">
        <f>1+B47</f>
        <v>17</v>
      </c>
      <c r="C48" s="610" t="s">
        <v>110</v>
      </c>
      <c r="D48" s="617"/>
      <c r="E48" s="65"/>
      <c r="F48" s="626" t="str">
        <f>Main!B14</f>
        <v>15% every 3 years</v>
      </c>
      <c r="G48" s="627"/>
      <c r="H48" s="395"/>
      <c r="I48" s="640" t="str">
        <f>+F48</f>
        <v>15% every 3 years</v>
      </c>
      <c r="J48" s="641"/>
    </row>
    <row r="49" spans="1:18" ht="15.9" customHeight="1">
      <c r="A49" s="43"/>
      <c r="B49" s="681"/>
      <c r="C49" s="610" t="s">
        <v>111</v>
      </c>
      <c r="D49" s="617"/>
      <c r="E49" s="65"/>
      <c r="F49" s="626" t="str">
        <f>Main!B15</f>
        <v>5% every years</v>
      </c>
      <c r="G49" s="627"/>
      <c r="H49" s="395"/>
      <c r="I49" s="642" t="str">
        <f t="shared" ref="I49:I56" si="2">F49</f>
        <v>5% every years</v>
      </c>
      <c r="J49" s="643"/>
    </row>
    <row r="50" spans="1:18" ht="15.9" customHeight="1">
      <c r="A50" s="43"/>
      <c r="B50" s="154">
        <f>1+B48</f>
        <v>18</v>
      </c>
      <c r="C50" s="616" t="s">
        <v>112</v>
      </c>
      <c r="D50" s="617"/>
      <c r="E50" s="65"/>
      <c r="F50" s="624">
        <f>'Lease Rent'!B31</f>
        <v>46023</v>
      </c>
      <c r="G50" s="625"/>
      <c r="H50" s="395"/>
      <c r="I50" s="633">
        <f t="shared" si="2"/>
        <v>46023</v>
      </c>
      <c r="J50" s="634"/>
    </row>
    <row r="51" spans="1:18" ht="15.9" customHeight="1">
      <c r="A51" s="43"/>
      <c r="B51" s="154">
        <f t="shared" ref="B51:B57" si="3">1+B50</f>
        <v>19</v>
      </c>
      <c r="C51" s="610" t="s">
        <v>113</v>
      </c>
      <c r="D51" s="617"/>
      <c r="E51" s="65"/>
      <c r="F51" s="624">
        <f>'Lease Rent'!C102</f>
        <v>48213</v>
      </c>
      <c r="G51" s="625"/>
      <c r="H51" s="395"/>
      <c r="I51" s="633">
        <f>F51</f>
        <v>48213</v>
      </c>
      <c r="J51" s="634"/>
    </row>
    <row r="52" spans="1:18" ht="15.9" customHeight="1">
      <c r="A52" s="43"/>
      <c r="B52" s="154">
        <f t="shared" si="3"/>
        <v>20</v>
      </c>
      <c r="C52" s="610" t="s">
        <v>114</v>
      </c>
      <c r="D52" s="611"/>
      <c r="E52" s="65"/>
      <c r="F52" s="624">
        <f>F50</f>
        <v>46023</v>
      </c>
      <c r="G52" s="625"/>
      <c r="H52" s="395"/>
      <c r="I52" s="633">
        <f t="shared" si="2"/>
        <v>46023</v>
      </c>
      <c r="J52" s="634"/>
    </row>
    <row r="53" spans="1:18" ht="15.9" customHeight="1">
      <c r="A53" s="43"/>
      <c r="B53" s="154">
        <f t="shared" si="3"/>
        <v>21</v>
      </c>
      <c r="C53" s="610" t="s">
        <v>115</v>
      </c>
      <c r="D53" s="611"/>
      <c r="E53" s="65"/>
      <c r="F53" s="606">
        <v>0</v>
      </c>
      <c r="G53" s="607"/>
      <c r="H53" s="395"/>
      <c r="I53" s="608">
        <f>+F53</f>
        <v>0</v>
      </c>
      <c r="J53" s="609"/>
    </row>
    <row r="54" spans="1:18" ht="15.9" customHeight="1">
      <c r="A54" s="43"/>
      <c r="B54" s="154">
        <f t="shared" si="3"/>
        <v>22</v>
      </c>
      <c r="C54" s="616" t="s">
        <v>116</v>
      </c>
      <c r="D54" s="617"/>
      <c r="E54" s="50"/>
      <c r="F54" s="48">
        <f>(F51-F50)/365*12</f>
        <v>72</v>
      </c>
      <c r="G54" s="379">
        <f>F54</f>
        <v>72</v>
      </c>
      <c r="H54" s="395"/>
      <c r="I54" s="125">
        <f t="shared" si="2"/>
        <v>72</v>
      </c>
      <c r="J54" s="49">
        <f>I54</f>
        <v>72</v>
      </c>
      <c r="R54" s="537"/>
    </row>
    <row r="55" spans="1:18" ht="15.9" customHeight="1">
      <c r="A55" s="43"/>
      <c r="B55" s="154">
        <f t="shared" si="3"/>
        <v>23</v>
      </c>
      <c r="C55" s="616" t="s">
        <v>117</v>
      </c>
      <c r="D55" s="617"/>
      <c r="E55" s="63"/>
      <c r="F55" s="48">
        <v>0</v>
      </c>
      <c r="G55" s="379">
        <f>F55</f>
        <v>0</v>
      </c>
      <c r="H55" s="395"/>
      <c r="I55" s="125">
        <f t="shared" si="2"/>
        <v>0</v>
      </c>
      <c r="J55" s="49">
        <f>I55</f>
        <v>0</v>
      </c>
      <c r="R55" s="537"/>
    </row>
    <row r="56" spans="1:18" ht="15.9" customHeight="1">
      <c r="A56" s="43"/>
      <c r="B56" s="154">
        <f t="shared" si="3"/>
        <v>24</v>
      </c>
      <c r="C56" s="616" t="s">
        <v>118</v>
      </c>
      <c r="D56" s="617"/>
      <c r="E56" s="63"/>
      <c r="F56" s="293" t="s">
        <v>64</v>
      </c>
      <c r="G56" s="379" t="str">
        <f>+F56</f>
        <v xml:space="preserve"> </v>
      </c>
      <c r="H56" s="395"/>
      <c r="I56" s="125" t="str">
        <f t="shared" si="2"/>
        <v xml:space="preserve"> </v>
      </c>
      <c r="J56" s="49" t="str">
        <f>+I56</f>
        <v xml:space="preserve"> </v>
      </c>
      <c r="R56" s="537"/>
    </row>
    <row r="57" spans="1:18" ht="15.9" customHeight="1">
      <c r="A57" s="43"/>
      <c r="B57" s="154">
        <f t="shared" si="3"/>
        <v>25</v>
      </c>
      <c r="C57" s="616" t="s">
        <v>119</v>
      </c>
      <c r="D57" s="617"/>
      <c r="E57" s="63"/>
      <c r="F57" s="48"/>
      <c r="G57" s="379"/>
      <c r="H57" s="395"/>
      <c r="I57" s="125"/>
      <c r="J57" s="49"/>
      <c r="R57" s="537"/>
    </row>
    <row r="58" spans="1:18" ht="15.9" customHeight="1">
      <c r="A58" s="43"/>
      <c r="B58" s="372"/>
      <c r="C58" s="66"/>
      <c r="D58" s="66"/>
      <c r="E58" s="50"/>
      <c r="F58" s="606" t="s">
        <v>69</v>
      </c>
      <c r="G58" s="607"/>
      <c r="H58" s="395"/>
      <c r="I58" s="608" t="s">
        <v>63</v>
      </c>
      <c r="J58" s="609"/>
    </row>
    <row r="59" spans="1:18" ht="15.9" customHeight="1">
      <c r="A59" s="43"/>
      <c r="B59" s="678" t="s">
        <v>120</v>
      </c>
      <c r="C59" s="679"/>
      <c r="D59" s="679"/>
      <c r="E59" s="488"/>
      <c r="F59" s="367" t="s">
        <v>71</v>
      </c>
      <c r="G59" s="367" t="s">
        <v>72</v>
      </c>
      <c r="H59" s="395"/>
      <c r="I59" s="372" t="s">
        <v>71</v>
      </c>
      <c r="J59" s="239" t="s">
        <v>72</v>
      </c>
    </row>
    <row r="60" spans="1:18" ht="15.9" customHeight="1">
      <c r="A60" s="486"/>
      <c r="B60" s="154">
        <v>1</v>
      </c>
      <c r="C60" s="610" t="s">
        <v>121</v>
      </c>
      <c r="D60" s="617"/>
      <c r="E60" s="490"/>
      <c r="F60" s="62">
        <f>C220/F21/F54</f>
        <v>129</v>
      </c>
      <c r="G60" s="379">
        <f>+F60*F6</f>
        <v>1388.5559999999998</v>
      </c>
      <c r="H60" s="395"/>
      <c r="I60" s="130">
        <f>+F60/$J$5</f>
        <v>1.228337459531518</v>
      </c>
      <c r="J60" s="49">
        <f>+I60*$I$6</f>
        <v>13.221824414397259</v>
      </c>
    </row>
    <row r="61" spans="1:18" ht="15.9" customHeight="1">
      <c r="A61" s="486"/>
      <c r="B61" s="154">
        <f>1+B60</f>
        <v>2</v>
      </c>
      <c r="C61" s="610" t="s">
        <v>122</v>
      </c>
      <c r="D61" s="617"/>
      <c r="E61" s="490"/>
      <c r="F61" s="62">
        <v>0</v>
      </c>
      <c r="G61" s="379">
        <v>0</v>
      </c>
      <c r="H61" s="395"/>
      <c r="I61" s="130">
        <f>+F61/$J$5</f>
        <v>0</v>
      </c>
      <c r="J61" s="49">
        <f>G61/J5</f>
        <v>0</v>
      </c>
    </row>
    <row r="62" spans="1:18" ht="15.9" customHeight="1">
      <c r="A62" s="491"/>
      <c r="B62" s="154">
        <f t="shared" ref="B62:B83" si="4">1+B61</f>
        <v>3</v>
      </c>
      <c r="C62" s="612" t="s">
        <v>123</v>
      </c>
      <c r="D62" s="613"/>
      <c r="E62" s="67"/>
      <c r="F62" s="68">
        <f>F60+F61</f>
        <v>129</v>
      </c>
      <c r="G62" s="197">
        <f>+G60+G61</f>
        <v>1388.5559999999998</v>
      </c>
      <c r="H62" s="395"/>
      <c r="I62" s="131">
        <f>I60+I61</f>
        <v>1.228337459531518</v>
      </c>
      <c r="J62" s="47">
        <f>+J60+J61</f>
        <v>13.221824414397259</v>
      </c>
    </row>
    <row r="63" spans="1:18" ht="15.9" customHeight="1">
      <c r="A63" s="69"/>
      <c r="B63" s="154">
        <f t="shared" si="4"/>
        <v>4</v>
      </c>
      <c r="C63" s="610" t="s">
        <v>317</v>
      </c>
      <c r="D63" s="617"/>
      <c r="E63" s="48"/>
      <c r="F63" s="46">
        <f>F62*F21</f>
        <v>1227435</v>
      </c>
      <c r="G63" s="376">
        <f>+F63</f>
        <v>1227435</v>
      </c>
      <c r="H63" s="395"/>
      <c r="I63" s="124">
        <f>+F63/$J$5</f>
        <v>11687.630927442393</v>
      </c>
      <c r="J63" s="47">
        <f>+I63</f>
        <v>11687.630927442393</v>
      </c>
    </row>
    <row r="64" spans="1:18" ht="15.9" customHeight="1">
      <c r="A64" s="69"/>
      <c r="B64" s="154">
        <f t="shared" si="4"/>
        <v>5</v>
      </c>
      <c r="C64" s="610" t="s">
        <v>124</v>
      </c>
      <c r="D64" s="617"/>
      <c r="E64" s="48"/>
      <c r="F64" s="62">
        <f>I220/F21/F54</f>
        <v>17.548935056250006</v>
      </c>
      <c r="G64" s="379">
        <f>+F64*F6</f>
        <v>188.89673694547506</v>
      </c>
      <c r="H64" s="395"/>
      <c r="I64" s="130">
        <f>+F64/J5</f>
        <v>0.16710088608122267</v>
      </c>
      <c r="J64" s="64">
        <f>+I64*$I$6</f>
        <v>1.7986739377782808</v>
      </c>
    </row>
    <row r="65" spans="1:10" ht="15.9" customHeight="1">
      <c r="A65" s="492"/>
      <c r="B65" s="154">
        <f t="shared" si="4"/>
        <v>6</v>
      </c>
      <c r="C65" s="616" t="s">
        <v>318</v>
      </c>
      <c r="D65" s="617"/>
      <c r="E65" s="63"/>
      <c r="F65" s="46">
        <f>+F64*F21</f>
        <v>166978.11706021879</v>
      </c>
      <c r="G65" s="46">
        <f>+G64*G21*1.01</f>
        <v>168647.89823082101</v>
      </c>
      <c r="H65" s="395"/>
      <c r="I65" s="124">
        <f>+F65/$J$5</f>
        <v>1589.9649310628338</v>
      </c>
      <c r="J65" s="47">
        <f>+I65</f>
        <v>1589.9649310628338</v>
      </c>
    </row>
    <row r="66" spans="1:10" ht="15.9" customHeight="1">
      <c r="A66" s="43"/>
      <c r="B66" s="154">
        <f t="shared" si="4"/>
        <v>7</v>
      </c>
      <c r="C66" s="616" t="s">
        <v>319</v>
      </c>
      <c r="D66" s="617"/>
      <c r="E66" s="51"/>
      <c r="F66" s="48">
        <f>(+G220/F54)</f>
        <v>182750</v>
      </c>
      <c r="G66" s="379">
        <f>+F66</f>
        <v>182750</v>
      </c>
      <c r="H66" s="395"/>
      <c r="I66" s="125">
        <f t="shared" ref="I66:I82" si="5">+F66/$J$5</f>
        <v>1740.144734336317</v>
      </c>
      <c r="J66" s="49">
        <f>G66/J5</f>
        <v>1740.144734336317</v>
      </c>
    </row>
    <row r="67" spans="1:10" ht="15.9" customHeight="1">
      <c r="A67" s="69"/>
      <c r="B67" s="154">
        <f t="shared" si="4"/>
        <v>8</v>
      </c>
      <c r="C67" s="616" t="s">
        <v>125</v>
      </c>
      <c r="D67" s="617"/>
      <c r="E67" s="48"/>
      <c r="F67" s="48">
        <f>Main!B9</f>
        <v>11418000</v>
      </c>
      <c r="G67" s="379">
        <f>F67</f>
        <v>11418000</v>
      </c>
      <c r="H67" s="395"/>
      <c r="I67" s="130">
        <f t="shared" si="5"/>
        <v>108722.14816225482</v>
      </c>
      <c r="J67" s="49">
        <f>G67/J5</f>
        <v>108722.14816225482</v>
      </c>
    </row>
    <row r="68" spans="1:10" ht="13">
      <c r="A68" s="69"/>
      <c r="B68" s="154">
        <f t="shared" si="4"/>
        <v>9</v>
      </c>
      <c r="C68" s="616" t="s">
        <v>126</v>
      </c>
      <c r="D68" s="617"/>
      <c r="E68" s="48"/>
      <c r="F68" s="48">
        <v>0</v>
      </c>
      <c r="G68" s="379">
        <f>F68</f>
        <v>0</v>
      </c>
      <c r="H68" s="395"/>
      <c r="I68" s="130">
        <f t="shared" si="5"/>
        <v>0</v>
      </c>
      <c r="J68" s="49">
        <f>+G68/J5</f>
        <v>0</v>
      </c>
    </row>
    <row r="69" spans="1:10" ht="21.75" customHeight="1">
      <c r="A69" s="69"/>
      <c r="B69" s="154">
        <f t="shared" si="4"/>
        <v>10</v>
      </c>
      <c r="C69" s="610" t="s">
        <v>127</v>
      </c>
      <c r="D69" s="617"/>
      <c r="E69" s="48"/>
      <c r="F69" s="48">
        <v>500000</v>
      </c>
      <c r="G69" s="379">
        <f>+F69</f>
        <v>500000</v>
      </c>
      <c r="H69" s="395"/>
      <c r="I69" s="130">
        <f t="shared" si="5"/>
        <v>4760.9979051609216</v>
      </c>
      <c r="J69" s="49">
        <f t="shared" ref="J69:J81" si="6">+I69*$I$6</f>
        <v>51247.381451152156</v>
      </c>
    </row>
    <row r="70" spans="1:10" ht="13">
      <c r="A70" s="69"/>
      <c r="B70" s="154">
        <f t="shared" si="4"/>
        <v>11</v>
      </c>
      <c r="C70" s="616" t="s">
        <v>128</v>
      </c>
      <c r="D70" s="617"/>
      <c r="E70" s="48"/>
      <c r="F70" s="46">
        <v>0</v>
      </c>
      <c r="G70" s="376"/>
      <c r="H70" s="395"/>
      <c r="I70" s="130">
        <f t="shared" si="5"/>
        <v>0</v>
      </c>
      <c r="J70" s="49">
        <f t="shared" si="6"/>
        <v>0</v>
      </c>
    </row>
    <row r="71" spans="1:10" ht="15.9" customHeight="1">
      <c r="A71" s="43"/>
      <c r="B71" s="154">
        <f t="shared" si="4"/>
        <v>12</v>
      </c>
      <c r="C71" s="616" t="s">
        <v>129</v>
      </c>
      <c r="D71" s="617"/>
      <c r="E71" s="48"/>
      <c r="F71" s="46">
        <f>F38*F23*F33</f>
        <v>0</v>
      </c>
      <c r="G71" s="196">
        <f>F71</f>
        <v>0</v>
      </c>
      <c r="H71" s="395"/>
      <c r="I71" s="130">
        <f t="shared" si="5"/>
        <v>0</v>
      </c>
      <c r="J71" s="49">
        <f t="shared" si="6"/>
        <v>0</v>
      </c>
    </row>
    <row r="72" spans="1:10" ht="15.9" customHeight="1">
      <c r="A72" s="43"/>
      <c r="B72" s="154">
        <f t="shared" si="4"/>
        <v>13</v>
      </c>
      <c r="C72" s="616" t="s">
        <v>130</v>
      </c>
      <c r="D72" s="617"/>
      <c r="E72" s="48"/>
      <c r="F72" s="48">
        <v>0</v>
      </c>
      <c r="G72" s="194">
        <f>+F72</f>
        <v>0</v>
      </c>
      <c r="H72" s="395"/>
      <c r="I72" s="130">
        <f t="shared" si="5"/>
        <v>0</v>
      </c>
      <c r="J72" s="49">
        <f t="shared" si="6"/>
        <v>0</v>
      </c>
    </row>
    <row r="73" spans="1:10" ht="15.9" customHeight="1">
      <c r="A73" s="43"/>
      <c r="B73" s="154">
        <f t="shared" si="4"/>
        <v>14</v>
      </c>
      <c r="C73" s="610" t="s">
        <v>131</v>
      </c>
      <c r="D73" s="617"/>
      <c r="E73" s="489"/>
      <c r="F73" s="60">
        <f>+F35*F63</f>
        <v>0</v>
      </c>
      <c r="G73" s="194">
        <f>G35*G63</f>
        <v>0</v>
      </c>
      <c r="H73" s="395"/>
      <c r="I73" s="130">
        <f t="shared" si="5"/>
        <v>0</v>
      </c>
      <c r="J73" s="49">
        <f t="shared" si="6"/>
        <v>0</v>
      </c>
    </row>
    <row r="74" spans="1:10" ht="15.9" customHeight="1">
      <c r="A74" s="43"/>
      <c r="B74" s="154">
        <f t="shared" si="4"/>
        <v>15</v>
      </c>
      <c r="C74" s="465" t="s">
        <v>132</v>
      </c>
      <c r="D74" s="466"/>
      <c r="E74" s="489"/>
      <c r="F74" s="347">
        <f>F119</f>
        <v>699.78</v>
      </c>
      <c r="G74" s="451">
        <v>0</v>
      </c>
      <c r="H74" s="395"/>
      <c r="I74" s="130">
        <f>+F74/J5</f>
        <v>6.6633022281470193</v>
      </c>
      <c r="J74" s="49">
        <f t="shared" si="6"/>
        <v>71.72378518377451</v>
      </c>
    </row>
    <row r="75" spans="1:10" ht="15.9" customHeight="1">
      <c r="A75" s="43"/>
      <c r="B75" s="154">
        <f t="shared" si="4"/>
        <v>16</v>
      </c>
      <c r="C75" s="610" t="s">
        <v>133</v>
      </c>
      <c r="D75" s="617"/>
      <c r="E75" s="51"/>
      <c r="F75" s="48">
        <f>+F77/F23</f>
        <v>1471.3610089332633</v>
      </c>
      <c r="G75" s="194">
        <f>+G77/G23</f>
        <v>15837.729900157645</v>
      </c>
      <c r="H75" s="395"/>
      <c r="I75" s="130">
        <f t="shared" si="5"/>
        <v>14.010293362533455</v>
      </c>
      <c r="J75" s="49">
        <f t="shared" si="6"/>
        <v>150.80679775431011</v>
      </c>
    </row>
    <row r="76" spans="1:10" ht="15.9" customHeight="1">
      <c r="A76" s="43"/>
      <c r="B76" s="154">
        <f t="shared" si="4"/>
        <v>17</v>
      </c>
      <c r="C76" s="610" t="s">
        <v>134</v>
      </c>
      <c r="D76" s="617"/>
      <c r="E76" s="63"/>
      <c r="F76" s="43"/>
      <c r="G76" s="484"/>
      <c r="H76" s="395"/>
      <c r="I76" s="130">
        <f t="shared" si="5"/>
        <v>0</v>
      </c>
      <c r="J76" s="49">
        <f t="shared" si="6"/>
        <v>0</v>
      </c>
    </row>
    <row r="77" spans="1:10" ht="15.9" customHeight="1">
      <c r="A77" s="43"/>
      <c r="B77" s="154">
        <f t="shared" si="4"/>
        <v>18</v>
      </c>
      <c r="C77" s="610" t="s">
        <v>135</v>
      </c>
      <c r="D77" s="617"/>
      <c r="E77" s="63"/>
      <c r="F77" s="48">
        <f>'CAPEX and PM'!B6</f>
        <v>14000000</v>
      </c>
      <c r="G77" s="379">
        <f>F77</f>
        <v>14000000</v>
      </c>
      <c r="H77" s="395"/>
      <c r="I77" s="125">
        <f t="shared" si="5"/>
        <v>133307.94134450582</v>
      </c>
      <c r="J77" s="49">
        <f>+G77/J5</f>
        <v>133307.94134450582</v>
      </c>
    </row>
    <row r="78" spans="1:10" ht="15.9" customHeight="1">
      <c r="A78" s="43"/>
      <c r="B78" s="154">
        <f t="shared" si="4"/>
        <v>19</v>
      </c>
      <c r="C78" s="610" t="s">
        <v>136</v>
      </c>
      <c r="D78" s="617"/>
      <c r="E78" s="63"/>
      <c r="F78" s="48">
        <f>'CAPEX and PM'!B37</f>
        <v>43000000</v>
      </c>
      <c r="G78" s="379">
        <f>+F78</f>
        <v>43000000</v>
      </c>
      <c r="H78" s="395"/>
      <c r="I78" s="130">
        <f t="shared" si="5"/>
        <v>409445.81984383927</v>
      </c>
      <c r="J78" s="49">
        <f t="shared" si="6"/>
        <v>4407274.8047990855</v>
      </c>
    </row>
    <row r="79" spans="1:10" ht="15.9" customHeight="1">
      <c r="A79" s="43"/>
      <c r="B79" s="154">
        <f t="shared" si="4"/>
        <v>20</v>
      </c>
      <c r="C79" s="610" t="s">
        <v>137</v>
      </c>
      <c r="D79" s="617"/>
      <c r="E79" s="63"/>
      <c r="F79" s="48">
        <f>+'CAPEX and PM'!B95</f>
        <v>2500000</v>
      </c>
      <c r="G79" s="379">
        <f>F79</f>
        <v>2500000</v>
      </c>
      <c r="H79" s="395"/>
      <c r="I79" s="130">
        <f t="shared" si="5"/>
        <v>23804.989525804609</v>
      </c>
      <c r="J79" s="49">
        <f t="shared" si="6"/>
        <v>256236.9072557608</v>
      </c>
    </row>
    <row r="80" spans="1:10" ht="15.9" customHeight="1">
      <c r="A80" s="43"/>
      <c r="B80" s="154">
        <f t="shared" si="4"/>
        <v>21</v>
      </c>
      <c r="C80" s="610" t="s">
        <v>138</v>
      </c>
      <c r="D80" s="617"/>
      <c r="E80" s="63"/>
      <c r="F80" s="48"/>
      <c r="G80" s="379"/>
      <c r="H80" s="395"/>
      <c r="I80" s="130">
        <f t="shared" si="5"/>
        <v>0</v>
      </c>
      <c r="J80" s="49">
        <f t="shared" si="6"/>
        <v>0</v>
      </c>
    </row>
    <row r="81" spans="1:24" ht="15.9" customHeight="1">
      <c r="A81" s="43"/>
      <c r="B81" s="154">
        <f t="shared" si="4"/>
        <v>22</v>
      </c>
      <c r="C81" s="610" t="s">
        <v>139</v>
      </c>
      <c r="D81" s="611"/>
      <c r="E81" s="63"/>
      <c r="F81" s="48"/>
      <c r="G81" s="379"/>
      <c r="H81" s="395"/>
      <c r="I81" s="130">
        <f t="shared" si="5"/>
        <v>0</v>
      </c>
      <c r="J81" s="49">
        <f t="shared" si="6"/>
        <v>0</v>
      </c>
    </row>
    <row r="82" spans="1:24" ht="15.9" customHeight="1">
      <c r="A82" s="43"/>
      <c r="B82" s="154">
        <f t="shared" si="4"/>
        <v>23</v>
      </c>
      <c r="C82" s="610" t="s">
        <v>140</v>
      </c>
      <c r="D82" s="617"/>
      <c r="E82" s="51"/>
      <c r="F82" s="48">
        <f>+G207</f>
        <v>565315.30184775486</v>
      </c>
      <c r="G82" s="379">
        <f>+F82</f>
        <v>565315.30184775486</v>
      </c>
      <c r="H82" s="395"/>
      <c r="I82" s="125">
        <f t="shared" si="5"/>
        <v>5382.9299357051505</v>
      </c>
      <c r="J82" s="49">
        <f>G82/J5</f>
        <v>5382.9299357051505</v>
      </c>
    </row>
    <row r="83" spans="1:24" ht="22.5" customHeight="1">
      <c r="A83" s="43"/>
      <c r="B83" s="154">
        <f t="shared" si="4"/>
        <v>24</v>
      </c>
      <c r="C83" s="610" t="s">
        <v>320</v>
      </c>
      <c r="D83" s="617"/>
      <c r="E83" s="489"/>
      <c r="F83" s="48">
        <f>+F30</f>
        <v>0</v>
      </c>
      <c r="G83" s="379">
        <f>+F83</f>
        <v>0</v>
      </c>
      <c r="H83" s="395"/>
      <c r="I83" s="125">
        <v>4</v>
      </c>
      <c r="J83" s="49">
        <f>G83/J5</f>
        <v>0</v>
      </c>
    </row>
    <row r="84" spans="1:24" ht="15.9" customHeight="1">
      <c r="A84" s="43"/>
      <c r="B84" s="71"/>
      <c r="C84" s="43"/>
      <c r="D84" s="43"/>
      <c r="E84" s="72"/>
      <c r="F84" s="43"/>
      <c r="G84" s="43"/>
      <c r="H84" s="395"/>
      <c r="I84" s="86"/>
      <c r="J84" s="73"/>
    </row>
    <row r="85" spans="1:24" ht="15.9" customHeight="1">
      <c r="A85" s="43"/>
      <c r="B85" s="618" t="s">
        <v>141</v>
      </c>
      <c r="C85" s="619"/>
      <c r="D85" s="620"/>
      <c r="E85" s="380"/>
      <c r="F85" s="153" t="s">
        <v>71</v>
      </c>
      <c r="G85" s="153" t="s">
        <v>72</v>
      </c>
      <c r="H85" s="395"/>
      <c r="I85" s="365" t="s">
        <v>71</v>
      </c>
      <c r="J85" s="45" t="s">
        <v>72</v>
      </c>
    </row>
    <row r="86" spans="1:24" ht="15.9" customHeight="1">
      <c r="A86" s="69"/>
      <c r="B86" s="154">
        <v>1</v>
      </c>
      <c r="C86" s="610" t="s">
        <v>142</v>
      </c>
      <c r="D86" s="617"/>
      <c r="E86" s="63"/>
      <c r="F86" s="62">
        <f>+F62</f>
        <v>129</v>
      </c>
      <c r="G86" s="195">
        <f>+G62</f>
        <v>1388.5559999999998</v>
      </c>
      <c r="H86" s="395"/>
      <c r="I86" s="130">
        <f>+F86/J5</f>
        <v>1.228337459531518</v>
      </c>
      <c r="J86" s="64">
        <f>G86/J5</f>
        <v>13.221824414397256</v>
      </c>
      <c r="S86" s="391"/>
      <c r="T86" s="391"/>
      <c r="X86" s="397"/>
    </row>
    <row r="87" spans="1:24" ht="15.9" customHeight="1">
      <c r="A87" s="43"/>
      <c r="B87" s="154">
        <f>1+B86</f>
        <v>2</v>
      </c>
      <c r="C87" s="616" t="s">
        <v>143</v>
      </c>
      <c r="D87" s="617"/>
      <c r="E87" s="65"/>
      <c r="F87" s="48">
        <v>0</v>
      </c>
      <c r="G87" s="379">
        <v>0</v>
      </c>
      <c r="H87" s="395"/>
      <c r="I87" s="125">
        <v>0</v>
      </c>
      <c r="J87" s="49">
        <v>0</v>
      </c>
      <c r="T87" s="391"/>
    </row>
    <row r="88" spans="1:24" ht="15.9" customHeight="1">
      <c r="A88" s="43"/>
      <c r="B88" s="154">
        <f t="shared" ref="B88:B94" si="7">+B87+1</f>
        <v>3</v>
      </c>
      <c r="C88" s="616" t="s">
        <v>144</v>
      </c>
      <c r="D88" s="617"/>
      <c r="E88" s="65"/>
      <c r="F88" s="62">
        <f>(F66/F23)</f>
        <v>19.206516027325275</v>
      </c>
      <c r="G88" s="195">
        <f>+F88*F6</f>
        <v>206.73893851812926</v>
      </c>
      <c r="H88" s="395"/>
      <c r="I88" s="130">
        <f>+F88/J5</f>
        <v>0.1828843651430706</v>
      </c>
      <c r="J88" s="64">
        <f>+I88*I6</f>
        <v>1.9685673064000118</v>
      </c>
      <c r="S88" s="391"/>
      <c r="T88" s="391"/>
    </row>
    <row r="89" spans="1:24" ht="15.9" customHeight="1">
      <c r="A89" s="43"/>
      <c r="B89" s="154">
        <f t="shared" si="7"/>
        <v>4</v>
      </c>
      <c r="C89" s="616" t="s">
        <v>145</v>
      </c>
      <c r="D89" s="617"/>
      <c r="E89" s="65"/>
      <c r="F89" s="58">
        <f>'Security Deposit'!C17</f>
        <v>10.729900157645822</v>
      </c>
      <c r="G89" s="193">
        <f>F89*F6</f>
        <v>115.49664529689963</v>
      </c>
      <c r="H89" s="395"/>
      <c r="I89" s="130">
        <f>F89/$J$5</f>
        <v>0.10217006434627521</v>
      </c>
      <c r="J89" s="64">
        <f>I89*I6</f>
        <v>1.0997585726233063</v>
      </c>
      <c r="S89" s="391"/>
      <c r="T89" s="391"/>
    </row>
    <row r="90" spans="1:24" ht="15.9" customHeight="1">
      <c r="A90" s="43"/>
      <c r="B90" s="154">
        <f t="shared" si="7"/>
        <v>5</v>
      </c>
      <c r="C90" s="616" t="s">
        <v>285</v>
      </c>
      <c r="D90" s="617"/>
      <c r="E90" s="65"/>
      <c r="F90" s="193">
        <f>+F64</f>
        <v>17.548935056250006</v>
      </c>
      <c r="G90" s="379">
        <f>+F90*$F$6</f>
        <v>188.89673694547506</v>
      </c>
      <c r="H90" s="395"/>
      <c r="I90" s="130">
        <f>F90/$J$5</f>
        <v>0.16710088608122267</v>
      </c>
      <c r="J90" s="64">
        <f>I90*I6</f>
        <v>1.7986739377782808</v>
      </c>
      <c r="S90" s="391"/>
      <c r="T90" s="391"/>
    </row>
    <row r="91" spans="1:24" ht="15.9" customHeight="1">
      <c r="A91" s="157"/>
      <c r="B91" s="154">
        <f>+B89+1</f>
        <v>5</v>
      </c>
      <c r="C91" s="616" t="s">
        <v>146</v>
      </c>
      <c r="D91" s="617"/>
      <c r="E91" s="65"/>
      <c r="F91" s="58">
        <f>(+F83/F21/F54)</f>
        <v>0</v>
      </c>
      <c r="G91" s="193">
        <f>(+G83/G21/G54)</f>
        <v>0</v>
      </c>
      <c r="H91" s="395"/>
      <c r="I91" s="130">
        <f>F91/$J$5</f>
        <v>0</v>
      </c>
      <c r="J91" s="64">
        <f>+I91*$I$6</f>
        <v>0</v>
      </c>
      <c r="T91" s="391"/>
    </row>
    <row r="92" spans="1:24" ht="15.9" customHeight="1">
      <c r="A92" s="43"/>
      <c r="B92" s="154">
        <f t="shared" si="7"/>
        <v>6</v>
      </c>
      <c r="C92" s="616" t="s">
        <v>147</v>
      </c>
      <c r="D92" s="617"/>
      <c r="E92" s="65"/>
      <c r="F92" s="58">
        <f>F82/F21/F54</f>
        <v>0.82518144136123495</v>
      </c>
      <c r="G92" s="193">
        <f>G82/G21/G54</f>
        <v>8.882253034812333</v>
      </c>
      <c r="H92" s="395"/>
      <c r="I92" s="130">
        <f>+F92/J5</f>
        <v>7.8573742273970199E-3</v>
      </c>
      <c r="J92" s="64">
        <f>+I92*$I$6</f>
        <v>8.4576776183701519E-2</v>
      </c>
      <c r="S92" s="391"/>
      <c r="T92" s="391"/>
    </row>
    <row r="93" spans="1:24" ht="15.9" customHeight="1">
      <c r="A93" s="43"/>
      <c r="B93" s="154">
        <f t="shared" si="7"/>
        <v>7</v>
      </c>
      <c r="C93" s="610" t="s">
        <v>148</v>
      </c>
      <c r="D93" s="617"/>
      <c r="E93" s="63"/>
      <c r="F93" s="58">
        <f>+G93/F6</f>
        <v>21.957509844757084</v>
      </c>
      <c r="G93" s="193">
        <f>(+SUM(G86:G92)+G103)*7%</f>
        <v>236.35063596896524</v>
      </c>
      <c r="H93" s="395"/>
      <c r="I93" s="130">
        <f>+F93/J5</f>
        <v>0.2090793167468776</v>
      </c>
      <c r="J93" s="59">
        <f>I93*I6</f>
        <v>2.2505297654633902</v>
      </c>
      <c r="S93" s="391"/>
      <c r="T93" s="391"/>
    </row>
    <row r="94" spans="1:24" ht="15.9" customHeight="1">
      <c r="A94" s="43"/>
      <c r="B94" s="154">
        <f t="shared" si="7"/>
        <v>8</v>
      </c>
      <c r="C94" s="612" t="s">
        <v>65</v>
      </c>
      <c r="D94" s="613"/>
      <c r="E94" s="70"/>
      <c r="F94" s="204">
        <f>SUM(F86:F93)</f>
        <v>199.26804252733942</v>
      </c>
      <c r="G94" s="46">
        <f>SUM(G86:G93)</f>
        <v>2144.9212097642817</v>
      </c>
      <c r="H94" s="401"/>
      <c r="I94" s="183">
        <f>SUM(I86:I93)</f>
        <v>1.8974294660763611</v>
      </c>
      <c r="J94" s="184">
        <f>SUM(J86:J93)</f>
        <v>20.423930772845949</v>
      </c>
      <c r="S94" s="391"/>
      <c r="T94" s="391"/>
    </row>
    <row r="95" spans="1:24" ht="15.9" customHeight="1">
      <c r="A95" s="43"/>
      <c r="B95" s="372"/>
      <c r="C95" s="607"/>
      <c r="D95" s="607"/>
      <c r="E95" s="76"/>
      <c r="F95" s="77"/>
      <c r="G95" s="77"/>
      <c r="H95" s="395"/>
      <c r="I95" s="132"/>
      <c r="J95" s="78"/>
    </row>
    <row r="96" spans="1:24" ht="15.9" customHeight="1">
      <c r="A96" s="43"/>
      <c r="B96" s="614" t="s">
        <v>149</v>
      </c>
      <c r="C96" s="615"/>
      <c r="D96" s="615"/>
      <c r="E96" s="79"/>
      <c r="F96" s="153" t="s">
        <v>71</v>
      </c>
      <c r="G96" s="153" t="s">
        <v>72</v>
      </c>
      <c r="H96" s="395"/>
      <c r="I96" s="365" t="s">
        <v>71</v>
      </c>
      <c r="J96" s="45" t="s">
        <v>72</v>
      </c>
      <c r="W96" s="407"/>
    </row>
    <row r="97" spans="1:26" ht="15.9" customHeight="1">
      <c r="A97" s="43"/>
      <c r="B97" s="154">
        <v>1</v>
      </c>
      <c r="C97" s="616" t="str">
        <f>+C76</f>
        <v>Siemens Standard Fitout (Existing)</v>
      </c>
      <c r="D97" s="617"/>
      <c r="E97" s="80"/>
      <c r="F97" s="58">
        <v>0</v>
      </c>
      <c r="G97" s="195">
        <f>+F97*F6</f>
        <v>0</v>
      </c>
      <c r="H97" s="395"/>
      <c r="I97" s="125">
        <f>F97/J5</f>
        <v>0</v>
      </c>
      <c r="J97" s="49">
        <f>+I97*I6</f>
        <v>0</v>
      </c>
      <c r="Z97" s="456"/>
    </row>
    <row r="98" spans="1:26" ht="15.9" customHeight="1">
      <c r="A98" s="43"/>
      <c r="B98" s="154">
        <f t="shared" ref="B98:B103" si="8">+B97+1</f>
        <v>2</v>
      </c>
      <c r="C98" s="616" t="str">
        <f>+C77</f>
        <v>Siemens Standard Fitout (New)</v>
      </c>
      <c r="D98" s="617"/>
      <c r="E98" s="63"/>
      <c r="F98" s="58">
        <f>'CAPEX and PM'!B29</f>
        <v>57.834863568245076</v>
      </c>
      <c r="G98" s="195">
        <f>+F98*F6</f>
        <v>622.53447144859001</v>
      </c>
      <c r="H98" s="395"/>
      <c r="I98" s="130">
        <f>+F98/$J$5</f>
        <v>0.55070332858736504</v>
      </c>
      <c r="J98" s="64">
        <f>+I98*$I$6</f>
        <v>5.9277706289143968</v>
      </c>
      <c r="S98" s="391"/>
      <c r="Z98" s="397"/>
    </row>
    <row r="99" spans="1:26" ht="15.9" customHeight="1">
      <c r="A99" s="43"/>
      <c r="B99" s="154">
        <f t="shared" si="8"/>
        <v>3</v>
      </c>
      <c r="C99" s="616" t="str">
        <f>+C78</f>
        <v>Capex over the period of lease period</v>
      </c>
      <c r="D99" s="617"/>
      <c r="E99" s="63"/>
      <c r="F99" s="58">
        <f>'CAPEX and PM'!B89</f>
        <v>73.736884743387648</v>
      </c>
      <c r="G99" s="195">
        <f>+F99*F6</f>
        <v>793.70382737782461</v>
      </c>
      <c r="H99" s="395"/>
      <c r="I99" s="130">
        <f>+F99/$J$5</f>
        <v>0.70212230759272187</v>
      </c>
      <c r="J99" s="64">
        <f>+I99*$I$6</f>
        <v>7.5576445189280577</v>
      </c>
      <c r="T99" s="391"/>
      <c r="W99" s="407"/>
    </row>
    <row r="100" spans="1:26" ht="15.9" customHeight="1">
      <c r="A100" s="43"/>
      <c r="B100" s="154">
        <f t="shared" si="8"/>
        <v>4</v>
      </c>
      <c r="C100" s="616" t="str">
        <f>+C79</f>
        <v>PM cost over the period of lease period</v>
      </c>
      <c r="D100" s="617"/>
      <c r="E100" s="63"/>
      <c r="F100" s="58">
        <f>+'CAPEX and PM'!B96</f>
        <v>3.6492088515209904</v>
      </c>
      <c r="G100" s="195">
        <f>+F100*F6</f>
        <v>39.280084077771939</v>
      </c>
      <c r="H100" s="395"/>
      <c r="I100" s="130">
        <f>+F100/$J$5</f>
        <v>3.4747751395172256E-2</v>
      </c>
      <c r="J100" s="64">
        <f>+I100*$I$6</f>
        <v>0.37402479601763416</v>
      </c>
      <c r="S100" s="391"/>
      <c r="T100" s="391"/>
    </row>
    <row r="101" spans="1:26" ht="15.9" customHeight="1">
      <c r="A101" s="43"/>
      <c r="B101" s="154">
        <f t="shared" si="8"/>
        <v>5</v>
      </c>
      <c r="C101" s="616" t="str">
        <f>+C80</f>
        <v>Asset Retirement Obligation ( Removal &amp; Restoration Obligation)</v>
      </c>
      <c r="D101" s="617"/>
      <c r="E101" s="63"/>
      <c r="F101" s="58">
        <f>'Security Deposit'!D25</f>
        <v>1.1472222222222224</v>
      </c>
      <c r="G101" s="195">
        <f>F101*10.764</f>
        <v>12.348700000000001</v>
      </c>
      <c r="H101" s="395"/>
      <c r="I101" s="128">
        <f>+F101/J5</f>
        <v>1.0923845193508117E-2</v>
      </c>
      <c r="J101" s="59">
        <f>+G101/J5</f>
        <v>0.11758426966292136</v>
      </c>
      <c r="S101" s="391"/>
      <c r="T101" s="391"/>
      <c r="V101" s="407"/>
      <c r="W101" s="464"/>
      <c r="Z101" s="456"/>
    </row>
    <row r="102" spans="1:26" ht="15.9" customHeight="1">
      <c r="A102" s="43"/>
      <c r="B102" s="154">
        <f t="shared" si="8"/>
        <v>6</v>
      </c>
      <c r="C102" s="610" t="s">
        <v>150</v>
      </c>
      <c r="D102" s="617"/>
      <c r="E102" s="65"/>
      <c r="F102" s="58">
        <f>+F81/F21/F27</f>
        <v>0</v>
      </c>
      <c r="G102" s="195">
        <f>+F102*F6</f>
        <v>0</v>
      </c>
      <c r="H102" s="395"/>
      <c r="I102" s="130">
        <f>+F102/J5</f>
        <v>0</v>
      </c>
      <c r="J102" s="64">
        <f>+I102*I6</f>
        <v>0</v>
      </c>
      <c r="U102" s="455"/>
      <c r="Z102" s="397"/>
    </row>
    <row r="103" spans="1:26" ht="15.9" customHeight="1">
      <c r="A103" s="43"/>
      <c r="B103" s="154">
        <f t="shared" si="8"/>
        <v>7</v>
      </c>
      <c r="C103" s="612" t="s">
        <v>151</v>
      </c>
      <c r="D103" s="613"/>
      <c r="E103" s="70"/>
      <c r="F103" s="46">
        <f>SUM(F97:F102)</f>
        <v>136.36817938537592</v>
      </c>
      <c r="G103" s="46">
        <f>SUM(G97:G102)</f>
        <v>1467.8670829041866</v>
      </c>
      <c r="H103" s="395"/>
      <c r="I103" s="131">
        <f>SUM(I97:I102)</f>
        <v>1.2984972327687672</v>
      </c>
      <c r="J103" s="131">
        <f>SUM(J97:J102)</f>
        <v>13.977024213523011</v>
      </c>
      <c r="S103" s="391"/>
      <c r="T103" s="391"/>
    </row>
    <row r="104" spans="1:26" ht="15.9" customHeight="1">
      <c r="A104" s="43"/>
      <c r="B104" s="372"/>
      <c r="C104" s="75"/>
      <c r="D104" s="75"/>
      <c r="E104" s="76"/>
      <c r="F104" s="377"/>
      <c r="G104" s="377"/>
      <c r="H104" s="395"/>
      <c r="I104" s="374"/>
      <c r="J104" s="375"/>
      <c r="S104" s="458"/>
    </row>
    <row r="105" spans="1:26" ht="15.9" customHeight="1">
      <c r="A105" s="43"/>
      <c r="B105" s="621" t="s">
        <v>152</v>
      </c>
      <c r="C105" s="622"/>
      <c r="D105" s="622"/>
      <c r="E105" s="79"/>
      <c r="F105" s="153" t="s">
        <v>71</v>
      </c>
      <c r="G105" s="153" t="s">
        <v>72</v>
      </c>
      <c r="H105" s="395"/>
      <c r="I105" s="365" t="s">
        <v>71</v>
      </c>
      <c r="J105" s="45" t="s">
        <v>72</v>
      </c>
    </row>
    <row r="106" spans="1:26" ht="15.9" customHeight="1">
      <c r="A106" s="43"/>
      <c r="B106" s="154">
        <v>1</v>
      </c>
      <c r="C106" s="610" t="s">
        <v>65</v>
      </c>
      <c r="D106" s="617"/>
      <c r="E106" s="63"/>
      <c r="F106" s="48">
        <f>+F94</f>
        <v>199.26804252733942</v>
      </c>
      <c r="G106" s="48">
        <f>+G94</f>
        <v>2144.9212097642817</v>
      </c>
      <c r="H106" s="395"/>
      <c r="I106" s="128">
        <f>+I94</f>
        <v>1.8974294660763611</v>
      </c>
      <c r="J106" s="64">
        <f>+J94</f>
        <v>20.423930772845949</v>
      </c>
      <c r="S106" s="391"/>
      <c r="T106" s="391"/>
    </row>
    <row r="107" spans="1:26" ht="15.9" customHeight="1">
      <c r="A107" s="43"/>
      <c r="B107" s="154">
        <f>+B106+1</f>
        <v>2</v>
      </c>
      <c r="C107" s="610" t="s">
        <v>151</v>
      </c>
      <c r="D107" s="611"/>
      <c r="E107" s="63"/>
      <c r="F107" s="48">
        <f>+F103</f>
        <v>136.36817938537592</v>
      </c>
      <c r="G107" s="379">
        <f>+G103</f>
        <v>1467.8670829041866</v>
      </c>
      <c r="H107" s="395"/>
      <c r="I107" s="128">
        <f>+I103</f>
        <v>1.2984972327687672</v>
      </c>
      <c r="J107" s="64">
        <f>+J103</f>
        <v>13.977024213523011</v>
      </c>
      <c r="S107" s="391"/>
      <c r="W107" s="454"/>
    </row>
    <row r="108" spans="1:26" ht="15.9" customHeight="1">
      <c r="A108" s="69"/>
      <c r="B108" s="154">
        <f>+B107+1</f>
        <v>3</v>
      </c>
      <c r="C108" s="612" t="s">
        <v>153</v>
      </c>
      <c r="D108" s="613"/>
      <c r="E108" s="70"/>
      <c r="F108" s="46">
        <f>SUM(F106:F107)</f>
        <v>335.63622191271531</v>
      </c>
      <c r="G108" s="46">
        <f>SUM(G106:G107)</f>
        <v>3612.7882926684683</v>
      </c>
      <c r="H108" s="395"/>
      <c r="I108" s="183">
        <f>SUM(I106:I107)</f>
        <v>3.1959266988451285</v>
      </c>
      <c r="J108" s="74">
        <f>SUM(J106:J107)</f>
        <v>34.400954986368959</v>
      </c>
      <c r="S108" s="391"/>
      <c r="T108" s="391"/>
      <c r="U108" s="391"/>
      <c r="V108" s="397"/>
      <c r="W108" s="397"/>
      <c r="X108" s="397"/>
      <c r="Y108" s="391"/>
    </row>
    <row r="109" spans="1:26" ht="15.9" customHeight="1">
      <c r="A109" s="43"/>
      <c r="B109" s="614" t="s">
        <v>154</v>
      </c>
      <c r="C109" s="615"/>
      <c r="D109" s="615"/>
      <c r="E109" s="81"/>
      <c r="F109" s="153" t="s">
        <v>71</v>
      </c>
      <c r="G109" s="153" t="s">
        <v>72</v>
      </c>
      <c r="H109" s="395"/>
      <c r="I109" s="365" t="s">
        <v>71</v>
      </c>
      <c r="J109" s="45" t="s">
        <v>72</v>
      </c>
      <c r="U109" s="397"/>
    </row>
    <row r="110" spans="1:26" ht="15.9" customHeight="1">
      <c r="A110" s="43"/>
      <c r="B110" s="240">
        <v>1</v>
      </c>
      <c r="C110" s="610" t="s">
        <v>155</v>
      </c>
      <c r="D110" s="611"/>
      <c r="E110" s="75"/>
      <c r="F110" s="367"/>
      <c r="G110" s="367"/>
      <c r="H110" s="395"/>
      <c r="I110" s="372"/>
      <c r="J110" s="239"/>
    </row>
    <row r="111" spans="1:26" ht="15.9" customHeight="1">
      <c r="A111" s="43"/>
      <c r="B111" s="154">
        <f t="shared" ref="B111:B119" si="9">1+B110</f>
        <v>2</v>
      </c>
      <c r="C111" s="610" t="s">
        <v>156</v>
      </c>
      <c r="D111" s="611"/>
      <c r="E111" s="75"/>
      <c r="F111" s="367"/>
      <c r="G111" s="367"/>
      <c r="H111" s="395"/>
      <c r="I111" s="372"/>
      <c r="J111" s="239"/>
      <c r="X111" s="391"/>
      <c r="Y111" s="399"/>
    </row>
    <row r="112" spans="1:26" ht="15.9" customHeight="1">
      <c r="A112" s="43"/>
      <c r="B112" s="154">
        <f t="shared" si="9"/>
        <v>3</v>
      </c>
      <c r="C112" s="610" t="s">
        <v>157</v>
      </c>
      <c r="D112" s="611"/>
      <c r="E112" s="75"/>
      <c r="F112" s="379">
        <f>+F64*0</f>
        <v>0</v>
      </c>
      <c r="G112" s="198">
        <f>+F112*$F$6</f>
        <v>0</v>
      </c>
      <c r="H112" s="395"/>
      <c r="I112" s="148">
        <f>+F112/$J$5</f>
        <v>0</v>
      </c>
      <c r="J112" s="189">
        <f>+I112*$F$6</f>
        <v>0</v>
      </c>
      <c r="X112" s="391"/>
      <c r="Y112" s="391"/>
    </row>
    <row r="113" spans="1:26" ht="15.9" customHeight="1">
      <c r="A113" s="43"/>
      <c r="B113" s="154">
        <f t="shared" si="9"/>
        <v>4</v>
      </c>
      <c r="C113" s="610" t="s">
        <v>158</v>
      </c>
      <c r="D113" s="611"/>
      <c r="E113" s="75"/>
      <c r="F113" s="367"/>
      <c r="G113" s="367"/>
      <c r="H113" s="395"/>
      <c r="I113" s="372"/>
      <c r="J113" s="239"/>
    </row>
    <row r="114" spans="1:26" ht="15.9" customHeight="1">
      <c r="A114" s="43"/>
      <c r="B114" s="154">
        <f t="shared" si="9"/>
        <v>5</v>
      </c>
      <c r="C114" s="610" t="s">
        <v>159</v>
      </c>
      <c r="D114" s="611"/>
      <c r="E114" s="75"/>
      <c r="F114" s="367"/>
      <c r="G114" s="367"/>
      <c r="H114" s="395"/>
      <c r="I114" s="372"/>
      <c r="J114" s="239"/>
    </row>
    <row r="115" spans="1:26" ht="15.9" customHeight="1">
      <c r="A115" s="43"/>
      <c r="B115" s="154">
        <f t="shared" si="9"/>
        <v>6</v>
      </c>
      <c r="C115" s="610" t="s">
        <v>160</v>
      </c>
      <c r="D115" s="611"/>
      <c r="E115" s="75"/>
      <c r="F115" s="367"/>
      <c r="G115" s="367"/>
      <c r="H115" s="395"/>
      <c r="I115" s="372"/>
      <c r="J115" s="239"/>
    </row>
    <row r="116" spans="1:26" ht="15.9" customHeight="1">
      <c r="A116" s="43"/>
      <c r="B116" s="154">
        <f t="shared" si="9"/>
        <v>7</v>
      </c>
      <c r="C116" s="610" t="s">
        <v>161</v>
      </c>
      <c r="D116" s="611"/>
      <c r="E116" s="75"/>
      <c r="F116" s="367"/>
      <c r="G116" s="367"/>
      <c r="H116" s="395"/>
      <c r="I116" s="372"/>
      <c r="J116" s="239"/>
    </row>
    <row r="117" spans="1:26" ht="15.9" customHeight="1">
      <c r="A117" s="43"/>
      <c r="B117" s="154">
        <f t="shared" si="9"/>
        <v>8</v>
      </c>
      <c r="C117" s="610" t="s">
        <v>162</v>
      </c>
      <c r="D117" s="617"/>
      <c r="E117" s="243"/>
      <c r="F117" s="351">
        <v>654</v>
      </c>
      <c r="G117" s="198">
        <f>F117*I6</f>
        <v>7039.6559999999999</v>
      </c>
      <c r="H117" s="395"/>
      <c r="I117" s="148">
        <f>+F117/$J$5</f>
        <v>6.227385259950486</v>
      </c>
      <c r="J117" s="123">
        <f>+I117*I6</f>
        <v>67.031574938107028</v>
      </c>
      <c r="T117" s="400"/>
    </row>
    <row r="118" spans="1:26" ht="15.9" customHeight="1">
      <c r="A118" s="43"/>
      <c r="B118" s="154">
        <f t="shared" si="9"/>
        <v>9</v>
      </c>
      <c r="C118" s="610" t="s">
        <v>163</v>
      </c>
      <c r="D118" s="611"/>
      <c r="E118" s="243"/>
      <c r="F118" s="82">
        <f>F117*7%</f>
        <v>45.78</v>
      </c>
      <c r="G118" s="82">
        <f>G117*7%</f>
        <v>492.77592000000004</v>
      </c>
      <c r="H118" s="395"/>
      <c r="I118" s="148">
        <f>+F118/$J$5</f>
        <v>0.43591696819653403</v>
      </c>
      <c r="J118" s="123">
        <f>+I118*I6</f>
        <v>4.6922102456674919</v>
      </c>
    </row>
    <row r="119" spans="1:26" ht="15.9" customHeight="1">
      <c r="A119" s="69"/>
      <c r="B119" s="154">
        <f t="shared" si="9"/>
        <v>10</v>
      </c>
      <c r="C119" s="612" t="s">
        <v>164</v>
      </c>
      <c r="D119" s="613"/>
      <c r="E119" s="244"/>
      <c r="F119" s="46">
        <f>SUM(F110:F118)</f>
        <v>699.78</v>
      </c>
      <c r="G119" s="376">
        <f>SUM(G110:G118)</f>
        <v>7532.43192</v>
      </c>
      <c r="H119" s="395"/>
      <c r="I119" s="183">
        <f>SUM(I110:I118)</f>
        <v>6.6633022281470202</v>
      </c>
      <c r="J119" s="74">
        <f>G119/$J$5</f>
        <v>71.723785183774524</v>
      </c>
      <c r="S119" s="391"/>
      <c r="T119" s="391"/>
      <c r="U119" s="391"/>
    </row>
    <row r="120" spans="1:26" ht="15.9" customHeight="1">
      <c r="A120" s="69"/>
      <c r="B120" s="154"/>
      <c r="C120" s="606"/>
      <c r="D120" s="623"/>
      <c r="E120" s="70"/>
      <c r="F120" s="46"/>
      <c r="G120" s="376"/>
      <c r="H120" s="395"/>
      <c r="I120" s="183"/>
      <c r="J120" s="74"/>
      <c r="U120" s="398"/>
      <c r="X120" s="397"/>
      <c r="Y120" s="397"/>
      <c r="Z120" s="397"/>
    </row>
    <row r="121" spans="1:26" ht="15.9" customHeight="1">
      <c r="A121" s="69"/>
      <c r="B121" s="614" t="s">
        <v>165</v>
      </c>
      <c r="C121" s="615"/>
      <c r="D121" s="615"/>
      <c r="E121" s="81"/>
      <c r="F121" s="153" t="s">
        <v>71</v>
      </c>
      <c r="G121" s="153" t="s">
        <v>72</v>
      </c>
      <c r="H121" s="395"/>
      <c r="I121" s="365" t="s">
        <v>71</v>
      </c>
      <c r="J121" s="45" t="s">
        <v>72</v>
      </c>
      <c r="T121" s="397"/>
      <c r="U121" s="397"/>
    </row>
    <row r="122" spans="1:26" ht="15.9" customHeight="1">
      <c r="A122" s="69"/>
      <c r="B122" s="242">
        <v>1</v>
      </c>
      <c r="C122" s="610" t="s">
        <v>166</v>
      </c>
      <c r="D122" s="611"/>
      <c r="E122" s="70"/>
      <c r="F122" s="46"/>
      <c r="G122" s="376"/>
      <c r="H122" s="395"/>
      <c r="I122" s="183"/>
      <c r="J122" s="74"/>
    </row>
    <row r="123" spans="1:26" ht="15.9" customHeight="1">
      <c r="A123" s="69"/>
      <c r="B123" s="154">
        <v>2</v>
      </c>
      <c r="C123" s="612" t="s">
        <v>167</v>
      </c>
      <c r="D123" s="613"/>
      <c r="E123" s="70"/>
      <c r="F123" s="46">
        <f>SUM(F122)</f>
        <v>0</v>
      </c>
      <c r="G123" s="376">
        <f>SUM(G122)</f>
        <v>0</v>
      </c>
      <c r="H123" s="395"/>
      <c r="I123" s="183">
        <f>SUM(I122)</f>
        <v>0</v>
      </c>
      <c r="J123" s="74">
        <f>SUM(J122)</f>
        <v>0</v>
      </c>
    </row>
    <row r="124" spans="1:26" ht="15.9" customHeight="1">
      <c r="A124" s="69"/>
      <c r="B124" s="154"/>
      <c r="C124" s="606"/>
      <c r="D124" s="623"/>
      <c r="E124" s="55"/>
      <c r="F124" s="46"/>
      <c r="G124" s="376"/>
      <c r="H124" s="395"/>
      <c r="I124" s="124"/>
      <c r="J124" s="47"/>
    </row>
    <row r="125" spans="1:26" ht="15.9" customHeight="1">
      <c r="A125" s="69"/>
      <c r="B125" s="614" t="s">
        <v>168</v>
      </c>
      <c r="C125" s="615"/>
      <c r="D125" s="615"/>
      <c r="E125" s="81"/>
      <c r="F125" s="153" t="s">
        <v>71</v>
      </c>
      <c r="G125" s="153" t="s">
        <v>72</v>
      </c>
      <c r="H125" s="395"/>
      <c r="I125" s="365" t="s">
        <v>71</v>
      </c>
      <c r="J125" s="45" t="s">
        <v>72</v>
      </c>
    </row>
    <row r="126" spans="1:26" ht="15.9" customHeight="1">
      <c r="A126" s="69"/>
      <c r="B126" s="240">
        <v>1</v>
      </c>
      <c r="C126" s="610" t="s">
        <v>169</v>
      </c>
      <c r="D126" s="611"/>
      <c r="E126" s="241"/>
      <c r="F126" s="376"/>
      <c r="G126" s="376"/>
      <c r="H126" s="395"/>
      <c r="I126" s="374"/>
      <c r="J126" s="47"/>
    </row>
    <row r="127" spans="1:26" ht="15.9" customHeight="1">
      <c r="A127" s="69"/>
      <c r="B127" s="242">
        <f>1+B126</f>
        <v>2</v>
      </c>
      <c r="C127" s="610" t="s">
        <v>170</v>
      </c>
      <c r="D127" s="611"/>
      <c r="E127" s="241"/>
      <c r="F127" s="376"/>
      <c r="G127" s="376"/>
      <c r="H127" s="395"/>
      <c r="I127" s="374"/>
      <c r="J127" s="47"/>
    </row>
    <row r="128" spans="1:26" ht="15.9" customHeight="1">
      <c r="A128" s="69"/>
      <c r="B128" s="242">
        <f>1+B127</f>
        <v>3</v>
      </c>
      <c r="C128" s="610" t="s">
        <v>171</v>
      </c>
      <c r="D128" s="611"/>
      <c r="E128" s="241"/>
      <c r="F128" s="376"/>
      <c r="G128" s="376"/>
      <c r="H128" s="395"/>
      <c r="I128" s="374"/>
      <c r="J128" s="47"/>
    </row>
    <row r="129" spans="1:20" ht="15.9" customHeight="1">
      <c r="A129" s="69"/>
      <c r="B129" s="242">
        <f>1+B128</f>
        <v>4</v>
      </c>
      <c r="C129" s="610" t="s">
        <v>172</v>
      </c>
      <c r="D129" s="611"/>
      <c r="E129" s="241"/>
      <c r="F129" s="376"/>
      <c r="G129" s="376"/>
      <c r="H129" s="395"/>
      <c r="I129" s="374"/>
      <c r="J129" s="47"/>
    </row>
    <row r="130" spans="1:20" ht="15.9" customHeight="1">
      <c r="A130" s="69"/>
      <c r="B130" s="242">
        <f>1+B129</f>
        <v>5</v>
      </c>
      <c r="C130" s="610" t="s">
        <v>173</v>
      </c>
      <c r="D130" s="611"/>
      <c r="E130" s="241"/>
      <c r="F130" s="376"/>
      <c r="G130" s="376"/>
      <c r="H130" s="395"/>
      <c r="I130" s="374"/>
      <c r="J130" s="47"/>
    </row>
    <row r="131" spans="1:20" ht="15.9" customHeight="1">
      <c r="A131" s="69"/>
      <c r="B131" s="242">
        <f>1+B130</f>
        <v>6</v>
      </c>
      <c r="C131" s="610" t="s">
        <v>174</v>
      </c>
      <c r="D131" s="611"/>
      <c r="E131" s="241"/>
      <c r="F131" s="376"/>
      <c r="G131" s="376"/>
      <c r="H131" s="395"/>
      <c r="I131" s="374"/>
      <c r="J131" s="47"/>
    </row>
    <row r="132" spans="1:20" ht="15.9" customHeight="1">
      <c r="A132" s="69"/>
      <c r="B132" s="372">
        <v>7</v>
      </c>
      <c r="C132" s="612" t="s">
        <v>175</v>
      </c>
      <c r="D132" s="613"/>
      <c r="E132" s="241"/>
      <c r="F132" s="376">
        <f>SUM(F126:F131)</f>
        <v>0</v>
      </c>
      <c r="G132" s="376">
        <f>SUM(G126:G131)</f>
        <v>0</v>
      </c>
      <c r="H132" s="395"/>
      <c r="I132" s="374">
        <f>SUM(I126:I131)</f>
        <v>0</v>
      </c>
      <c r="J132" s="47">
        <f>SUM(J126:J131)</f>
        <v>0</v>
      </c>
    </row>
    <row r="133" spans="1:20" ht="15.9" customHeight="1">
      <c r="A133" s="69"/>
      <c r="B133" s="154"/>
      <c r="C133" s="607"/>
      <c r="D133" s="623"/>
      <c r="E133" s="241"/>
      <c r="F133" s="376"/>
      <c r="G133" s="376"/>
      <c r="H133" s="395"/>
      <c r="I133" s="374"/>
      <c r="J133" s="47"/>
    </row>
    <row r="134" spans="1:20" ht="15.9" customHeight="1">
      <c r="A134" s="43"/>
      <c r="B134" s="614" t="s">
        <v>176</v>
      </c>
      <c r="C134" s="615"/>
      <c r="D134" s="615"/>
      <c r="E134" s="81"/>
      <c r="F134" s="153" t="s">
        <v>71</v>
      </c>
      <c r="G134" s="153" t="s">
        <v>72</v>
      </c>
      <c r="H134" s="395"/>
      <c r="I134" s="365" t="s">
        <v>71</v>
      </c>
      <c r="J134" s="45" t="s">
        <v>72</v>
      </c>
    </row>
    <row r="135" spans="1:20" ht="15.9" customHeight="1">
      <c r="A135" s="69"/>
      <c r="B135" s="154">
        <v>1</v>
      </c>
      <c r="C135" s="612" t="s">
        <v>177</v>
      </c>
      <c r="D135" s="613"/>
      <c r="E135" s="70"/>
      <c r="F135" s="46">
        <f>F119+F108+F123+F132</f>
        <v>1035.4162219127152</v>
      </c>
      <c r="G135" s="376">
        <f>G119+G108+G123+G132</f>
        <v>11145.220212668468</v>
      </c>
      <c r="H135" s="395"/>
      <c r="I135" s="183">
        <f>I119+I108+I123+I132</f>
        <v>9.8592289269921487</v>
      </c>
      <c r="J135" s="184">
        <f>J119+J108+J123+J132</f>
        <v>106.12474017014348</v>
      </c>
      <c r="S135" s="399"/>
      <c r="T135" s="397"/>
    </row>
    <row r="136" spans="1:20" ht="15.9" customHeight="1">
      <c r="A136" s="69"/>
      <c r="B136" s="154"/>
      <c r="C136" s="606"/>
      <c r="D136" s="623"/>
      <c r="E136" s="70"/>
      <c r="F136" s="46"/>
      <c r="G136" s="376"/>
      <c r="H136" s="395"/>
      <c r="I136" s="124"/>
      <c r="J136" s="47"/>
    </row>
    <row r="137" spans="1:20" ht="15.9" customHeight="1">
      <c r="A137" s="69"/>
      <c r="B137" s="372"/>
      <c r="C137" s="371"/>
      <c r="D137" s="368"/>
      <c r="E137" s="159"/>
      <c r="F137" s="606" t="s">
        <v>69</v>
      </c>
      <c r="G137" s="607"/>
      <c r="H137" s="395"/>
      <c r="I137" s="608" t="s">
        <v>63</v>
      </c>
      <c r="J137" s="609"/>
    </row>
    <row r="138" spans="1:20" ht="15.9" hidden="1" customHeight="1">
      <c r="A138" s="43"/>
      <c r="B138" s="614" t="s">
        <v>178</v>
      </c>
      <c r="C138" s="615"/>
      <c r="D138" s="630"/>
      <c r="E138" s="153"/>
      <c r="F138" s="153" t="s">
        <v>71</v>
      </c>
      <c r="G138" s="153" t="s">
        <v>72</v>
      </c>
      <c r="H138" s="395"/>
      <c r="I138" s="365" t="s">
        <v>71</v>
      </c>
      <c r="J138" s="45" t="s">
        <v>72</v>
      </c>
    </row>
    <row r="139" spans="1:20" ht="15.9" hidden="1" customHeight="1">
      <c r="A139" s="43"/>
      <c r="B139" s="83"/>
      <c r="C139" s="631"/>
      <c r="D139" s="632"/>
      <c r="E139" s="155"/>
      <c r="F139" s="46"/>
      <c r="G139" s="376"/>
      <c r="H139" s="395"/>
      <c r="I139" s="124"/>
      <c r="J139" s="47"/>
    </row>
    <row r="140" spans="1:20" ht="15.9" hidden="1" customHeight="1">
      <c r="A140" s="43"/>
      <c r="B140" s="83"/>
      <c r="C140" s="610" t="s">
        <v>179</v>
      </c>
      <c r="D140" s="617"/>
      <c r="E140" s="50"/>
      <c r="F140" s="234">
        <f>F21</f>
        <v>9515</v>
      </c>
      <c r="G140" s="235">
        <f>F140/F6</f>
        <v>883.96506874767749</v>
      </c>
      <c r="H140" s="402"/>
      <c r="I140" s="232">
        <f>I21</f>
        <v>9515</v>
      </c>
      <c r="J140" s="233">
        <f>I140/I6</f>
        <v>883.96506874767749</v>
      </c>
    </row>
    <row r="141" spans="1:20" ht="15.9" hidden="1" customHeight="1">
      <c r="A141" s="43"/>
      <c r="B141" s="83"/>
      <c r="C141" s="616" t="s">
        <v>180</v>
      </c>
      <c r="D141" s="617"/>
      <c r="E141" s="51"/>
      <c r="F141" s="48">
        <f>F24</f>
        <v>0</v>
      </c>
      <c r="G141" s="379">
        <f>G24</f>
        <v>0</v>
      </c>
      <c r="H141" s="395"/>
      <c r="I141" s="125">
        <f>I24</f>
        <v>0</v>
      </c>
      <c r="J141" s="49">
        <f>J24</f>
        <v>0</v>
      </c>
    </row>
    <row r="142" spans="1:20" ht="15.9" hidden="1" customHeight="1">
      <c r="A142" s="43"/>
      <c r="B142" s="83"/>
      <c r="C142" s="616" t="s">
        <v>181</v>
      </c>
      <c r="D142" s="617"/>
      <c r="E142" s="65"/>
      <c r="F142" s="48" t="e">
        <f>+#REF!</f>
        <v>#REF!</v>
      </c>
      <c r="G142" s="379" t="e">
        <f>+#REF!</f>
        <v>#REF!</v>
      </c>
      <c r="H142" s="395"/>
      <c r="I142" s="232" t="e">
        <f>+#REF!</f>
        <v>#REF!</v>
      </c>
      <c r="J142" s="233" t="e">
        <f>+#REF!</f>
        <v>#REF!</v>
      </c>
    </row>
    <row r="143" spans="1:20" ht="15.9" hidden="1" customHeight="1">
      <c r="A143" s="43"/>
      <c r="B143" s="83"/>
      <c r="C143" s="610" t="s">
        <v>182</v>
      </c>
      <c r="D143" s="617"/>
      <c r="E143" s="65"/>
      <c r="F143" s="48">
        <f>F108</f>
        <v>335.63622191271531</v>
      </c>
      <c r="G143" s="379">
        <f>+G108</f>
        <v>3612.7882926684683</v>
      </c>
      <c r="H143" s="395"/>
      <c r="I143" s="125">
        <f>I108</f>
        <v>3.1959266988451285</v>
      </c>
      <c r="J143" s="64">
        <f>+J108</f>
        <v>34.400954986368959</v>
      </c>
    </row>
    <row r="144" spans="1:20" ht="15.9" hidden="1" customHeight="1">
      <c r="A144" s="43"/>
      <c r="B144" s="83"/>
      <c r="C144" s="699" t="s">
        <v>183</v>
      </c>
      <c r="D144" s="700"/>
      <c r="E144" s="84"/>
      <c r="F144" s="85">
        <f>F119</f>
        <v>699.78</v>
      </c>
      <c r="G144" s="199">
        <f>G119</f>
        <v>7532.43192</v>
      </c>
      <c r="H144" s="395"/>
      <c r="I144" s="133">
        <f>I119</f>
        <v>6.6633022281470202</v>
      </c>
      <c r="J144" s="122">
        <f>J119</f>
        <v>71.723785183774524</v>
      </c>
    </row>
    <row r="145" spans="1:10" ht="15.9" hidden="1" customHeight="1">
      <c r="A145" s="69"/>
      <c r="B145" s="154"/>
      <c r="C145" s="612" t="s">
        <v>184</v>
      </c>
      <c r="D145" s="613"/>
      <c r="E145" s="70"/>
      <c r="F145" s="236" t="e">
        <f>F135*#REF!</f>
        <v>#REF!</v>
      </c>
      <c r="G145" s="237" t="e">
        <f>G135*#REF!</f>
        <v>#REF!</v>
      </c>
      <c r="H145" s="395"/>
      <c r="I145" s="124" t="e">
        <f>I135*#REF!</f>
        <v>#REF!</v>
      </c>
      <c r="J145" s="47" t="e">
        <f>J135*#REF!</f>
        <v>#REF!</v>
      </c>
    </row>
    <row r="146" spans="1:10" ht="15.9" customHeight="1">
      <c r="A146" s="43"/>
      <c r="B146" s="86"/>
      <c r="C146" s="87"/>
      <c r="D146" s="43"/>
      <c r="E146" s="88"/>
      <c r="F146" s="89"/>
      <c r="G146" s="89"/>
      <c r="H146" s="395"/>
      <c r="I146" s="134"/>
      <c r="J146" s="90"/>
    </row>
    <row r="147" spans="1:10" ht="15.9" customHeight="1">
      <c r="A147" s="69"/>
      <c r="B147" s="614" t="s">
        <v>185</v>
      </c>
      <c r="C147" s="615"/>
      <c r="D147" s="630"/>
      <c r="E147" s="370"/>
      <c r="F147" s="370" t="s">
        <v>186</v>
      </c>
      <c r="G147" s="153" t="s">
        <v>186</v>
      </c>
      <c r="H147" s="395"/>
      <c r="I147" s="373" t="s">
        <v>63</v>
      </c>
      <c r="J147" s="45" t="s">
        <v>63</v>
      </c>
    </row>
    <row r="148" spans="1:10" ht="15.9" customHeight="1">
      <c r="A148" s="43"/>
      <c r="B148" s="91"/>
      <c r="C148" s="631"/>
      <c r="D148" s="632"/>
      <c r="E148" s="92"/>
      <c r="F148" s="93"/>
      <c r="G148" s="200"/>
      <c r="H148" s="395"/>
      <c r="I148" s="135"/>
      <c r="J148" s="94"/>
    </row>
    <row r="149" spans="1:10" ht="15.9" customHeight="1">
      <c r="A149" s="43"/>
      <c r="B149" s="91"/>
      <c r="C149" s="616" t="s">
        <v>187</v>
      </c>
      <c r="D149" s="617"/>
      <c r="E149" s="92"/>
      <c r="F149" s="93">
        <f>(+F63)*115%</f>
        <v>1411550.25</v>
      </c>
      <c r="G149" s="93">
        <f>+F149</f>
        <v>1411550.25</v>
      </c>
      <c r="H149" s="395"/>
      <c r="I149" s="135">
        <f>F149/$J$5</f>
        <v>13440.775566558752</v>
      </c>
      <c r="J149" s="94">
        <f>+I149</f>
        <v>13440.775566558752</v>
      </c>
    </row>
    <row r="150" spans="1:10" ht="15.9" customHeight="1">
      <c r="A150" s="43"/>
      <c r="B150" s="91"/>
      <c r="C150" s="616" t="s">
        <v>188</v>
      </c>
      <c r="D150" s="617"/>
      <c r="E150" s="92"/>
      <c r="F150" s="93">
        <v>0</v>
      </c>
      <c r="G150" s="200">
        <v>0</v>
      </c>
      <c r="H150" s="395"/>
      <c r="I150" s="135">
        <v>0</v>
      </c>
      <c r="J150" s="94">
        <v>0</v>
      </c>
    </row>
    <row r="151" spans="1:10" ht="15.9" customHeight="1">
      <c r="A151" s="43"/>
      <c r="B151" s="91"/>
      <c r="C151" s="616" t="s">
        <v>189</v>
      </c>
      <c r="D151" s="617"/>
      <c r="E151" s="92"/>
      <c r="F151" s="93">
        <f>(+F65)*115%</f>
        <v>192024.8346192516</v>
      </c>
      <c r="G151" s="200">
        <f>+F151</f>
        <v>192024.8346192516</v>
      </c>
      <c r="H151" s="395"/>
      <c r="I151" s="135">
        <f>F151/$J$5</f>
        <v>1828.4596707222588</v>
      </c>
      <c r="J151" s="94">
        <f>+I151</f>
        <v>1828.4596707222588</v>
      </c>
    </row>
    <row r="152" spans="1:10" ht="15.9" customHeight="1">
      <c r="A152" s="43"/>
      <c r="B152" s="91"/>
      <c r="C152" s="616" t="s">
        <v>190</v>
      </c>
      <c r="D152" s="617"/>
      <c r="E152" s="92"/>
      <c r="F152" s="93">
        <f>(+F66)*115%</f>
        <v>210162.49999999997</v>
      </c>
      <c r="G152" s="200">
        <f>+F152</f>
        <v>210162.49999999997</v>
      </c>
      <c r="H152" s="395"/>
      <c r="I152" s="135">
        <f>F152/J5</f>
        <v>2001.1664444867642</v>
      </c>
      <c r="J152" s="94">
        <f>G152/J5</f>
        <v>2001.1664444867642</v>
      </c>
    </row>
    <row r="153" spans="1:10" ht="15.9" customHeight="1">
      <c r="A153" s="43"/>
      <c r="B153" s="91"/>
      <c r="C153" s="610" t="s">
        <v>191</v>
      </c>
      <c r="D153" s="617"/>
      <c r="E153" s="95"/>
      <c r="F153" s="96">
        <f>SUM(F149:F152)</f>
        <v>1813737.5846192515</v>
      </c>
      <c r="G153" s="201">
        <f>SUM(G149:G152)</f>
        <v>1813737.5846192515</v>
      </c>
      <c r="H153" s="395"/>
      <c r="I153" s="452">
        <f>SUM(I149:I152)</f>
        <v>17270.401681767777</v>
      </c>
      <c r="J153" s="453">
        <f>SUM(J149:J152)</f>
        <v>17270.401681767777</v>
      </c>
    </row>
    <row r="154" spans="1:10" ht="15.9" customHeight="1">
      <c r="A154" s="43"/>
      <c r="B154" s="91"/>
      <c r="C154" s="610" t="s">
        <v>192</v>
      </c>
      <c r="D154" s="617"/>
      <c r="E154" s="97"/>
      <c r="F154" s="93">
        <f>+F153*12</f>
        <v>21764851.015431017</v>
      </c>
      <c r="G154" s="200">
        <f>+G153*12</f>
        <v>21764851.015431017</v>
      </c>
      <c r="H154" s="395"/>
      <c r="I154" s="135">
        <f>+I153*12</f>
        <v>207244.82018121332</v>
      </c>
      <c r="J154" s="94">
        <f>+J153*12</f>
        <v>207244.82018121332</v>
      </c>
    </row>
    <row r="155" spans="1:10" ht="15.9" customHeight="1">
      <c r="A155" s="43"/>
      <c r="B155" s="91"/>
      <c r="C155" s="631"/>
      <c r="D155" s="632"/>
      <c r="E155" s="97"/>
      <c r="F155" s="93"/>
      <c r="G155" s="200"/>
      <c r="H155" s="395"/>
      <c r="I155" s="135"/>
      <c r="J155" s="94"/>
    </row>
    <row r="156" spans="1:10" ht="15.9" customHeight="1">
      <c r="A156" s="43"/>
      <c r="B156" s="614" t="s">
        <v>193</v>
      </c>
      <c r="C156" s="615"/>
      <c r="D156" s="630"/>
      <c r="E156" s="366"/>
      <c r="F156" s="370" t="s">
        <v>186</v>
      </c>
      <c r="G156" s="153" t="s">
        <v>186</v>
      </c>
      <c r="H156" s="395"/>
      <c r="I156" s="373" t="s">
        <v>63</v>
      </c>
      <c r="J156" s="45" t="s">
        <v>63</v>
      </c>
    </row>
    <row r="157" spans="1:10" ht="15.9" customHeight="1">
      <c r="A157" s="43"/>
      <c r="B157" s="91"/>
      <c r="C157" s="631"/>
      <c r="D157" s="632"/>
      <c r="E157" s="97"/>
      <c r="F157" s="93"/>
      <c r="G157" s="200"/>
      <c r="H157" s="395"/>
      <c r="I157" s="135"/>
      <c r="J157" s="94"/>
    </row>
    <row r="158" spans="1:10" ht="15.9" customHeight="1">
      <c r="A158" s="43"/>
      <c r="B158" s="91"/>
      <c r="C158" s="697" t="s">
        <v>194</v>
      </c>
      <c r="D158" s="698"/>
      <c r="E158" s="97"/>
      <c r="F158" s="93">
        <f t="shared" ref="F158:G160" si="10">+F77</f>
        <v>14000000</v>
      </c>
      <c r="G158" s="200">
        <f t="shared" si="10"/>
        <v>14000000</v>
      </c>
      <c r="H158" s="224"/>
      <c r="I158" s="135">
        <f t="shared" ref="I158:J160" si="11">+I77</f>
        <v>133307.94134450582</v>
      </c>
      <c r="J158" s="94">
        <f t="shared" si="11"/>
        <v>133307.94134450582</v>
      </c>
    </row>
    <row r="159" spans="1:10" ht="15.9" customHeight="1">
      <c r="A159" s="43"/>
      <c r="B159" s="91"/>
      <c r="C159" s="610" t="s">
        <v>195</v>
      </c>
      <c r="D159" s="611"/>
      <c r="E159" s="97"/>
      <c r="F159" s="93">
        <f t="shared" si="10"/>
        <v>43000000</v>
      </c>
      <c r="G159" s="200">
        <f t="shared" si="10"/>
        <v>43000000</v>
      </c>
      <c r="H159" s="224"/>
      <c r="I159" s="135">
        <f t="shared" si="11"/>
        <v>409445.81984383927</v>
      </c>
      <c r="J159" s="94">
        <f t="shared" si="11"/>
        <v>4407274.8047990855</v>
      </c>
    </row>
    <row r="160" spans="1:10" ht="15.9" customHeight="1">
      <c r="A160" s="43"/>
      <c r="B160" s="91"/>
      <c r="C160" s="610" t="s">
        <v>196</v>
      </c>
      <c r="D160" s="611"/>
      <c r="E160" s="97"/>
      <c r="F160" s="93">
        <f t="shared" si="10"/>
        <v>2500000</v>
      </c>
      <c r="G160" s="200">
        <f t="shared" si="10"/>
        <v>2500000</v>
      </c>
      <c r="H160" s="224"/>
      <c r="I160" s="135">
        <f t="shared" si="11"/>
        <v>23804.989525804609</v>
      </c>
      <c r="J160" s="94">
        <f t="shared" si="11"/>
        <v>256236.9072557608</v>
      </c>
    </row>
    <row r="161" spans="1:22" ht="15.9" customHeight="1">
      <c r="A161" s="43"/>
      <c r="B161" s="91"/>
      <c r="C161" s="612" t="s">
        <v>29</v>
      </c>
      <c r="D161" s="613"/>
      <c r="E161" s="97"/>
      <c r="F161" s="228">
        <f>SUM(F158:F160)</f>
        <v>59500000</v>
      </c>
      <c r="G161" s="228">
        <f>SUM(G158:G160)</f>
        <v>59500000</v>
      </c>
      <c r="H161" s="229"/>
      <c r="I161" s="230">
        <f>SUM(I158:I160)</f>
        <v>566558.75071414968</v>
      </c>
      <c r="J161" s="102">
        <f>SUM(J158:J160)</f>
        <v>4796819.653399352</v>
      </c>
    </row>
    <row r="162" spans="1:22" ht="15.9" customHeight="1">
      <c r="A162" s="43"/>
      <c r="B162" s="91"/>
      <c r="C162" s="631"/>
      <c r="D162" s="632"/>
      <c r="E162" s="97"/>
      <c r="F162" s="93"/>
      <c r="G162" s="200"/>
      <c r="H162" s="395"/>
      <c r="I162" s="135"/>
      <c r="J162" s="94"/>
    </row>
    <row r="163" spans="1:22" ht="15.9" customHeight="1">
      <c r="A163" s="98"/>
      <c r="B163" s="618" t="s">
        <v>197</v>
      </c>
      <c r="C163" s="619"/>
      <c r="D163" s="620"/>
      <c r="E163" s="628"/>
      <c r="F163" s="153" t="s">
        <v>71</v>
      </c>
      <c r="G163" s="153" t="s">
        <v>72</v>
      </c>
      <c r="H163" s="395"/>
      <c r="I163" s="365" t="s">
        <v>71</v>
      </c>
      <c r="J163" s="45" t="s">
        <v>72</v>
      </c>
    </row>
    <row r="164" spans="1:22" ht="15.9" customHeight="1">
      <c r="A164" s="98"/>
      <c r="B164" s="694"/>
      <c r="C164" s="695"/>
      <c r="D164" s="696"/>
      <c r="E164" s="629"/>
      <c r="F164" s="153" t="s">
        <v>69</v>
      </c>
      <c r="G164" s="153" t="s">
        <v>69</v>
      </c>
      <c r="H164" s="395"/>
      <c r="I164" s="365" t="s">
        <v>63</v>
      </c>
      <c r="J164" s="45" t="s">
        <v>63</v>
      </c>
    </row>
    <row r="165" spans="1:22" ht="15.9" customHeight="1">
      <c r="A165" s="99"/>
      <c r="B165" s="91"/>
      <c r="C165" s="631"/>
      <c r="D165" s="632"/>
      <c r="E165" s="51"/>
      <c r="F165" s="48"/>
      <c r="G165" s="379"/>
      <c r="H165" s="395"/>
      <c r="I165" s="125"/>
      <c r="J165" s="49"/>
    </row>
    <row r="166" spans="1:22" ht="15.9" customHeight="1">
      <c r="A166" s="99"/>
      <c r="B166" s="91"/>
      <c r="C166" s="692" t="str">
        <f>+C106</f>
        <v>Net Rent I</v>
      </c>
      <c r="D166" s="693"/>
      <c r="E166" s="51"/>
      <c r="F166" s="48">
        <f>+F106</f>
        <v>199.26804252733942</v>
      </c>
      <c r="G166" s="379">
        <f>+G106</f>
        <v>2144.9212097642817</v>
      </c>
      <c r="H166" s="395"/>
      <c r="I166" s="128">
        <f>+I106</f>
        <v>1.8974294660763611</v>
      </c>
      <c r="J166" s="59">
        <f>+J106</f>
        <v>20.423930772845949</v>
      </c>
      <c r="T166" s="400"/>
    </row>
    <row r="167" spans="1:22" ht="15.9" customHeight="1">
      <c r="A167" s="99"/>
      <c r="B167" s="91"/>
      <c r="C167" s="692" t="str">
        <f>+C107</f>
        <v>Net Rent II</v>
      </c>
      <c r="D167" s="693"/>
      <c r="E167" s="51"/>
      <c r="F167" s="48">
        <f>+F107</f>
        <v>136.36817938537592</v>
      </c>
      <c r="G167" s="379">
        <f>+G107</f>
        <v>1467.8670829041866</v>
      </c>
      <c r="H167" s="395"/>
      <c r="I167" s="128">
        <f>+I107</f>
        <v>1.2984972327687672</v>
      </c>
      <c r="J167" s="59">
        <f>+J107</f>
        <v>13.977024213523011</v>
      </c>
      <c r="T167" s="400"/>
    </row>
    <row r="168" spans="1:22" ht="15.9" customHeight="1">
      <c r="A168" s="99"/>
      <c r="B168" s="139"/>
      <c r="C168" s="688" t="s">
        <v>198</v>
      </c>
      <c r="D168" s="689"/>
      <c r="E168" s="140"/>
      <c r="F168" s="141">
        <f>SUM(F166:F167)</f>
        <v>335.63622191271531</v>
      </c>
      <c r="G168" s="202">
        <f>SUM(G166:G167)</f>
        <v>3612.7882926684683</v>
      </c>
      <c r="H168" s="203"/>
      <c r="I168" s="225">
        <f>SUM(I166:I167)</f>
        <v>3.1959266988451285</v>
      </c>
      <c r="J168" s="205">
        <f>SUM(J166:J167)</f>
        <v>34.400954986368959</v>
      </c>
      <c r="T168" s="400"/>
      <c r="V168" s="400"/>
    </row>
    <row r="169" spans="1:22" ht="15.9" customHeight="1">
      <c r="A169" s="99"/>
      <c r="B169" s="154"/>
      <c r="C169" s="690"/>
      <c r="D169" s="691"/>
      <c r="E169" s="67"/>
      <c r="F169" s="46"/>
      <c r="G169" s="376"/>
      <c r="H169" s="270"/>
      <c r="I169" s="183"/>
      <c r="J169" s="184"/>
      <c r="U169" s="400"/>
      <c r="V169" s="391"/>
    </row>
    <row r="170" spans="1:22" ht="15.9" customHeight="1">
      <c r="A170" s="99"/>
      <c r="B170" s="91"/>
      <c r="C170" s="692" t="str">
        <f>+C119</f>
        <v xml:space="preserve">OpEx I </v>
      </c>
      <c r="D170" s="693"/>
      <c r="E170" s="51"/>
      <c r="F170" s="48">
        <f>+F119</f>
        <v>699.78</v>
      </c>
      <c r="G170" s="48">
        <f>+G119</f>
        <v>7532.43192</v>
      </c>
      <c r="H170" s="395"/>
      <c r="I170" s="128">
        <f>F170/J5</f>
        <v>6.6633022281470193</v>
      </c>
      <c r="J170" s="59">
        <f>G170/J5</f>
        <v>71.723785183774524</v>
      </c>
      <c r="T170" s="400"/>
    </row>
    <row r="171" spans="1:22" ht="15.9" customHeight="1">
      <c r="A171" s="99"/>
      <c r="B171" s="91"/>
      <c r="C171" s="692" t="str">
        <f>+C123</f>
        <v xml:space="preserve">OpEx II </v>
      </c>
      <c r="D171" s="693"/>
      <c r="E171" s="51"/>
      <c r="F171" s="48">
        <f>+F123</f>
        <v>0</v>
      </c>
      <c r="G171" s="379">
        <f>+G123</f>
        <v>0</v>
      </c>
      <c r="H171" s="395"/>
      <c r="I171" s="128">
        <f>+I123</f>
        <v>0</v>
      </c>
      <c r="J171" s="59">
        <f>+J123</f>
        <v>0</v>
      </c>
    </row>
    <row r="172" spans="1:22" ht="15.9" customHeight="1">
      <c r="A172" s="99"/>
      <c r="B172" s="142"/>
      <c r="C172" s="688" t="s">
        <v>199</v>
      </c>
      <c r="D172" s="689"/>
      <c r="E172" s="143"/>
      <c r="F172" s="144">
        <f>SUM(F170:F171)</f>
        <v>699.78</v>
      </c>
      <c r="G172" s="269">
        <f>SUM(G170:G171)</f>
        <v>7532.43192</v>
      </c>
      <c r="H172" s="404"/>
      <c r="I172" s="145">
        <f>SUM(I170:I171)</f>
        <v>6.6633022281470193</v>
      </c>
      <c r="J172" s="238">
        <f>SUM(J170:J171)</f>
        <v>71.723785183774524</v>
      </c>
    </row>
    <row r="173" spans="1:22" ht="15.9" customHeight="1">
      <c r="A173" s="99"/>
      <c r="B173" s="91"/>
      <c r="C173" s="137"/>
      <c r="D173" s="138"/>
      <c r="E173" s="265"/>
      <c r="F173" s="266"/>
      <c r="G173" s="271"/>
      <c r="H173" s="405"/>
      <c r="I173" s="267"/>
      <c r="J173" s="268"/>
    </row>
    <row r="174" spans="1:22" ht="15.9" customHeight="1">
      <c r="A174" s="99"/>
      <c r="B174" s="91"/>
      <c r="C174" s="692" t="str">
        <f>+C132</f>
        <v xml:space="preserve">Services </v>
      </c>
      <c r="D174" s="693"/>
      <c r="E174" s="51"/>
      <c r="F174" s="48">
        <f>+F132</f>
        <v>0</v>
      </c>
      <c r="G174" s="379">
        <f>+G132</f>
        <v>0</v>
      </c>
      <c r="H174" s="395"/>
      <c r="I174" s="128">
        <f>+I132</f>
        <v>0</v>
      </c>
      <c r="J174" s="59">
        <f>+J132</f>
        <v>0</v>
      </c>
    </row>
    <row r="175" spans="1:22" ht="15.9" customHeight="1">
      <c r="A175" s="99"/>
      <c r="B175" s="142"/>
      <c r="C175" s="688" t="s">
        <v>200</v>
      </c>
      <c r="D175" s="689"/>
      <c r="E175" s="143"/>
      <c r="F175" s="144">
        <f>SUM(F174)</f>
        <v>0</v>
      </c>
      <c r="G175" s="269">
        <f>SUM(G174)</f>
        <v>0</v>
      </c>
      <c r="H175" s="404"/>
      <c r="I175" s="145">
        <f>SUM(I174)</f>
        <v>0</v>
      </c>
      <c r="J175" s="238">
        <f>SUM(J174)</f>
        <v>0</v>
      </c>
    </row>
    <row r="176" spans="1:22" ht="15.9" customHeight="1">
      <c r="A176" s="99"/>
      <c r="B176" s="91"/>
      <c r="C176" s="631"/>
      <c r="D176" s="632"/>
      <c r="E176" s="51"/>
      <c r="F176" s="48"/>
      <c r="G176" s="379"/>
      <c r="H176" s="395"/>
      <c r="I176" s="130"/>
      <c r="J176" s="64"/>
    </row>
    <row r="177" spans="1:19" ht="15.9" customHeight="1">
      <c r="A177" s="99"/>
      <c r="B177" s="142"/>
      <c r="C177" s="688" t="s">
        <v>201</v>
      </c>
      <c r="D177" s="689"/>
      <c r="E177" s="146"/>
      <c r="F177" s="141">
        <f>+F168+F172+F175</f>
        <v>1035.4162219127152</v>
      </c>
      <c r="G177" s="202">
        <f>+G168+G172+G175</f>
        <v>11145.220212668468</v>
      </c>
      <c r="H177" s="406"/>
      <c r="I177" s="225">
        <f>+I168+I172+I175</f>
        <v>9.8592289269921487</v>
      </c>
      <c r="J177" s="205">
        <f>+J168+J172+J175</f>
        <v>106.12474017014348</v>
      </c>
      <c r="S177" s="399"/>
    </row>
    <row r="178" spans="1:19" ht="15.9" customHeight="1">
      <c r="A178" s="99"/>
      <c r="B178" s="91"/>
      <c r="C178" s="137"/>
      <c r="D178" s="138"/>
      <c r="E178" s="51"/>
      <c r="F178" s="48"/>
      <c r="G178" s="379"/>
      <c r="H178" s="395"/>
      <c r="I178" s="125"/>
      <c r="J178" s="49"/>
    </row>
    <row r="179" spans="1:19" ht="15.9" customHeight="1">
      <c r="A179" s="99"/>
      <c r="B179" s="614" t="s">
        <v>202</v>
      </c>
      <c r="C179" s="615"/>
      <c r="D179" s="630"/>
      <c r="E179" s="370"/>
      <c r="F179" s="370" t="s">
        <v>186</v>
      </c>
      <c r="G179" s="153" t="s">
        <v>186</v>
      </c>
      <c r="H179" s="395"/>
      <c r="I179" s="373" t="s">
        <v>63</v>
      </c>
      <c r="J179" s="45" t="s">
        <v>63</v>
      </c>
    </row>
    <row r="180" spans="1:19" ht="15.9" customHeight="1">
      <c r="A180" s="99"/>
      <c r="B180" s="91"/>
      <c r="C180" s="631"/>
      <c r="D180" s="632"/>
      <c r="E180" s="51"/>
      <c r="F180" s="48"/>
      <c r="G180" s="379"/>
      <c r="H180" s="395"/>
      <c r="I180" s="125"/>
      <c r="J180" s="49"/>
    </row>
    <row r="181" spans="1:19" ht="15.9" customHeight="1">
      <c r="A181" s="99"/>
      <c r="B181" s="91"/>
      <c r="C181" s="616" t="s">
        <v>203</v>
      </c>
      <c r="D181" s="617"/>
      <c r="E181" s="92"/>
      <c r="F181" s="93"/>
      <c r="G181" s="200">
        <f>+G168*G21</f>
        <v>3193578.651499487</v>
      </c>
      <c r="H181" s="395"/>
      <c r="I181" s="135"/>
      <c r="J181" s="94">
        <f>+G181/$J$5</f>
        <v>30409.242539511401</v>
      </c>
    </row>
    <row r="182" spans="1:19" ht="15.9" customHeight="1">
      <c r="A182" s="99"/>
      <c r="B182" s="91"/>
      <c r="C182" s="610" t="s">
        <v>204</v>
      </c>
      <c r="D182" s="617"/>
      <c r="E182" s="92"/>
      <c r="F182" s="93"/>
      <c r="G182" s="200">
        <f>+G172*G21</f>
        <v>6658406.7000000002</v>
      </c>
      <c r="H182" s="395"/>
      <c r="I182" s="135"/>
      <c r="J182" s="94">
        <f>+G182/$J$5</f>
        <v>63401.320700818898</v>
      </c>
    </row>
    <row r="183" spans="1:19" ht="15.9" customHeight="1">
      <c r="A183" s="99"/>
      <c r="B183" s="91"/>
      <c r="C183" s="610" t="s">
        <v>205</v>
      </c>
      <c r="D183" s="611"/>
      <c r="E183" s="92"/>
      <c r="F183" s="93"/>
      <c r="G183" s="200">
        <f>+G175*G21</f>
        <v>0</v>
      </c>
      <c r="H183" s="395"/>
      <c r="I183" s="135"/>
      <c r="J183" s="94"/>
    </row>
    <row r="184" spans="1:19" ht="15.9" customHeight="1">
      <c r="A184" s="99"/>
      <c r="B184" s="91"/>
      <c r="C184" s="610" t="s">
        <v>206</v>
      </c>
      <c r="D184" s="617"/>
      <c r="E184" s="92"/>
      <c r="F184" s="93"/>
      <c r="G184" s="200">
        <f>SUM(G181:G183)</f>
        <v>9851985.3514994867</v>
      </c>
      <c r="H184" s="395"/>
      <c r="I184" s="135"/>
      <c r="J184" s="94">
        <f>SUM(J181:J183)</f>
        <v>93810.563240330303</v>
      </c>
    </row>
    <row r="185" spans="1:19" ht="15.9" customHeight="1">
      <c r="A185" s="99"/>
      <c r="B185" s="91"/>
      <c r="C185" s="610" t="s">
        <v>207</v>
      </c>
      <c r="D185" s="617"/>
      <c r="E185" s="92"/>
      <c r="F185" s="93"/>
      <c r="G185" s="200">
        <f>+G184*12</f>
        <v>118223824.21799384</v>
      </c>
      <c r="H185" s="395"/>
      <c r="I185" s="135"/>
      <c r="J185" s="94">
        <f>+J184*12</f>
        <v>1125726.7588839636</v>
      </c>
    </row>
    <row r="186" spans="1:19" ht="15.9" customHeight="1" thickBot="1">
      <c r="A186" s="99"/>
      <c r="B186" s="71"/>
      <c r="C186" s="43"/>
      <c r="D186" s="43"/>
      <c r="E186" s="100"/>
      <c r="F186" s="101"/>
      <c r="G186" s="101"/>
      <c r="H186" s="396"/>
      <c r="I186" s="226"/>
      <c r="J186" s="227"/>
    </row>
    <row r="187" spans="1:19" ht="15.9" customHeight="1" thickBot="1">
      <c r="A187" s="99"/>
      <c r="B187" s="685" t="s">
        <v>208</v>
      </c>
      <c r="C187" s="686"/>
      <c r="D187" s="686"/>
      <c r="E187" s="686"/>
      <c r="F187" s="686"/>
      <c r="G187" s="686"/>
      <c r="H187" s="686"/>
      <c r="I187" s="686"/>
      <c r="J187" s="687"/>
    </row>
    <row r="188" spans="1:19" ht="15.9" customHeight="1">
      <c r="A188" s="43"/>
      <c r="B188" s="156"/>
      <c r="C188" s="629" t="s">
        <v>209</v>
      </c>
      <c r="D188" s="629"/>
      <c r="E188" s="369"/>
      <c r="F188" s="369" t="s">
        <v>186</v>
      </c>
      <c r="G188" s="160" t="s">
        <v>186</v>
      </c>
      <c r="H188" s="682"/>
      <c r="I188" s="220" t="s">
        <v>63</v>
      </c>
      <c r="J188" s="221" t="s">
        <v>63</v>
      </c>
    </row>
    <row r="189" spans="1:19" ht="15.9" customHeight="1">
      <c r="A189" s="43"/>
      <c r="B189" s="154"/>
      <c r="C189" s="616" t="s">
        <v>210</v>
      </c>
      <c r="D189" s="617"/>
      <c r="E189" s="155"/>
      <c r="F189" s="155"/>
      <c r="G189" s="94">
        <f>+G20</f>
        <v>0</v>
      </c>
      <c r="H189" s="683"/>
      <c r="I189" s="154"/>
      <c r="J189" s="94">
        <f>+G189/J5</f>
        <v>0</v>
      </c>
    </row>
    <row r="190" spans="1:19" ht="15.9" customHeight="1">
      <c r="A190" s="43"/>
      <c r="B190" s="154"/>
      <c r="C190" s="616" t="s">
        <v>211</v>
      </c>
      <c r="D190" s="617"/>
      <c r="E190" s="155"/>
      <c r="F190" s="155"/>
      <c r="G190" s="94">
        <f>+G189*G23</f>
        <v>0</v>
      </c>
      <c r="H190" s="683"/>
      <c r="I190" s="154"/>
      <c r="J190" s="94">
        <f>+J189*J23</f>
        <v>0</v>
      </c>
    </row>
    <row r="191" spans="1:19" ht="15.9" customHeight="1">
      <c r="A191" s="43"/>
      <c r="B191" s="154"/>
      <c r="C191" s="654" t="s">
        <v>212</v>
      </c>
      <c r="D191" s="654"/>
      <c r="E191" s="155"/>
      <c r="F191" s="155"/>
      <c r="G191" s="94">
        <f>+G190*25%</f>
        <v>0</v>
      </c>
      <c r="H191" s="683"/>
      <c r="I191" s="154"/>
      <c r="J191" s="94">
        <f>+J190*25%</f>
        <v>0</v>
      </c>
    </row>
    <row r="192" spans="1:19" ht="15.9" customHeight="1">
      <c r="A192" s="43"/>
      <c r="B192" s="154"/>
      <c r="C192" s="610" t="s">
        <v>213</v>
      </c>
      <c r="D192" s="617"/>
      <c r="E192" s="155"/>
      <c r="F192" s="155"/>
      <c r="G192" s="94">
        <f>+G191*1%</f>
        <v>0</v>
      </c>
      <c r="H192" s="683"/>
      <c r="I192" s="154"/>
      <c r="J192" s="94">
        <f>G192/J5</f>
        <v>0</v>
      </c>
    </row>
    <row r="193" spans="1:20" ht="15.9" customHeight="1">
      <c r="A193" s="43"/>
      <c r="B193" s="154"/>
      <c r="C193" s="610" t="s">
        <v>214</v>
      </c>
      <c r="D193" s="617"/>
      <c r="E193" s="155"/>
      <c r="F193" s="155"/>
      <c r="G193" s="94">
        <f>G192*0.5</f>
        <v>0</v>
      </c>
      <c r="H193" s="683"/>
      <c r="I193" s="154"/>
      <c r="J193" s="94">
        <f>G193/J5</f>
        <v>0</v>
      </c>
    </row>
    <row r="194" spans="1:20" ht="15.9" customHeight="1" thickBot="1">
      <c r="A194" s="43"/>
      <c r="B194" s="154"/>
      <c r="C194" s="654" t="s">
        <v>215</v>
      </c>
      <c r="D194" s="654"/>
      <c r="E194" s="155"/>
      <c r="F194" s="155"/>
      <c r="G194" s="102">
        <f>G82</f>
        <v>565315.30184775486</v>
      </c>
      <c r="H194" s="683"/>
      <c r="I194" s="154"/>
      <c r="J194" s="102">
        <f>+J192+J193</f>
        <v>0</v>
      </c>
    </row>
    <row r="195" spans="1:20" ht="15.9" customHeight="1">
      <c r="A195" s="158"/>
      <c r="B195" s="373"/>
      <c r="C195" s="622"/>
      <c r="D195" s="622"/>
      <c r="E195" s="370"/>
      <c r="F195" s="370" t="s">
        <v>186</v>
      </c>
      <c r="G195" s="45" t="s">
        <v>186</v>
      </c>
      <c r="H195" s="683"/>
      <c r="I195" s="220" t="s">
        <v>63</v>
      </c>
      <c r="J195" s="221" t="s">
        <v>63</v>
      </c>
    </row>
    <row r="196" spans="1:20" ht="15.9" customHeight="1">
      <c r="A196" s="66"/>
      <c r="B196" s="91"/>
      <c r="C196" s="616" t="s">
        <v>216</v>
      </c>
      <c r="D196" s="617"/>
      <c r="E196" s="50"/>
      <c r="F196" s="42"/>
      <c r="G196" s="94">
        <f>+G54</f>
        <v>72</v>
      </c>
      <c r="H196" s="683"/>
      <c r="I196" s="83"/>
      <c r="J196" s="94">
        <f>+J54</f>
        <v>72</v>
      </c>
    </row>
    <row r="197" spans="1:20" ht="15.9" customHeight="1">
      <c r="A197" s="66"/>
      <c r="B197" s="91"/>
      <c r="C197" s="616" t="s">
        <v>217</v>
      </c>
      <c r="D197" s="617"/>
      <c r="E197" s="50"/>
      <c r="F197" s="42"/>
      <c r="G197" s="94">
        <f>F140</f>
        <v>9515</v>
      </c>
      <c r="H197" s="683"/>
      <c r="I197" s="83"/>
      <c r="J197" s="94">
        <f>I140</f>
        <v>9515</v>
      </c>
    </row>
    <row r="198" spans="1:20" ht="15.9" customHeight="1">
      <c r="A198" s="112"/>
      <c r="B198" s="91"/>
      <c r="C198" s="616" t="s">
        <v>218</v>
      </c>
      <c r="D198" s="617"/>
      <c r="E198" s="50"/>
      <c r="F198" s="42"/>
      <c r="G198" s="103">
        <f>+F60</f>
        <v>129</v>
      </c>
      <c r="H198" s="683"/>
      <c r="I198" s="83"/>
      <c r="J198" s="103">
        <f>+I60</f>
        <v>1.228337459531518</v>
      </c>
    </row>
    <row r="199" spans="1:20" ht="15.9" customHeight="1">
      <c r="A199" s="66"/>
      <c r="B199" s="91"/>
      <c r="C199" s="616" t="s">
        <v>218</v>
      </c>
      <c r="D199" s="617"/>
      <c r="E199" s="50"/>
      <c r="F199" s="42"/>
      <c r="G199" s="94">
        <f>(G197*G198*G196)</f>
        <v>88375320</v>
      </c>
      <c r="H199" s="683"/>
      <c r="I199" s="83"/>
      <c r="J199" s="94">
        <f>+G199/$J$5</f>
        <v>841509.42677585222</v>
      </c>
    </row>
    <row r="200" spans="1:20" ht="15.9" customHeight="1">
      <c r="A200" s="66"/>
      <c r="B200" s="91"/>
      <c r="C200" s="616" t="s">
        <v>219</v>
      </c>
      <c r="D200" s="617"/>
      <c r="E200" s="50"/>
      <c r="F200" s="42"/>
      <c r="G200" s="94">
        <f>G199/G196*12</f>
        <v>14729220</v>
      </c>
      <c r="H200" s="683"/>
      <c r="I200" s="83"/>
      <c r="J200" s="94">
        <f>+G200/$J$5</f>
        <v>140251.57112930872</v>
      </c>
    </row>
    <row r="201" spans="1:20" ht="15.9" customHeight="1">
      <c r="A201" s="66"/>
      <c r="B201" s="91"/>
      <c r="C201" s="616" t="s">
        <v>220</v>
      </c>
      <c r="D201" s="617"/>
      <c r="E201" s="50"/>
      <c r="F201" s="42"/>
      <c r="G201" s="94">
        <f>(+G220*115%)/5</f>
        <v>3026339.9999999995</v>
      </c>
      <c r="H201" s="683"/>
      <c r="I201" s="83"/>
      <c r="J201" s="94">
        <f>+G201/$J$5</f>
        <v>28816.796800609405</v>
      </c>
    </row>
    <row r="202" spans="1:20" ht="15.9" customHeight="1">
      <c r="A202" s="66"/>
      <c r="B202" s="91"/>
      <c r="C202" s="616" t="s">
        <v>221</v>
      </c>
      <c r="D202" s="617"/>
      <c r="E202" s="50"/>
      <c r="F202" s="42"/>
      <c r="G202" s="94">
        <f>(+I220*115%)/5</f>
        <v>2765157.6185172233</v>
      </c>
      <c r="H202" s="683"/>
      <c r="I202" s="83"/>
      <c r="J202" s="94">
        <f>+G202/$J$5</f>
        <v>26329.819258400526</v>
      </c>
    </row>
    <row r="203" spans="1:20" ht="15.9" customHeight="1">
      <c r="A203" s="66"/>
      <c r="B203" s="91"/>
      <c r="C203" s="616" t="s">
        <v>36</v>
      </c>
      <c r="D203" s="617"/>
      <c r="E203" s="50"/>
      <c r="F203" s="42"/>
      <c r="G203" s="94">
        <f>+G67</f>
        <v>11418000</v>
      </c>
      <c r="H203" s="683"/>
      <c r="I203" s="83"/>
      <c r="J203" s="94">
        <f>+G203/$J$5</f>
        <v>108722.14816225482</v>
      </c>
    </row>
    <row r="204" spans="1:20" ht="15.9" customHeight="1">
      <c r="A204" s="66"/>
      <c r="B204" s="91"/>
      <c r="C204" s="610" t="s">
        <v>222</v>
      </c>
      <c r="D204" s="617"/>
      <c r="E204" s="50"/>
      <c r="F204" s="42"/>
      <c r="G204" s="94">
        <f>(G200+G201+G202+G203)*1.18</f>
        <v>37687686.789850324</v>
      </c>
      <c r="H204" s="683"/>
      <c r="I204" s="83"/>
      <c r="J204" s="94">
        <f>+J200+J201+J202+J203</f>
        <v>304120.33535057347</v>
      </c>
    </row>
    <row r="205" spans="1:20" ht="15.9" customHeight="1">
      <c r="A205" s="66"/>
      <c r="B205" s="91"/>
      <c r="C205" s="610" t="s">
        <v>223</v>
      </c>
      <c r="D205" s="617"/>
      <c r="E205" s="50"/>
      <c r="F205" s="42"/>
      <c r="G205" s="94">
        <f>G204*1%</f>
        <v>376876.86789850326</v>
      </c>
      <c r="H205" s="683"/>
      <c r="I205" s="83"/>
      <c r="J205" s="94">
        <f>J204*1%</f>
        <v>3041.2033535057349</v>
      </c>
    </row>
    <row r="206" spans="1:20" ht="15.9" customHeight="1">
      <c r="A206" s="66"/>
      <c r="B206" s="91"/>
      <c r="C206" s="616" t="s">
        <v>224</v>
      </c>
      <c r="D206" s="617"/>
      <c r="E206" s="50"/>
      <c r="F206" s="42"/>
      <c r="G206" s="94">
        <f>G204*0.5%</f>
        <v>188438.43394925163</v>
      </c>
      <c r="H206" s="683"/>
      <c r="I206" s="83"/>
      <c r="J206" s="94">
        <f>J204*0.5%</f>
        <v>1520.6016767528674</v>
      </c>
    </row>
    <row r="207" spans="1:20" ht="15.9" customHeight="1">
      <c r="A207" s="66"/>
      <c r="B207" s="91"/>
      <c r="C207" s="612" t="s">
        <v>215</v>
      </c>
      <c r="D207" s="613"/>
      <c r="E207" s="50"/>
      <c r="F207" s="42"/>
      <c r="G207" s="94">
        <f>G205+G206</f>
        <v>565315.30184775486</v>
      </c>
      <c r="H207" s="683"/>
      <c r="I207" s="83"/>
      <c r="J207" s="94">
        <v>0</v>
      </c>
      <c r="T207" s="398"/>
    </row>
    <row r="208" spans="1:20" ht="15.9" customHeight="1">
      <c r="A208" s="43"/>
      <c r="B208" s="71"/>
      <c r="C208" s="43"/>
      <c r="D208" s="43"/>
      <c r="E208" s="72"/>
      <c r="F208" s="43"/>
      <c r="G208" s="328"/>
      <c r="H208" s="683"/>
      <c r="I208" s="86"/>
      <c r="J208" s="73"/>
    </row>
    <row r="209" spans="1:24" ht="32.25" customHeight="1">
      <c r="A209" s="43"/>
      <c r="B209" s="365" t="s">
        <v>225</v>
      </c>
      <c r="C209" s="370" t="s">
        <v>226</v>
      </c>
      <c r="D209" s="373" t="s">
        <v>227</v>
      </c>
      <c r="E209" s="104"/>
      <c r="F209" s="45" t="s">
        <v>228</v>
      </c>
      <c r="G209" s="153" t="s">
        <v>229</v>
      </c>
      <c r="H209" s="683"/>
      <c r="I209" s="370" t="s">
        <v>230</v>
      </c>
      <c r="J209" s="45" t="s">
        <v>231</v>
      </c>
    </row>
    <row r="210" spans="1:24" ht="15.9" customHeight="1">
      <c r="A210" s="43"/>
      <c r="B210" s="91">
        <v>1</v>
      </c>
      <c r="C210" s="93">
        <f>'Lease Rent'!N39</f>
        <v>9134400</v>
      </c>
      <c r="D210" s="135"/>
      <c r="E210" s="50"/>
      <c r="F210" s="275">
        <v>0</v>
      </c>
      <c r="G210" s="93">
        <f>'Lease Rent'!P39</f>
        <v>1360000</v>
      </c>
      <c r="H210" s="683"/>
      <c r="I210" s="93">
        <f>'Lease Rent'!O39</f>
        <v>1178337.5999999999</v>
      </c>
      <c r="J210" s="94"/>
      <c r="S210" s="398"/>
      <c r="T210" s="397"/>
      <c r="U210" s="398"/>
      <c r="V210" s="397"/>
    </row>
    <row r="211" spans="1:24" ht="15.9" customHeight="1">
      <c r="A211" s="43"/>
      <c r="B211" s="91">
        <v>2</v>
      </c>
      <c r="C211" s="93">
        <f>'Lease Rent'!N51</f>
        <v>13701600</v>
      </c>
      <c r="D211" s="272"/>
      <c r="E211" s="50"/>
      <c r="F211" s="275">
        <f>F210</f>
        <v>0</v>
      </c>
      <c r="G211" s="93">
        <f>'Lease Rent'!P51</f>
        <v>2040000</v>
      </c>
      <c r="H211" s="683"/>
      <c r="I211" s="93">
        <f>'Lease Rent'!O51</f>
        <v>1826423.2800000005</v>
      </c>
      <c r="J211" s="94"/>
      <c r="S211" s="398"/>
      <c r="T211" s="397"/>
      <c r="U211" s="398"/>
    </row>
    <row r="212" spans="1:24" ht="15.9" customHeight="1">
      <c r="A212" s="43"/>
      <c r="B212" s="91">
        <v>3</v>
      </c>
      <c r="C212" s="93">
        <f>'Lease Rent'!N63</f>
        <v>13701600</v>
      </c>
      <c r="D212" s="272"/>
      <c r="E212" s="50"/>
      <c r="F212" s="275">
        <f>F211</f>
        <v>0</v>
      </c>
      <c r="G212" s="93">
        <f>'Lease Rent'!P63</f>
        <v>2040000</v>
      </c>
      <c r="H212" s="683"/>
      <c r="I212" s="93">
        <f>'Lease Rent'!O63</f>
        <v>1917744.4440000001</v>
      </c>
      <c r="J212" s="94"/>
      <c r="S212" s="398"/>
      <c r="T212" s="397"/>
      <c r="U212" s="398"/>
    </row>
    <row r="213" spans="1:24" ht="15.9" customHeight="1">
      <c r="A213" s="43"/>
      <c r="B213" s="91">
        <v>4</v>
      </c>
      <c r="C213" s="93">
        <f>'Lease Rent'!N75</f>
        <v>15071760</v>
      </c>
      <c r="D213" s="272"/>
      <c r="E213" s="50"/>
      <c r="F213" s="275">
        <f>+F212*115%</f>
        <v>0</v>
      </c>
      <c r="G213" s="93">
        <f>'Lease Rent'!P75</f>
        <v>2244000</v>
      </c>
      <c r="H213" s="683"/>
      <c r="I213" s="93">
        <f>'Lease Rent'!O75</f>
        <v>2013631.6662000006</v>
      </c>
      <c r="J213" s="94"/>
      <c r="S213" s="398"/>
      <c r="T213" s="397"/>
      <c r="U213" s="398"/>
    </row>
    <row r="214" spans="1:24" ht="15.9" customHeight="1">
      <c r="A214" s="43"/>
      <c r="B214" s="91">
        <v>5</v>
      </c>
      <c r="C214" s="93">
        <f>'Lease Rent'!N87</f>
        <v>15756840</v>
      </c>
      <c r="D214" s="272"/>
      <c r="E214" s="50"/>
      <c r="F214" s="275">
        <f>+F213</f>
        <v>0</v>
      </c>
      <c r="G214" s="93">
        <f>'Lease Rent'!P87</f>
        <v>2345999.9999999995</v>
      </c>
      <c r="H214" s="683"/>
      <c r="I214" s="93">
        <f>'Lease Rent'!O87</f>
        <v>2114313.2495100005</v>
      </c>
      <c r="J214" s="94"/>
      <c r="S214" s="398"/>
      <c r="T214" s="397"/>
      <c r="U214" s="398"/>
    </row>
    <row r="215" spans="1:24" ht="15.9" customHeight="1">
      <c r="A215" s="43"/>
      <c r="B215" s="107">
        <v>6</v>
      </c>
      <c r="C215" s="93">
        <f>'Lease Rent'!N99</f>
        <v>15756840</v>
      </c>
      <c r="D215" s="272"/>
      <c r="E215" s="109"/>
      <c r="F215" s="275">
        <f>+F214</f>
        <v>0</v>
      </c>
      <c r="G215" s="578">
        <f>'Lease Rent'!P99</f>
        <v>2345999.9999999995</v>
      </c>
      <c r="H215" s="683"/>
      <c r="I215" s="93">
        <f>'Lease Rent'!O99</f>
        <v>2220028.9119855007</v>
      </c>
      <c r="J215" s="94"/>
      <c r="T215" s="397"/>
      <c r="U215" s="398"/>
    </row>
    <row r="216" spans="1:24" ht="15.9" customHeight="1">
      <c r="A216" s="43"/>
      <c r="B216" s="107">
        <v>7</v>
      </c>
      <c r="C216" s="93">
        <f>'Lease Rent'!N103</f>
        <v>5252280</v>
      </c>
      <c r="D216" s="272"/>
      <c r="E216" s="109"/>
      <c r="F216" s="275">
        <f>+F215*115%</f>
        <v>0</v>
      </c>
      <c r="G216" s="578">
        <f>'Lease Rent'!P103</f>
        <v>781999.99999999988</v>
      </c>
      <c r="H216" s="683"/>
      <c r="I216" s="93">
        <f>'Lease Rent'!O103</f>
        <v>751945.27664025011</v>
      </c>
      <c r="J216" s="103"/>
    </row>
    <row r="217" spans="1:24" ht="15.9" customHeight="1">
      <c r="A217" s="43"/>
      <c r="B217" s="107">
        <v>8</v>
      </c>
      <c r="C217" s="93"/>
      <c r="D217" s="273"/>
      <c r="E217" s="109"/>
      <c r="F217" s="276">
        <f>F216</f>
        <v>0</v>
      </c>
      <c r="G217" s="105">
        <f>'Lease Rent'!R10</f>
        <v>0</v>
      </c>
      <c r="H217" s="683"/>
      <c r="I217" s="292"/>
      <c r="J217" s="103"/>
    </row>
    <row r="218" spans="1:24" ht="15.9" customHeight="1">
      <c r="A218" s="43"/>
      <c r="B218" s="107">
        <v>9</v>
      </c>
      <c r="C218" s="108"/>
      <c r="D218" s="273"/>
      <c r="E218" s="109"/>
      <c r="F218" s="276">
        <f>F217</f>
        <v>0</v>
      </c>
      <c r="G218" s="110"/>
      <c r="H218" s="683"/>
      <c r="I218" s="93"/>
      <c r="J218" s="103"/>
    </row>
    <row r="219" spans="1:24" ht="15.9" customHeight="1">
      <c r="A219" s="43"/>
      <c r="B219" s="107">
        <v>10</v>
      </c>
      <c r="C219" s="108"/>
      <c r="D219" s="222"/>
      <c r="E219" s="109"/>
      <c r="F219" s="223"/>
      <c r="G219" s="110"/>
      <c r="H219" s="683"/>
      <c r="I219" s="93"/>
      <c r="J219" s="103"/>
    </row>
    <row r="220" spans="1:24" ht="15.9" customHeight="1" thickBot="1">
      <c r="A220" s="43"/>
      <c r="B220" s="111" t="s">
        <v>29</v>
      </c>
      <c r="C220" s="274">
        <f>SUM(C210:C219)</f>
        <v>88375320</v>
      </c>
      <c r="D220" s="274"/>
      <c r="E220" s="44"/>
      <c r="F220" s="274">
        <f>+AVERAGE(F210:F219)</f>
        <v>0</v>
      </c>
      <c r="G220" s="274">
        <f>SUM(G210:G219)</f>
        <v>13158000</v>
      </c>
      <c r="H220" s="684"/>
      <c r="I220" s="274">
        <f>SUM(I210:I219)</f>
        <v>12022424.428335754</v>
      </c>
      <c r="J220" s="274">
        <f>SUM(J210:J219)</f>
        <v>0</v>
      </c>
      <c r="S220" s="399"/>
      <c r="X220" s="399"/>
    </row>
    <row r="221" spans="1:24">
      <c r="S221" s="397"/>
    </row>
    <row r="222" spans="1:24">
      <c r="C222" s="399"/>
      <c r="D222" s="391"/>
      <c r="G222" s="399"/>
      <c r="I222" s="399"/>
    </row>
    <row r="223" spans="1:24">
      <c r="C223" s="397"/>
      <c r="D223" s="397"/>
      <c r="F223" s="398"/>
      <c r="I223" s="398"/>
    </row>
    <row r="224" spans="1:24">
      <c r="C224" s="397"/>
      <c r="D224" s="403"/>
      <c r="I224" s="397"/>
      <c r="J224" s="403"/>
    </row>
    <row r="225" spans="3:10">
      <c r="C225" s="397"/>
      <c r="I225" s="397"/>
    </row>
    <row r="226" spans="3:10">
      <c r="C226" s="399"/>
      <c r="D226" s="397"/>
      <c r="I226" s="399"/>
      <c r="J226" s="397"/>
    </row>
    <row r="227" spans="3:10">
      <c r="C227" s="397"/>
    </row>
    <row r="228" spans="3:10">
      <c r="C228" s="397"/>
    </row>
    <row r="229" spans="3:10">
      <c r="C229" s="397"/>
    </row>
    <row r="230" spans="3:10">
      <c r="C230" s="397"/>
    </row>
    <row r="231" spans="3:10">
      <c r="C231" s="397"/>
      <c r="D231" s="397"/>
      <c r="F231" s="397"/>
      <c r="I231" s="397"/>
    </row>
    <row r="232" spans="3:10">
      <c r="I232" s="397"/>
    </row>
    <row r="233" spans="3:10">
      <c r="I233" s="397"/>
      <c r="J233" s="397"/>
    </row>
  </sheetData>
  <mergeCells count="237">
    <mergeCell ref="C204:D204"/>
    <mergeCell ref="C203:D203"/>
    <mergeCell ref="C161:D161"/>
    <mergeCell ref="B138:D138"/>
    <mergeCell ref="C141:D141"/>
    <mergeCell ref="C120:D120"/>
    <mergeCell ref="C192:D192"/>
    <mergeCell ref="C193:D193"/>
    <mergeCell ref="C80:D80"/>
    <mergeCell ref="C99:D99"/>
    <mergeCell ref="C100:D100"/>
    <mergeCell ref="C91:D91"/>
    <mergeCell ref="C92:D92"/>
    <mergeCell ref="C87:D87"/>
    <mergeCell ref="C82:D82"/>
    <mergeCell ref="C83:D83"/>
    <mergeCell ref="C89:D89"/>
    <mergeCell ref="C189:D189"/>
    <mergeCell ref="C101:D101"/>
    <mergeCell ref="C160:D160"/>
    <mergeCell ref="C190:D190"/>
    <mergeCell ref="B179:D179"/>
    <mergeCell ref="C162:D162"/>
    <mergeCell ref="C165:D165"/>
    <mergeCell ref="C205:D205"/>
    <mergeCell ref="C206:D206"/>
    <mergeCell ref="C207:D207"/>
    <mergeCell ref="C45:D45"/>
    <mergeCell ref="C46:D46"/>
    <mergeCell ref="C47:D47"/>
    <mergeCell ref="C49:D49"/>
    <mergeCell ref="C174:D174"/>
    <mergeCell ref="C197:D197"/>
    <mergeCell ref="C142:D142"/>
    <mergeCell ref="C199:D199"/>
    <mergeCell ref="C200:D200"/>
    <mergeCell ref="C201:D201"/>
    <mergeCell ref="C202:D202"/>
    <mergeCell ref="C188:D188"/>
    <mergeCell ref="C191:D191"/>
    <mergeCell ref="C194:D194"/>
    <mergeCell ref="C195:D195"/>
    <mergeCell ref="C196:D196"/>
    <mergeCell ref="C69:D69"/>
    <mergeCell ref="C70:D70"/>
    <mergeCell ref="C71:D71"/>
    <mergeCell ref="C72:D72"/>
    <mergeCell ref="C73:D73"/>
    <mergeCell ref="C181:D181"/>
    <mergeCell ref="C185:D185"/>
    <mergeCell ref="C168:D168"/>
    <mergeCell ref="C116:D116"/>
    <mergeCell ref="C169:D169"/>
    <mergeCell ref="C183:D183"/>
    <mergeCell ref="C170:D170"/>
    <mergeCell ref="C140:D140"/>
    <mergeCell ref="C132:D132"/>
    <mergeCell ref="C122:D122"/>
    <mergeCell ref="C171:D171"/>
    <mergeCell ref="C167:D167"/>
    <mergeCell ref="B147:D147"/>
    <mergeCell ref="B163:D164"/>
    <mergeCell ref="B125:D125"/>
    <mergeCell ref="C158:D158"/>
    <mergeCell ref="C126:D126"/>
    <mergeCell ref="C155:D155"/>
    <mergeCell ref="C144:D144"/>
    <mergeCell ref="C139:D139"/>
    <mergeCell ref="C166:D166"/>
    <mergeCell ref="C182:D182"/>
    <mergeCell ref="H188:H220"/>
    <mergeCell ref="C159:D159"/>
    <mergeCell ref="C22:D22"/>
    <mergeCell ref="B187:J187"/>
    <mergeCell ref="C172:D172"/>
    <mergeCell ref="C176:D176"/>
    <mergeCell ref="C177:D177"/>
    <mergeCell ref="C180:D180"/>
    <mergeCell ref="C157:D157"/>
    <mergeCell ref="C198:D198"/>
    <mergeCell ref="C175:D175"/>
    <mergeCell ref="C149:D149"/>
    <mergeCell ref="C150:D150"/>
    <mergeCell ref="F50:G50"/>
    <mergeCell ref="I52:J52"/>
    <mergeCell ref="C95:D95"/>
    <mergeCell ref="F58:G58"/>
    <mergeCell ref="I58:J58"/>
    <mergeCell ref="B121:D121"/>
    <mergeCell ref="C143:D143"/>
    <mergeCell ref="C184:D184"/>
    <mergeCell ref="C113:D113"/>
    <mergeCell ref="C50:D50"/>
    <mergeCell ref="C51:D51"/>
    <mergeCell ref="C34:D34"/>
    <mergeCell ref="C35:D35"/>
    <mergeCell ref="C81:D81"/>
    <mergeCell ref="C62:D62"/>
    <mergeCell ref="C63:D63"/>
    <mergeCell ref="C54:D54"/>
    <mergeCell ref="C55:D55"/>
    <mergeCell ref="C75:D75"/>
    <mergeCell ref="C76:D76"/>
    <mergeCell ref="C68:D68"/>
    <mergeCell ref="C52:D52"/>
    <mergeCell ref="C53:D53"/>
    <mergeCell ref="C56:D56"/>
    <mergeCell ref="C64:D64"/>
    <mergeCell ref="C65:D65"/>
    <mergeCell ref="C66:D66"/>
    <mergeCell ref="C67:D67"/>
    <mergeCell ref="C60:D60"/>
    <mergeCell ref="C61:D61"/>
    <mergeCell ref="C57:D57"/>
    <mergeCell ref="B59:D59"/>
    <mergeCell ref="B48:B49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21:D21"/>
    <mergeCell ref="C27:D27"/>
    <mergeCell ref="C28:D28"/>
    <mergeCell ref="C23:D23"/>
    <mergeCell ref="C24:D24"/>
    <mergeCell ref="C26:D26"/>
    <mergeCell ref="C25:D25"/>
    <mergeCell ref="C18:D18"/>
    <mergeCell ref="C19:D19"/>
    <mergeCell ref="C20:D20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I51:J51"/>
    <mergeCell ref="I18:J18"/>
    <mergeCell ref="I50:J50"/>
    <mergeCell ref="C36:D36"/>
    <mergeCell ref="C44:D44"/>
    <mergeCell ref="C30:D30"/>
    <mergeCell ref="B31:D31"/>
    <mergeCell ref="C29:D29"/>
    <mergeCell ref="C41:D41"/>
    <mergeCell ref="C38:D38"/>
    <mergeCell ref="C39:D39"/>
    <mergeCell ref="C40:D40"/>
    <mergeCell ref="C37:D37"/>
    <mergeCell ref="F19:G19"/>
    <mergeCell ref="I19:J19"/>
    <mergeCell ref="F18:G18"/>
    <mergeCell ref="I48:J48"/>
    <mergeCell ref="I49:J49"/>
    <mergeCell ref="F51:G51"/>
    <mergeCell ref="C42:D42"/>
    <mergeCell ref="C43:D43"/>
    <mergeCell ref="C32:D32"/>
    <mergeCell ref="C33:D33"/>
    <mergeCell ref="C48:D48"/>
    <mergeCell ref="F52:G52"/>
    <mergeCell ref="F48:G48"/>
    <mergeCell ref="F49:G49"/>
    <mergeCell ref="I53:J53"/>
    <mergeCell ref="F53:G53"/>
    <mergeCell ref="E163:E164"/>
    <mergeCell ref="C110:D110"/>
    <mergeCell ref="C111:D111"/>
    <mergeCell ref="C112:D112"/>
    <mergeCell ref="C127:D127"/>
    <mergeCell ref="C123:D123"/>
    <mergeCell ref="C118:D118"/>
    <mergeCell ref="C154:D154"/>
    <mergeCell ref="C129:D129"/>
    <mergeCell ref="C130:D130"/>
    <mergeCell ref="B156:D156"/>
    <mergeCell ref="C151:D151"/>
    <mergeCell ref="C152:D152"/>
    <mergeCell ref="C153:D153"/>
    <mergeCell ref="C145:D145"/>
    <mergeCell ref="C148:D148"/>
    <mergeCell ref="C135:D135"/>
    <mergeCell ref="C136:D136"/>
    <mergeCell ref="C133:D133"/>
    <mergeCell ref="C86:D86"/>
    <mergeCell ref="B134:D134"/>
    <mergeCell ref="C106:D106"/>
    <mergeCell ref="C77:D77"/>
    <mergeCell ref="B85:D85"/>
    <mergeCell ref="C78:D78"/>
    <mergeCell ref="C79:D79"/>
    <mergeCell ref="C119:D119"/>
    <mergeCell ref="C103:D103"/>
    <mergeCell ref="B105:D105"/>
    <mergeCell ref="C124:D124"/>
    <mergeCell ref="C117:D117"/>
    <mergeCell ref="C114:D114"/>
    <mergeCell ref="C90:D90"/>
    <mergeCell ref="F137:G137"/>
    <mergeCell ref="I137:J137"/>
    <mergeCell ref="C128:D128"/>
    <mergeCell ref="C108:D108"/>
    <mergeCell ref="B109:D109"/>
    <mergeCell ref="C97:D97"/>
    <mergeCell ref="C98:D98"/>
    <mergeCell ref="C88:D88"/>
    <mergeCell ref="B96:D96"/>
    <mergeCell ref="C93:D93"/>
    <mergeCell ref="C94:D94"/>
    <mergeCell ref="C131:D131"/>
    <mergeCell ref="C115:D115"/>
    <mergeCell ref="C102:D102"/>
    <mergeCell ref="C107:D107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7" max="16383" man="1"/>
    <brk id="136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tabSelected="1" topLeftCell="M9" zoomScale="112" zoomScaleNormal="112" workbookViewId="0">
      <selection activeCell="W27" sqref="W27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586"/>
      <c r="B2" s="587"/>
      <c r="C2" s="587"/>
      <c r="D2" s="587"/>
      <c r="E2" s="587"/>
      <c r="F2" s="587"/>
      <c r="G2" s="587"/>
      <c r="H2" s="587"/>
      <c r="I2" s="587"/>
      <c r="J2" s="587"/>
      <c r="K2" s="587"/>
      <c r="L2" s="587"/>
      <c r="M2" s="587"/>
      <c r="N2" s="587"/>
      <c r="O2" s="587"/>
      <c r="P2" s="587"/>
      <c r="Q2" s="587"/>
      <c r="R2" s="587"/>
      <c r="S2" s="587"/>
      <c r="T2" s="587"/>
      <c r="U2" s="587"/>
      <c r="V2" s="587"/>
      <c r="W2" s="587"/>
      <c r="X2" s="587"/>
      <c r="Y2" s="587"/>
      <c r="Z2" s="587"/>
      <c r="AA2" s="588"/>
    </row>
    <row r="3" spans="1:27" ht="11.25" customHeight="1">
      <c r="A3" s="589"/>
      <c r="B3" s="590"/>
      <c r="C3" s="590"/>
      <c r="D3" s="590"/>
      <c r="E3" s="590"/>
      <c r="F3" s="590"/>
      <c r="G3" s="590"/>
      <c r="H3" s="590"/>
      <c r="I3" s="590"/>
      <c r="J3" s="590"/>
      <c r="K3" s="590"/>
      <c r="L3" s="590"/>
      <c r="M3" s="590"/>
      <c r="N3" s="590"/>
      <c r="O3" s="590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90"/>
      <c r="AA3" s="591"/>
    </row>
    <row r="4" spans="1:27" ht="12" customHeight="1" thickBot="1">
      <c r="A4" s="592"/>
      <c r="B4" s="593"/>
      <c r="C4" s="593"/>
      <c r="D4" s="593"/>
      <c r="E4" s="593"/>
      <c r="F4" s="593"/>
      <c r="G4" s="593"/>
      <c r="H4" s="593"/>
      <c r="I4" s="593"/>
      <c r="J4" s="593"/>
      <c r="K4" s="593"/>
      <c r="L4" s="593"/>
      <c r="M4" s="593"/>
      <c r="N4" s="593"/>
      <c r="O4" s="593"/>
      <c r="P4" s="593"/>
      <c r="Q4" s="593"/>
      <c r="R4" s="593"/>
      <c r="S4" s="593"/>
      <c r="T4" s="593"/>
      <c r="U4" s="593"/>
      <c r="V4" s="593"/>
      <c r="W4" s="593"/>
      <c r="X4" s="593"/>
      <c r="Y4" s="593"/>
      <c r="Z4" s="593"/>
      <c r="AA4" s="594"/>
    </row>
    <row r="5" spans="1:27" ht="12.75" customHeight="1">
      <c r="A5" s="586" t="s">
        <v>0</v>
      </c>
      <c r="B5" s="587"/>
      <c r="C5" s="587"/>
      <c r="D5" s="587"/>
      <c r="E5" s="587"/>
      <c r="F5" s="587"/>
      <c r="G5" s="587"/>
      <c r="H5" s="587"/>
      <c r="I5" s="587"/>
      <c r="J5" s="587"/>
      <c r="K5" s="587"/>
      <c r="L5" s="587"/>
      <c r="M5" s="587"/>
      <c r="N5" s="587"/>
      <c r="O5" s="587"/>
      <c r="P5" s="587"/>
      <c r="Q5" s="587"/>
      <c r="R5" s="587"/>
      <c r="S5" s="587"/>
      <c r="T5" s="587"/>
      <c r="U5" s="587"/>
      <c r="V5" s="587"/>
      <c r="W5" s="587"/>
      <c r="X5" s="587"/>
      <c r="Y5" s="587"/>
      <c r="Z5" s="587"/>
      <c r="AA5" s="588"/>
    </row>
    <row r="6" spans="1:27" ht="13.5" customHeight="1">
      <c r="A6" s="595"/>
      <c r="B6" s="596"/>
      <c r="C6" s="596"/>
      <c r="D6" s="596"/>
      <c r="E6" s="596"/>
      <c r="F6" s="596"/>
      <c r="G6" s="596"/>
      <c r="H6" s="596"/>
      <c r="I6" s="596"/>
      <c r="J6" s="596"/>
      <c r="K6" s="596"/>
      <c r="L6" s="596"/>
      <c r="M6" s="596"/>
      <c r="N6" s="596"/>
      <c r="O6" s="596"/>
      <c r="P6" s="596"/>
      <c r="Q6" s="596"/>
      <c r="R6" s="596"/>
      <c r="S6" s="596"/>
      <c r="T6" s="596"/>
      <c r="U6" s="596"/>
      <c r="V6" s="596"/>
      <c r="W6" s="596"/>
      <c r="X6" s="596"/>
      <c r="Y6" s="596"/>
      <c r="Z6" s="596"/>
      <c r="AA6" s="597"/>
    </row>
    <row r="7" spans="1:27" ht="13.5" customHeight="1" thickBot="1">
      <c r="A7" s="598" t="s">
        <v>292</v>
      </c>
      <c r="B7" s="599"/>
      <c r="C7" s="599"/>
      <c r="D7" s="599"/>
      <c r="E7" s="599"/>
      <c r="F7" s="599"/>
      <c r="G7" s="599"/>
      <c r="H7" s="599"/>
      <c r="I7" s="599"/>
      <c r="J7" s="599"/>
      <c r="K7" s="599"/>
      <c r="L7" s="599"/>
      <c r="M7" s="599"/>
      <c r="N7" s="599"/>
      <c r="O7" s="599"/>
      <c r="P7" s="600"/>
      <c r="Q7" s="600"/>
      <c r="R7" s="600"/>
      <c r="S7" s="600"/>
      <c r="T7" s="600"/>
      <c r="U7" s="600"/>
      <c r="V7" s="600"/>
      <c r="W7" s="600"/>
      <c r="X7" s="600"/>
      <c r="Y7" s="600"/>
      <c r="Z7" s="600"/>
      <c r="AA7" s="601"/>
    </row>
    <row r="8" spans="1:27" ht="12.75" customHeight="1" thickBot="1">
      <c r="A8" s="602" t="s">
        <v>1</v>
      </c>
      <c r="B8" s="603"/>
      <c r="C8" s="603"/>
      <c r="D8" s="603"/>
      <c r="E8" s="603"/>
      <c r="F8" s="603"/>
      <c r="G8" s="603"/>
      <c r="H8" s="603"/>
      <c r="I8" s="603"/>
      <c r="J8" s="603"/>
      <c r="K8" s="603"/>
      <c r="L8" s="603"/>
      <c r="M8" s="603"/>
      <c r="N8" s="604"/>
      <c r="O8" s="6"/>
      <c r="P8" s="602" t="s">
        <v>2</v>
      </c>
      <c r="Q8" s="603"/>
      <c r="R8" s="603"/>
      <c r="S8" s="603"/>
      <c r="T8" s="603"/>
      <c r="U8" s="603"/>
      <c r="V8" s="603"/>
      <c r="W8" s="603"/>
      <c r="X8" s="603"/>
      <c r="Y8" s="603"/>
      <c r="Z8" s="603"/>
      <c r="AA8" s="605"/>
    </row>
    <row r="9" spans="1:27" s="206" customFormat="1" ht="45.75" customHeight="1">
      <c r="A9" s="207">
        <f>+'Rent Calculation'!B1</f>
        <v>0</v>
      </c>
      <c r="B9" s="208" t="s">
        <v>3</v>
      </c>
      <c r="C9" s="208" t="s">
        <v>4</v>
      </c>
      <c r="D9" s="208" t="s">
        <v>5</v>
      </c>
      <c r="E9" s="208" t="s">
        <v>294</v>
      </c>
      <c r="F9" s="208" t="s">
        <v>6</v>
      </c>
      <c r="G9" s="208" t="s">
        <v>7</v>
      </c>
      <c r="H9" s="209" t="s">
        <v>8</v>
      </c>
      <c r="I9" s="208" t="s">
        <v>9</v>
      </c>
      <c r="J9" s="208" t="s">
        <v>10</v>
      </c>
      <c r="K9" s="208" t="s">
        <v>11</v>
      </c>
      <c r="L9" s="209" t="s">
        <v>12</v>
      </c>
      <c r="M9" s="208" t="s">
        <v>13</v>
      </c>
      <c r="N9" s="208" t="s">
        <v>14</v>
      </c>
      <c r="O9" s="210"/>
      <c r="P9" s="211" t="s">
        <v>15</v>
      </c>
      <c r="Q9" s="212">
        <f>+'Rent Calculation'!F28</f>
        <v>0.105</v>
      </c>
      <c r="R9" s="213"/>
      <c r="S9" s="211" t="s">
        <v>16</v>
      </c>
      <c r="T9" s="214">
        <f>'Rent Calculation'!J5</f>
        <v>105.02</v>
      </c>
      <c r="U9" s="215"/>
      <c r="V9" s="216"/>
      <c r="W9" s="216"/>
      <c r="X9" s="216"/>
      <c r="Y9" s="216"/>
      <c r="Z9" s="216"/>
      <c r="AA9" s="217"/>
    </row>
    <row r="10" spans="1:27">
      <c r="A10" s="7" t="s">
        <v>17</v>
      </c>
      <c r="B10" s="8">
        <f>+'Rent Calculation'!F39</f>
        <v>120</v>
      </c>
      <c r="C10" s="8"/>
      <c r="D10" s="8">
        <f>(+'Rent Calculation'!F210*114.5%)/'Rent Calculation'!F21/12</f>
        <v>0</v>
      </c>
      <c r="E10" s="8">
        <f>+((+'Rent Calculation'!F43*'Rent Calculation'!F44)/'Rent Calculation'!F23)</f>
        <v>0</v>
      </c>
      <c r="F10" s="8">
        <f>+'Rent Calculation'!F41</f>
        <v>15.48</v>
      </c>
      <c r="G10" s="8">
        <f t="shared" ref="G10:G15" si="0">SUM(B10:F10)</f>
        <v>135.47999999999999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0</v>
      </c>
      <c r="F11" s="9">
        <f>F10*'Rent Calculation'!F21</f>
        <v>147292.20000000001</v>
      </c>
      <c r="G11" s="9">
        <f t="shared" si="0"/>
        <v>1289092.2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Calculation'!C210</f>
        <v>9134400</v>
      </c>
      <c r="C12" s="9"/>
      <c r="D12" s="9">
        <f>+D11*6</f>
        <v>0</v>
      </c>
      <c r="E12" s="9">
        <f>+'Rent Calculation'!G210</f>
        <v>1360000</v>
      </c>
      <c r="F12" s="9">
        <f>+'Rent Calculation'!I210</f>
        <v>1178337.5999999999</v>
      </c>
      <c r="G12" s="9">
        <f t="shared" si="0"/>
        <v>11672737.6</v>
      </c>
      <c r="H12" s="5">
        <f>G12/$T$9</f>
        <v>111147.75852218625</v>
      </c>
      <c r="I12" s="348">
        <f>+Q28</f>
        <v>14000000</v>
      </c>
      <c r="J12" s="348">
        <f>+Q27</f>
        <v>1500000</v>
      </c>
      <c r="K12" s="5">
        <f>+G12+I12+J12</f>
        <v>27172737.600000001</v>
      </c>
      <c r="L12" s="348">
        <f>+K12/$T$9</f>
        <v>258738.69358217483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Calculation'!C211</f>
        <v>13701600</v>
      </c>
      <c r="C13" s="9"/>
      <c r="D13" s="9">
        <f>+D11*12</f>
        <v>0</v>
      </c>
      <c r="E13" s="9">
        <f>+'Rent Calculation'!G211</f>
        <v>2040000</v>
      </c>
      <c r="F13" s="9">
        <f>+'Rent Calculation'!I211</f>
        <v>1826423.2800000005</v>
      </c>
      <c r="G13" s="9">
        <f t="shared" si="0"/>
        <v>17568023.280000001</v>
      </c>
      <c r="H13" s="5">
        <f>G13/$T$9</f>
        <v>167282.64406779662</v>
      </c>
      <c r="I13" s="348">
        <f>+R28</f>
        <v>12000000</v>
      </c>
      <c r="J13" s="348">
        <f>+R27</f>
        <v>200000</v>
      </c>
      <c r="K13" s="5">
        <f t="shared" ref="K13:K21" si="1">+G13+I13+J13</f>
        <v>29768023.280000001</v>
      </c>
      <c r="L13" s="348">
        <f t="shared" ref="L13:L21" si="2">+K13/$T$9</f>
        <v>283450.99295372312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Calculation'!C212</f>
        <v>13701600</v>
      </c>
      <c r="C14" s="9"/>
      <c r="D14" s="9">
        <f>+D13</f>
        <v>0</v>
      </c>
      <c r="E14" s="9">
        <f>+'Rent Calculation'!G212</f>
        <v>2040000</v>
      </c>
      <c r="F14" s="9">
        <f>+'Rent Calculation'!I212</f>
        <v>1917744.4440000001</v>
      </c>
      <c r="G14" s="9">
        <f t="shared" si="0"/>
        <v>17659344.443999998</v>
      </c>
      <c r="H14" s="5">
        <f t="shared" ref="H14:H21" si="3">G14/$T$9</f>
        <v>168152.20380879831</v>
      </c>
      <c r="I14" s="348">
        <f>+S28</f>
        <v>5000000</v>
      </c>
      <c r="J14" s="348">
        <f>+S27</f>
        <v>200000</v>
      </c>
      <c r="K14" s="5">
        <f t="shared" si="1"/>
        <v>22859344.443999998</v>
      </c>
      <c r="L14" s="348">
        <f t="shared" si="2"/>
        <v>217666.58202247191</v>
      </c>
      <c r="M14" s="5"/>
      <c r="N14" s="5"/>
      <c r="P14" s="10" t="s">
        <v>34</v>
      </c>
      <c r="Q14" s="16">
        <f>+H12</f>
        <v>111147.75852218625</v>
      </c>
      <c r="R14" s="16">
        <f>H13</f>
        <v>167282.64406779662</v>
      </c>
      <c r="S14" s="16">
        <f>H14</f>
        <v>168152.20380879831</v>
      </c>
      <c r="T14" s="16">
        <f>H15</f>
        <v>184054.38646162636</v>
      </c>
      <c r="U14" s="16">
        <f>+H16</f>
        <v>192507.64853846887</v>
      </c>
      <c r="V14" s="16">
        <f>+H17</f>
        <v>193514.272633646</v>
      </c>
      <c r="W14" s="16">
        <f>+H18</f>
        <v>64618.408652068661</v>
      </c>
      <c r="X14" s="16">
        <f>+H19</f>
        <v>0</v>
      </c>
      <c r="Y14" s="182">
        <f>H20</f>
        <v>0</v>
      </c>
      <c r="Z14" s="182">
        <f>H21</f>
        <v>0</v>
      </c>
      <c r="AA14" s="17">
        <f>SUM(Q14:Z14)</f>
        <v>1081277.3226845912</v>
      </c>
    </row>
    <row r="15" spans="1:27">
      <c r="A15" s="7" t="s">
        <v>35</v>
      </c>
      <c r="B15" s="9">
        <f>+'Rent Calculation'!C213</f>
        <v>15071760</v>
      </c>
      <c r="C15" s="9"/>
      <c r="D15" s="9">
        <f>+D12+(D12*115%)</f>
        <v>0</v>
      </c>
      <c r="E15" s="9">
        <f>+'Rent Calculation'!G213</f>
        <v>2244000</v>
      </c>
      <c r="F15" s="9">
        <f>+'Rent Calculation'!I213</f>
        <v>2013631.6662000006</v>
      </c>
      <c r="G15" s="9">
        <f t="shared" si="0"/>
        <v>19329391.666200001</v>
      </c>
      <c r="H15" s="5">
        <f t="shared" si="3"/>
        <v>184054.38646162636</v>
      </c>
      <c r="I15" s="348">
        <f>+T28</f>
        <v>6000000</v>
      </c>
      <c r="J15" s="348">
        <f>+T27</f>
        <v>200000</v>
      </c>
      <c r="K15" s="5">
        <f t="shared" si="1"/>
        <v>25529391.666200001</v>
      </c>
      <c r="L15" s="348">
        <f t="shared" si="2"/>
        <v>243090.76048562181</v>
      </c>
      <c r="M15" s="5"/>
      <c r="N15" s="5"/>
      <c r="P15" s="185" t="s">
        <v>36</v>
      </c>
      <c r="Q15" s="10">
        <f t="shared" ref="Q15:U17" si="4">+Q26/$T$9</f>
        <v>113483.14606741573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0">
        <f t="shared" si="4"/>
        <v>0</v>
      </c>
      <c r="V15" s="10">
        <f>+V26/$T$9</f>
        <v>0</v>
      </c>
      <c r="W15" s="186">
        <f>+W26/$T$9</f>
        <v>-113483.14606741573</v>
      </c>
      <c r="X15" s="186">
        <f>+X26/$T$9</f>
        <v>0</v>
      </c>
      <c r="Y15" s="186">
        <f>+Y26/$T$9</f>
        <v>0</v>
      </c>
      <c r="Z15" s="186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Calculation'!C214</f>
        <v>15756840</v>
      </c>
      <c r="C16" s="9"/>
      <c r="D16" s="9">
        <f>+D13*115%</f>
        <v>0</v>
      </c>
      <c r="E16" s="9">
        <f>+'Rent Calculation'!G214</f>
        <v>2345999.9999999995</v>
      </c>
      <c r="F16" s="9">
        <f>+'Rent Calculation'!I214</f>
        <v>2114313.2495100005</v>
      </c>
      <c r="G16" s="9">
        <f t="shared" ref="G16:G21" si="5">SUM(B16:F16)</f>
        <v>20217153.249510001</v>
      </c>
      <c r="H16" s="5">
        <f t="shared" si="3"/>
        <v>192507.64853846887</v>
      </c>
      <c r="I16" s="5">
        <f>+U28</f>
        <v>6000000</v>
      </c>
      <c r="J16" s="5">
        <f>+U27</f>
        <v>200000</v>
      </c>
      <c r="K16" s="5">
        <f t="shared" si="1"/>
        <v>26417153.249510001</v>
      </c>
      <c r="L16" s="348">
        <f t="shared" si="2"/>
        <v>251544.02256246432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Calculation'!C215</f>
        <v>15756840</v>
      </c>
      <c r="C17" s="9"/>
      <c r="D17" s="9">
        <f>+D16</f>
        <v>0</v>
      </c>
      <c r="E17" s="9">
        <f>+'Rent Calculation'!G215</f>
        <v>2345999.9999999995</v>
      </c>
      <c r="F17" s="9">
        <f>+'Rent Calculation'!I215</f>
        <v>2220028.9119855007</v>
      </c>
      <c r="G17" s="9">
        <f t="shared" si="5"/>
        <v>20322868.911985502</v>
      </c>
      <c r="H17" s="5">
        <f t="shared" si="3"/>
        <v>193514.272633646</v>
      </c>
      <c r="I17" s="5">
        <f>+V28</f>
        <v>0</v>
      </c>
      <c r="J17" s="5">
        <f>+V27</f>
        <v>200000</v>
      </c>
      <c r="K17" s="5">
        <f t="shared" si="1"/>
        <v>20522868.911985502</v>
      </c>
      <c r="L17" s="348">
        <f t="shared" si="2"/>
        <v>195418.67179571037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Calculation'!C216</f>
        <v>5252280</v>
      </c>
      <c r="C18" s="9"/>
      <c r="D18" s="9">
        <f>(+D17/2)+(D17/2*115%)</f>
        <v>0</v>
      </c>
      <c r="E18" s="9">
        <f>+'Rent Calculation'!G216</f>
        <v>781999.99999999988</v>
      </c>
      <c r="F18" s="9">
        <f>+'Rent Calculation'!I216</f>
        <v>751945.27664025011</v>
      </c>
      <c r="G18" s="9">
        <f t="shared" si="5"/>
        <v>6786225.2766402503</v>
      </c>
      <c r="H18" s="5">
        <f t="shared" si="3"/>
        <v>64618.408652068661</v>
      </c>
      <c r="I18" s="5">
        <f>+W28</f>
        <v>0</v>
      </c>
      <c r="J18" s="5">
        <f>+W27</f>
        <v>0</v>
      </c>
      <c r="K18" s="5">
        <f t="shared" si="1"/>
        <v>6786225.2766402503</v>
      </c>
      <c r="L18" s="348">
        <f t="shared" si="2"/>
        <v>64618.408652068661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Calculation'!C217</f>
        <v>0</v>
      </c>
      <c r="C19" s="9"/>
      <c r="D19" s="9">
        <f>+D17*115%</f>
        <v>0</v>
      </c>
      <c r="E19" s="9">
        <f>+'Rent Calculation'!G217</f>
        <v>0</v>
      </c>
      <c r="F19" s="9">
        <f>+'Rent Calculation'!I217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48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Calculation'!C218</f>
        <v>0</v>
      </c>
      <c r="C20" s="9"/>
      <c r="D20" s="9">
        <f>D19</f>
        <v>0</v>
      </c>
      <c r="E20" s="9">
        <f>+'Rent Calculation'!G218</f>
        <v>0</v>
      </c>
      <c r="F20" s="9">
        <f>+'Rent Calculation'!I218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48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Calculation'!C219</f>
        <v>0</v>
      </c>
      <c r="C21" s="9"/>
      <c r="D21" s="9">
        <f>+D20/2</f>
        <v>0</v>
      </c>
      <c r="E21" s="9">
        <f>+'Rent Calculation'!G219</f>
        <v>0</v>
      </c>
      <c r="F21" s="9">
        <f>(+'Rent Calculation'!I219)*114.5%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48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372221.83964959055</v>
      </c>
      <c r="R22" s="19">
        <f t="shared" ref="R22:AA22" si="7">SUM(R14:R20)</f>
        <v>283450.99295372312</v>
      </c>
      <c r="S22" s="19">
        <f t="shared" si="7"/>
        <v>217666.58202247188</v>
      </c>
      <c r="T22" s="19">
        <f t="shared" si="7"/>
        <v>243090.76048562178</v>
      </c>
      <c r="U22" s="19">
        <f t="shared" si="7"/>
        <v>251544.02256246429</v>
      </c>
      <c r="V22" s="19">
        <f t="shared" si="7"/>
        <v>195418.67179571037</v>
      </c>
      <c r="W22" s="19">
        <f t="shared" si="7"/>
        <v>-48864.737415347066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18">
        <f t="shared" si="7"/>
        <v>1514528.1320542349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13158000</v>
      </c>
      <c r="F23" s="20">
        <f>SUM(F12:F22)</f>
        <v>12022424.428335754</v>
      </c>
      <c r="G23" s="20">
        <f t="shared" si="8"/>
        <v>113555744.42833576</v>
      </c>
      <c r="H23" s="20">
        <f t="shared" si="8"/>
        <v>1081277.3226845912</v>
      </c>
      <c r="I23" s="20">
        <f t="shared" si="8"/>
        <v>43000000</v>
      </c>
      <c r="J23" s="20">
        <f t="shared" si="8"/>
        <v>2500000</v>
      </c>
      <c r="K23" s="20">
        <f t="shared" si="8"/>
        <v>159055744.42833573</v>
      </c>
      <c r="L23" s="20">
        <f t="shared" si="8"/>
        <v>1514528.1320542349</v>
      </c>
      <c r="M23" s="21">
        <f>+N23*$T$9</f>
        <v>118579431.86238968</v>
      </c>
      <c r="N23" s="21">
        <f>+R34</f>
        <v>1129112.8533840191</v>
      </c>
      <c r="Q23" s="2">
        <f>Q22/1.105</f>
        <v>336852.34357429011</v>
      </c>
      <c r="R23" s="2">
        <f>R22/1.105^2</f>
        <v>232141.8422667211</v>
      </c>
      <c r="S23" s="2">
        <f>S22/1.105^3</f>
        <v>161326.20720053511</v>
      </c>
      <c r="T23" s="2">
        <f>T22/1.105^4</f>
        <v>163049.45075614849</v>
      </c>
      <c r="U23" s="2">
        <f>U22/1.105^5</f>
        <v>152687.19315421575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/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48">
        <f>+'Rent Calculation'!G194+'Rent Calculation'!F30</f>
        <v>565315.30184775486</v>
      </c>
      <c r="H25" s="10">
        <f>G25/$T$9</f>
        <v>5382.9299357051505</v>
      </c>
      <c r="I25" s="10"/>
      <c r="J25" s="10"/>
      <c r="K25" s="5">
        <f>+G25+I25+J25</f>
        <v>565315.30184775486</v>
      </c>
      <c r="L25" s="10"/>
      <c r="M25" s="10"/>
      <c r="N25" s="10"/>
      <c r="P25" s="10" t="s">
        <v>34</v>
      </c>
      <c r="Q25" s="219">
        <f>+G12</f>
        <v>11672737.6</v>
      </c>
      <c r="R25" s="16">
        <f t="shared" ref="R25:Z25" si="9">+R14*$T$9</f>
        <v>17568023.280000001</v>
      </c>
      <c r="S25" s="16">
        <f t="shared" si="9"/>
        <v>17659344.443999998</v>
      </c>
      <c r="T25" s="16">
        <f t="shared" si="9"/>
        <v>19329391.666200001</v>
      </c>
      <c r="U25" s="16">
        <f t="shared" si="9"/>
        <v>20217153.249510001</v>
      </c>
      <c r="V25" s="16">
        <f t="shared" si="9"/>
        <v>20322868.911985502</v>
      </c>
      <c r="W25" s="16">
        <f t="shared" si="9"/>
        <v>6786225.2766402503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113555744.42833576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48">
        <f>'CAPEX and PM'!B3</f>
        <v>34000000</v>
      </c>
      <c r="H26" s="10">
        <f>G26/$T$9</f>
        <v>323747.85755094269</v>
      </c>
      <c r="I26" s="10"/>
      <c r="J26" s="10"/>
      <c r="K26" s="5">
        <f>+G26+I26+J26</f>
        <v>34000000</v>
      </c>
      <c r="L26" s="10"/>
      <c r="M26" s="10"/>
      <c r="N26" s="10"/>
      <c r="P26" s="291" t="s">
        <v>36</v>
      </c>
      <c r="Q26" s="291">
        <f>U34</f>
        <v>11918000</v>
      </c>
      <c r="R26" s="361"/>
      <c r="S26" s="291"/>
      <c r="T26" s="291"/>
      <c r="U26" s="715"/>
      <c r="V26" s="291"/>
      <c r="W26" s="291">
        <f>-Q26</f>
        <v>-11918000</v>
      </c>
      <c r="X26" s="716"/>
      <c r="Y26" s="716"/>
      <c r="Z26" s="717">
        <v>0</v>
      </c>
      <c r="AA26" s="718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PM'!F95</f>
        <v>1500000</v>
      </c>
      <c r="R27" s="10">
        <f>'CAPEX and PM'!G95</f>
        <v>200000</v>
      </c>
      <c r="S27" s="10">
        <f>'CAPEX and PM'!H95</f>
        <v>200000</v>
      </c>
      <c r="T27" s="10">
        <f>'CAPEX and PM'!I95</f>
        <v>200000</v>
      </c>
      <c r="U27" s="10">
        <f>'CAPEX and PM'!J95</f>
        <v>200000</v>
      </c>
      <c r="V27" s="10">
        <f>+'CAPEX and PM'!K95</f>
        <v>200000</v>
      </c>
      <c r="W27" s="10">
        <f>+'CAPEX and PM'!L95</f>
        <v>0</v>
      </c>
      <c r="X27" s="10">
        <f>+'CAPEX and PM'!M95</f>
        <v>0</v>
      </c>
      <c r="Y27" s="10">
        <f>+'CAPEX and PM'!N95</f>
        <v>0</v>
      </c>
      <c r="Z27" s="10">
        <f>+'CAPEX and PM'!O95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34565315.301847756</v>
      </c>
      <c r="H28" s="20">
        <f>SUM(H25:H27)</f>
        <v>329130.78748664784</v>
      </c>
      <c r="I28" s="20">
        <f>SUM(I25:I27)</f>
        <v>0</v>
      </c>
      <c r="J28" s="20"/>
      <c r="K28" s="20">
        <f>SUM(K25:K27)</f>
        <v>34565315.301847756</v>
      </c>
      <c r="L28" s="20"/>
      <c r="M28" s="20">
        <f>+N28*T9</f>
        <v>34565315.301847756</v>
      </c>
      <c r="N28" s="20">
        <f>+H28</f>
        <v>329130.78748664784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39090737.600000001</v>
      </c>
      <c r="R30" s="18">
        <f t="shared" ref="R30:AA30" si="10">SUM(R25:R29)</f>
        <v>29768023.280000001</v>
      </c>
      <c r="S30" s="18">
        <f>SUM(S25:S29)</f>
        <v>22859344.443999998</v>
      </c>
      <c r="T30" s="18">
        <f t="shared" si="10"/>
        <v>25529391.666200001</v>
      </c>
      <c r="U30" s="18">
        <f t="shared" si="10"/>
        <v>26417153.249510001</v>
      </c>
      <c r="V30" s="18">
        <f t="shared" si="10"/>
        <v>20522868.911985502</v>
      </c>
      <c r="W30" s="18">
        <f t="shared" si="10"/>
        <v>-5131774.7233597497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159055744.42833576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193621059.73018348</v>
      </c>
      <c r="H31" s="20">
        <f>+L23+H28</f>
        <v>1843658.9195408826</v>
      </c>
      <c r="I31" s="20"/>
      <c r="J31" s="20"/>
      <c r="K31" s="20"/>
      <c r="L31" s="20"/>
      <c r="M31" s="20">
        <f>+M23+M28</f>
        <v>153144747.16423744</v>
      </c>
      <c r="N31" s="20">
        <f>N23+N28</f>
        <v>1458243.6408706671</v>
      </c>
      <c r="T31" s="2"/>
      <c r="U31" s="2"/>
    </row>
    <row r="32" spans="1:27" ht="11" thickBot="1">
      <c r="A32" s="34" t="s">
        <v>51</v>
      </c>
      <c r="B32" s="3"/>
      <c r="C32" s="3"/>
      <c r="D32" s="3"/>
      <c r="E32" s="3"/>
      <c r="F32" s="3"/>
      <c r="G32" s="3"/>
      <c r="H32" s="580">
        <f>+H31/1000000</f>
        <v>1.8436589195408826</v>
      </c>
      <c r="I32" s="149"/>
      <c r="J32" s="149"/>
      <c r="K32" s="149"/>
      <c r="L32" s="149"/>
      <c r="M32" s="35"/>
      <c r="N32" s="580">
        <f>+N31/1000000</f>
        <v>1.4582436408706672</v>
      </c>
      <c r="P32" s="27"/>
      <c r="Q32" s="28" t="s">
        <v>47</v>
      </c>
      <c r="R32" s="29" t="s">
        <v>52</v>
      </c>
      <c r="T32" s="583" t="s">
        <v>53</v>
      </c>
      <c r="U32" s="584"/>
      <c r="V32" s="585"/>
    </row>
    <row r="33" spans="1:27" ht="10.5">
      <c r="A33" s="36"/>
      <c r="H33" s="1"/>
      <c r="I33" s="1"/>
      <c r="J33" s="174"/>
      <c r="K33" s="1"/>
      <c r="L33" s="1"/>
      <c r="M33" s="1"/>
      <c r="N33" s="174"/>
      <c r="P33" s="30"/>
      <c r="Q33" s="10"/>
      <c r="R33" s="17"/>
      <c r="T33" s="37"/>
      <c r="U33" s="38" t="s">
        <v>47</v>
      </c>
      <c r="V33" s="39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0"/>
      <c r="H34" s="151"/>
      <c r="I34" s="151"/>
      <c r="J34" s="151"/>
      <c r="K34" s="151"/>
      <c r="L34" s="151"/>
      <c r="M34" s="4"/>
      <c r="N34" s="151"/>
      <c r="P34" s="31" t="s">
        <v>55</v>
      </c>
      <c r="Q34" s="32">
        <f>+NPV(Q9,Q30,R30,S30,T30,U30,V30,W30,X30,Y30,Z30)</f>
        <v>118579431.86238967</v>
      </c>
      <c r="R34" s="33">
        <f>+NPV(Q9,Q22:Z22)</f>
        <v>1129112.8533840191</v>
      </c>
      <c r="T34" s="23" t="s">
        <v>56</v>
      </c>
      <c r="U34" s="289">
        <f>('Rent Calculation'!F67+'Rent Calculation'!F71+'Rent Calculation'!F69)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4" t="s">
        <v>58</v>
      </c>
      <c r="B36" s="3"/>
      <c r="C36" s="3"/>
      <c r="D36" s="3"/>
      <c r="E36" s="3"/>
      <c r="F36" s="3"/>
      <c r="G36" s="3"/>
      <c r="H36" s="581">
        <f>+H32+H34</f>
        <v>1.8436589195408826</v>
      </c>
      <c r="I36" s="152"/>
      <c r="J36" s="152"/>
      <c r="K36" s="152"/>
      <c r="L36" s="152"/>
      <c r="M36" s="3"/>
      <c r="N36" s="581">
        <f>+N32+N34</f>
        <v>1.4582436408706672</v>
      </c>
      <c r="P36" s="582"/>
      <c r="Q36" s="582"/>
      <c r="T36" s="30" t="s">
        <v>59</v>
      </c>
      <c r="U36" s="10">
        <v>0</v>
      </c>
      <c r="V36" s="17">
        <f>+U36/$T$9</f>
        <v>0</v>
      </c>
    </row>
    <row r="37" spans="1:27" ht="11.5">
      <c r="A37" s="36"/>
      <c r="M37" s="1"/>
      <c r="N37" s="362"/>
      <c r="P37" s="568"/>
      <c r="Q37" s="568"/>
      <c r="T37" s="40" t="s">
        <v>60</v>
      </c>
      <c r="U37" s="10">
        <f>+'Rent Calculation'!F72</f>
        <v>0</v>
      </c>
      <c r="V37" s="17">
        <f>+U37/$T$9</f>
        <v>0</v>
      </c>
    </row>
    <row r="38" spans="1:27" ht="11" thickBot="1">
      <c r="A38" s="36"/>
      <c r="F38" s="355"/>
      <c r="G38" s="355"/>
      <c r="H38" s="355"/>
      <c r="I38" s="355"/>
      <c r="J38" s="355"/>
      <c r="K38" s="355"/>
      <c r="M38" s="1"/>
      <c r="Q38" s="219"/>
      <c r="T38" s="41" t="s">
        <v>29</v>
      </c>
      <c r="U38" s="712">
        <f>SUM(U34:U37)</f>
        <v>11918000</v>
      </c>
      <c r="V38" s="714">
        <f>SUM(V34:V37)</f>
        <v>113483.14606741573</v>
      </c>
    </row>
    <row r="39" spans="1:27" ht="10.5">
      <c r="A39" s="36"/>
      <c r="F39" s="355"/>
      <c r="G39" s="355"/>
      <c r="H39" s="219"/>
      <c r="I39" s="1"/>
      <c r="J39" s="1"/>
      <c r="K39" s="1"/>
      <c r="L39" s="1"/>
      <c r="M39" s="1"/>
      <c r="Q39" s="219"/>
      <c r="T39" s="713"/>
      <c r="U39" s="710"/>
      <c r="V39" s="710"/>
    </row>
    <row r="40" spans="1:27" ht="10.5">
      <c r="A40" s="36"/>
      <c r="H40" s="1"/>
      <c r="I40" s="1"/>
      <c r="J40" s="1"/>
      <c r="K40" s="1"/>
      <c r="L40" s="1"/>
      <c r="M40" s="1"/>
      <c r="N40" s="1"/>
      <c r="Q40" s="219"/>
      <c r="T40" s="709"/>
      <c r="U40" s="560"/>
      <c r="V40" s="711"/>
    </row>
    <row r="41" spans="1:27" ht="10.5">
      <c r="A41" s="36"/>
      <c r="H41" s="363"/>
      <c r="I41" s="1"/>
      <c r="J41" s="219"/>
      <c r="K41" s="1"/>
      <c r="L41" s="1"/>
      <c r="M41" s="1"/>
      <c r="N41" s="1"/>
      <c r="P41" s="219"/>
      <c r="Q41" s="219"/>
      <c r="T41" s="709"/>
      <c r="U41" s="560"/>
      <c r="V41" s="711"/>
    </row>
    <row r="42" spans="1:27" ht="10.5">
      <c r="A42" s="36"/>
      <c r="F42" s="187"/>
      <c r="H42" s="1"/>
      <c r="I42" s="1"/>
      <c r="J42" s="364"/>
      <c r="K42" s="1"/>
      <c r="L42" s="1"/>
      <c r="M42" s="1"/>
      <c r="N42" s="1"/>
      <c r="T42" s="709"/>
      <c r="U42" s="560"/>
      <c r="V42" s="711"/>
    </row>
    <row r="43" spans="1:27">
      <c r="A43" s="36"/>
      <c r="H43" s="1"/>
      <c r="I43" s="1"/>
      <c r="J43" s="1"/>
      <c r="K43" s="1"/>
      <c r="L43" s="1"/>
      <c r="M43" s="1"/>
      <c r="N43" s="1"/>
    </row>
    <row r="44" spans="1:27" ht="10.5">
      <c r="P44" s="538"/>
      <c r="Q44" s="538"/>
      <c r="R44" s="538"/>
    </row>
    <row r="45" spans="1:27" ht="10.5">
      <c r="R45" s="539"/>
      <c r="S45" s="539"/>
      <c r="T45" s="539"/>
      <c r="U45" s="539"/>
      <c r="V45" s="539"/>
      <c r="W45" s="539"/>
      <c r="X45" s="539"/>
      <c r="Y45" s="539"/>
      <c r="Z45" s="539"/>
    </row>
    <row r="46" spans="1:27" ht="13">
      <c r="A46" s="567"/>
      <c r="B46" s="540"/>
      <c r="C46" s="541"/>
      <c r="D46" s="541"/>
      <c r="E46" s="541"/>
      <c r="F46" s="540"/>
      <c r="G46" s="540"/>
      <c r="H46" s="542"/>
      <c r="I46" s="540"/>
      <c r="J46" s="540"/>
      <c r="K46" s="540"/>
      <c r="L46" s="542"/>
      <c r="M46" s="540"/>
      <c r="N46" s="541"/>
      <c r="P46" s="543"/>
      <c r="Q46" s="544"/>
      <c r="R46" s="539"/>
      <c r="S46" s="539"/>
      <c r="T46" s="539"/>
      <c r="U46" s="539"/>
      <c r="V46" s="539"/>
      <c r="W46" s="539"/>
      <c r="X46" s="539"/>
      <c r="Y46" s="539"/>
      <c r="Z46" s="539"/>
      <c r="AA46" s="545"/>
    </row>
    <row r="47" spans="1:27" ht="12.5">
      <c r="A47" s="546"/>
      <c r="B47" s="547"/>
      <c r="C47" s="547"/>
      <c r="D47" s="547"/>
      <c r="E47" s="547"/>
      <c r="F47" s="547"/>
      <c r="G47" s="548"/>
      <c r="H47" s="1"/>
      <c r="I47" s="1"/>
      <c r="J47" s="1"/>
      <c r="K47" s="1"/>
      <c r="L47" s="1"/>
      <c r="M47" s="1"/>
      <c r="P47" s="538"/>
      <c r="Q47" s="421"/>
      <c r="R47" s="421"/>
      <c r="S47" s="421"/>
      <c r="T47" s="421"/>
      <c r="U47" s="708"/>
      <c r="V47" s="421"/>
      <c r="W47" s="421"/>
      <c r="X47" s="421"/>
      <c r="Y47" s="421"/>
      <c r="Z47" s="421"/>
      <c r="AA47" s="421"/>
    </row>
    <row r="48" spans="1:27" ht="12.5">
      <c r="A48" s="546"/>
      <c r="B48" s="2"/>
      <c r="C48" s="2"/>
      <c r="D48" s="2"/>
      <c r="E48" s="2"/>
      <c r="F48" s="2"/>
      <c r="G48" s="548"/>
      <c r="H48" s="1"/>
      <c r="I48" s="1"/>
      <c r="J48" s="1"/>
      <c r="K48" s="1"/>
      <c r="L48" s="1"/>
      <c r="O48" s="549"/>
      <c r="P48" s="550"/>
      <c r="Q48" s="421"/>
      <c r="R48" s="421"/>
      <c r="S48" s="421"/>
      <c r="T48" s="421"/>
      <c r="U48" s="421"/>
      <c r="V48" s="421"/>
      <c r="W48" s="421"/>
      <c r="X48" s="421"/>
      <c r="Y48" s="421"/>
      <c r="Z48" s="421"/>
      <c r="AA48" s="421"/>
    </row>
    <row r="49" spans="1:28" ht="12.5">
      <c r="B49" s="2"/>
      <c r="C49" s="2"/>
      <c r="D49" s="2"/>
      <c r="E49" s="2"/>
      <c r="F49" s="2"/>
      <c r="G49" s="548"/>
      <c r="H49" s="1"/>
      <c r="K49" s="1"/>
      <c r="L49" s="1"/>
      <c r="O49" s="549"/>
      <c r="Q49" s="551"/>
      <c r="R49" s="551"/>
      <c r="S49" s="551"/>
      <c r="T49" s="551"/>
      <c r="U49" s="551"/>
      <c r="V49" s="551"/>
      <c r="W49" s="551"/>
      <c r="X49" s="551"/>
      <c r="Y49" s="551"/>
      <c r="Z49" s="551"/>
      <c r="AA49" s="421"/>
    </row>
    <row r="50" spans="1:28" ht="13">
      <c r="B50" s="567"/>
      <c r="C50" s="567"/>
      <c r="D50" s="567"/>
      <c r="E50" s="567"/>
      <c r="F50" s="567"/>
      <c r="G50" s="567"/>
      <c r="H50" s="567"/>
      <c r="I50" s="567"/>
      <c r="J50" s="567"/>
      <c r="K50" s="567"/>
      <c r="L50" s="567"/>
      <c r="M50" s="567"/>
      <c r="N50" s="567"/>
      <c r="S50" s="421"/>
      <c r="T50" s="421"/>
      <c r="U50" s="421"/>
      <c r="V50" s="421"/>
      <c r="W50" s="421"/>
      <c r="X50" s="421"/>
      <c r="Y50" s="2"/>
      <c r="Z50" s="2"/>
      <c r="AA50" s="421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21"/>
      <c r="AA51" s="421"/>
    </row>
    <row r="52" spans="1:28" ht="12.5">
      <c r="B52" s="2"/>
      <c r="C52" s="2"/>
      <c r="D52" s="2"/>
      <c r="E52" s="2"/>
      <c r="F52" s="2"/>
      <c r="G52" s="538"/>
      <c r="H52" s="552"/>
      <c r="I52" s="552"/>
      <c r="J52" s="552"/>
      <c r="K52" s="552"/>
      <c r="L52" s="552"/>
      <c r="M52" s="1"/>
      <c r="N52" s="538"/>
      <c r="P52" s="1"/>
      <c r="Q52" s="421"/>
      <c r="R52" s="421"/>
      <c r="S52" s="421"/>
      <c r="T52" s="421"/>
      <c r="U52" s="421"/>
      <c r="V52" s="421"/>
      <c r="W52" s="421"/>
      <c r="X52" s="421"/>
      <c r="Y52" s="421"/>
      <c r="Z52" s="421"/>
      <c r="AA52" s="421"/>
    </row>
    <row r="53" spans="1:28" ht="12.5">
      <c r="B53" s="2"/>
      <c r="C53" s="2"/>
      <c r="D53" s="2"/>
      <c r="E53" s="2"/>
      <c r="F53" s="2"/>
      <c r="G53" s="553"/>
      <c r="H53" s="553"/>
      <c r="I53" s="553"/>
      <c r="J53" s="553"/>
      <c r="K53" s="553"/>
      <c r="L53" s="553"/>
      <c r="M53" s="1"/>
      <c r="N53" s="538"/>
      <c r="P53" s="538"/>
      <c r="Q53" s="421"/>
      <c r="R53" s="421"/>
      <c r="S53" s="421"/>
      <c r="T53" s="421"/>
      <c r="U53" s="421"/>
      <c r="V53" s="421"/>
      <c r="W53" s="421"/>
      <c r="X53" s="421"/>
      <c r="Y53" s="421"/>
      <c r="Z53" s="421"/>
      <c r="AA53" s="421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538"/>
      <c r="H55" s="552"/>
      <c r="I55" s="552"/>
      <c r="J55" s="552"/>
      <c r="K55" s="552"/>
      <c r="L55" s="552"/>
      <c r="M55" s="1"/>
      <c r="N55" s="538"/>
      <c r="P55" s="1"/>
      <c r="Q55" s="1"/>
      <c r="R55" s="1"/>
      <c r="S55" s="1"/>
      <c r="AB55" s="566"/>
    </row>
    <row r="56" spans="1:28" ht="13">
      <c r="B56" s="2"/>
      <c r="C56" s="2"/>
      <c r="D56" s="2"/>
      <c r="E56" s="2"/>
      <c r="F56" s="2"/>
      <c r="H56" s="567"/>
      <c r="I56" s="567"/>
      <c r="J56" s="567"/>
      <c r="K56" s="567"/>
      <c r="L56" s="567"/>
      <c r="M56" s="567"/>
      <c r="N56" s="567"/>
      <c r="P56" s="538"/>
      <c r="Q56" s="554"/>
      <c r="R56" s="554"/>
      <c r="S56" s="554"/>
      <c r="T56" s="554"/>
      <c r="U56" s="554"/>
      <c r="V56" s="554"/>
      <c r="W56" s="554"/>
      <c r="X56" s="554"/>
      <c r="Y56" s="554"/>
      <c r="Z56" s="554"/>
      <c r="AA56" s="555"/>
    </row>
    <row r="57" spans="1:28" ht="12.5">
      <c r="B57" s="2"/>
      <c r="C57" s="2"/>
      <c r="D57" s="2"/>
      <c r="E57" s="2"/>
      <c r="F57" s="2"/>
      <c r="G57" s="556"/>
      <c r="H57" s="1"/>
      <c r="I57" s="1"/>
      <c r="J57" s="1"/>
      <c r="K57" s="1"/>
      <c r="L57" s="1"/>
      <c r="M57" s="1"/>
      <c r="N57" s="556"/>
      <c r="P57" s="538"/>
      <c r="Q57" s="421"/>
      <c r="R57" s="421"/>
      <c r="S57" s="421"/>
      <c r="T57" s="421"/>
      <c r="U57" s="421"/>
      <c r="V57" s="421"/>
      <c r="W57" s="421"/>
      <c r="X57" s="421"/>
      <c r="Y57" s="421"/>
      <c r="Z57" s="421"/>
      <c r="AA57" s="555"/>
      <c r="AB57" s="557"/>
    </row>
    <row r="58" spans="1:28" ht="10.5">
      <c r="A58" s="550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549"/>
      <c r="R58" s="549"/>
      <c r="S58" s="549"/>
      <c r="T58" s="549"/>
      <c r="AA58" s="557"/>
    </row>
    <row r="59" spans="1:28">
      <c r="A59" s="548"/>
      <c r="B59" s="558"/>
      <c r="C59" s="558"/>
      <c r="D59" s="558"/>
      <c r="E59" s="558"/>
      <c r="F59" s="2"/>
      <c r="G59" s="2"/>
      <c r="H59" s="1"/>
      <c r="I59" s="1"/>
      <c r="J59" s="1"/>
      <c r="K59" s="1"/>
      <c r="L59" s="1"/>
      <c r="M59" s="1"/>
      <c r="T59" s="2"/>
      <c r="X59" s="219"/>
      <c r="AA59" s="559"/>
      <c r="AB59" s="174"/>
    </row>
    <row r="60" spans="1:28">
      <c r="A60" s="560"/>
      <c r="B60" s="561"/>
      <c r="C60" s="561"/>
      <c r="D60" s="561"/>
      <c r="E60" s="561"/>
      <c r="H60" s="1"/>
      <c r="I60" s="1"/>
      <c r="J60" s="1"/>
      <c r="K60" s="1"/>
      <c r="L60" s="1"/>
      <c r="M60" s="1"/>
      <c r="T60" s="2"/>
      <c r="X60" s="219"/>
      <c r="AA60" s="559"/>
      <c r="AB60" s="174"/>
    </row>
    <row r="61" spans="1:28" ht="10.5">
      <c r="A61" s="559"/>
      <c r="B61" s="561"/>
      <c r="C61" s="561"/>
      <c r="D61" s="561"/>
      <c r="E61" s="561"/>
      <c r="H61" s="1"/>
      <c r="I61" s="1"/>
      <c r="J61" s="1"/>
      <c r="K61" s="1"/>
      <c r="L61" s="1"/>
      <c r="M61" s="1"/>
      <c r="P61" s="538"/>
      <c r="Q61" s="1"/>
      <c r="T61" s="2"/>
      <c r="X61" s="219"/>
      <c r="AA61" s="562"/>
    </row>
    <row r="62" spans="1:28">
      <c r="A62" s="559"/>
      <c r="B62" s="561"/>
      <c r="C62" s="561"/>
      <c r="D62" s="561"/>
      <c r="E62" s="561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559"/>
      <c r="B63" s="561"/>
      <c r="C63" s="561"/>
      <c r="D63" s="561"/>
      <c r="E63" s="561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559"/>
      <c r="B64" s="561"/>
      <c r="C64" s="561"/>
      <c r="D64" s="561"/>
      <c r="E64" s="561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563"/>
      <c r="B65" s="561"/>
      <c r="C65" s="561"/>
      <c r="D65" s="561"/>
      <c r="E65" s="561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559"/>
      <c r="B66" s="561"/>
      <c r="C66" s="561"/>
      <c r="D66" s="561"/>
      <c r="E66" s="561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564"/>
      <c r="B67" s="561"/>
      <c r="C67" s="43"/>
      <c r="M67" s="1"/>
    </row>
    <row r="68" spans="1:19" ht="12.75" customHeight="1">
      <c r="A68" s="565"/>
      <c r="B68" s="561"/>
      <c r="C68" s="43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5" orientation="landscape" r:id="rId1"/>
  <headerFooter alignWithMargins="0">
    <oddFooter>&amp;LRestricted</oddFooter>
  </headerFooter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C22" sqref="C22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19" bestFit="1" customWidth="1"/>
    <col min="15" max="15" width="15.08984375" style="419" bestFit="1" customWidth="1"/>
    <col min="16" max="16" width="14.08984375" style="419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29" t="s">
        <v>233</v>
      </c>
      <c r="C1" s="330"/>
      <c r="D1" s="330"/>
      <c r="E1" s="330"/>
      <c r="F1" s="330"/>
      <c r="G1" s="330"/>
      <c r="H1" s="330"/>
      <c r="I1" s="331"/>
      <c r="J1" s="330"/>
      <c r="K1" s="332">
        <v>10.763999999999999</v>
      </c>
      <c r="L1" s="333">
        <f>D24</f>
        <v>130</v>
      </c>
      <c r="M1" s="330"/>
      <c r="N1" s="342"/>
      <c r="O1" s="342"/>
      <c r="P1" s="342"/>
      <c r="Q1" s="330"/>
      <c r="R1" s="330"/>
      <c r="S1" s="330"/>
      <c r="T1" s="330"/>
    </row>
    <row r="2" spans="2:21" ht="21" hidden="1">
      <c r="B2" s="334" t="s">
        <v>234</v>
      </c>
      <c r="C2" s="334" t="s">
        <v>235</v>
      </c>
      <c r="D2" s="334" t="s">
        <v>236</v>
      </c>
      <c r="E2" s="334" t="s">
        <v>238</v>
      </c>
      <c r="F2" s="334" t="s">
        <v>237</v>
      </c>
      <c r="G2" s="334" t="s">
        <v>239</v>
      </c>
      <c r="H2" s="334" t="s">
        <v>240</v>
      </c>
      <c r="I2" s="335" t="s">
        <v>241</v>
      </c>
      <c r="J2" s="334" t="s">
        <v>62</v>
      </c>
      <c r="K2" s="335" t="s">
        <v>242</v>
      </c>
      <c r="L2" s="335" t="s">
        <v>243</v>
      </c>
      <c r="M2" s="335" t="s">
        <v>244</v>
      </c>
      <c r="N2" s="443" t="s">
        <v>245</v>
      </c>
      <c r="O2" s="444"/>
      <c r="P2" s="443" t="s">
        <v>232</v>
      </c>
      <c r="Q2" s="334" t="s">
        <v>61</v>
      </c>
      <c r="R2" s="334" t="s">
        <v>284</v>
      </c>
      <c r="S2" s="334" t="s">
        <v>62</v>
      </c>
      <c r="T2" s="334" t="s">
        <v>29</v>
      </c>
    </row>
    <row r="3" spans="2:21" hidden="1">
      <c r="B3" s="336">
        <v>45976</v>
      </c>
      <c r="C3" s="337">
        <v>46295</v>
      </c>
      <c r="D3" s="338">
        <f>ROUND((C3-B3)/30,0)-0.5</f>
        <v>10.5</v>
      </c>
      <c r="E3" s="338">
        <f>'Rent Calculation'!F21</f>
        <v>9515</v>
      </c>
      <c r="F3" s="338">
        <f>'Rent Calculation'!G21</f>
        <v>883.96506874767749</v>
      </c>
      <c r="G3" s="340"/>
      <c r="H3" s="339">
        <f>'Rent Calculation'!F36</f>
        <v>120</v>
      </c>
      <c r="I3" s="388">
        <f>E25</f>
        <v>1307.6923076923076</v>
      </c>
      <c r="J3" s="338">
        <f>14.67723796875</f>
        <v>14.677237968749999</v>
      </c>
      <c r="K3" s="338">
        <f>H3*$K$1</f>
        <v>1291.6799999999998</v>
      </c>
      <c r="L3" s="339">
        <f t="shared" ref="L3:L10" si="0">I3/E3</f>
        <v>0.13743481951574438</v>
      </c>
      <c r="M3" s="339">
        <f>J3*$K$1</f>
        <v>157.98578949562497</v>
      </c>
      <c r="N3" s="388">
        <f>K3+L3</f>
        <v>1291.8174348195155</v>
      </c>
      <c r="O3" s="342"/>
      <c r="P3" s="445">
        <f>YEAR(C3)</f>
        <v>2026</v>
      </c>
      <c r="Q3" s="388">
        <f t="shared" ref="Q3:Q10" si="1">D3*E3*H3</f>
        <v>11988900</v>
      </c>
      <c r="R3" s="388">
        <f t="shared" ref="R3:R8" si="2">$I$37*D3</f>
        <v>1785000</v>
      </c>
      <c r="S3" s="388">
        <f t="shared" ref="S3:S10" si="3">D3*E3*J3</f>
        <v>1466366.1523628905</v>
      </c>
      <c r="T3" s="388">
        <f>SUM(Q3:S3)</f>
        <v>15240266.152362891</v>
      </c>
      <c r="U3" s="422">
        <f>T3/12</f>
        <v>1270022.1793635741</v>
      </c>
    </row>
    <row r="4" spans="2:21" hidden="1">
      <c r="B4" s="336">
        <f>C3+1</f>
        <v>46296</v>
      </c>
      <c r="C4" s="336">
        <v>46340</v>
      </c>
      <c r="D4" s="338">
        <f t="shared" ref="D4:D8" si="4">ROUND((C4-B4)/30,0)+0.5</f>
        <v>1.5</v>
      </c>
      <c r="E4" s="338">
        <f>E3</f>
        <v>9515</v>
      </c>
      <c r="F4" s="338">
        <f>F3</f>
        <v>883.96506874767749</v>
      </c>
      <c r="G4" s="340"/>
      <c r="H4" s="339">
        <f>H3</f>
        <v>120</v>
      </c>
      <c r="I4" s="415">
        <f t="shared" ref="I4:J4" si="5">I3</f>
        <v>1307.6923076923076</v>
      </c>
      <c r="J4" s="339">
        <f t="shared" si="5"/>
        <v>14.677237968749999</v>
      </c>
      <c r="K4" s="338">
        <f t="shared" ref="K4:K8" si="6">H4*$K$1</f>
        <v>1291.6799999999998</v>
      </c>
      <c r="L4" s="339">
        <f t="shared" si="0"/>
        <v>0.13743481951574438</v>
      </c>
      <c r="M4" s="339">
        <f t="shared" ref="M4:M8" si="7">J4*$K$1</f>
        <v>157.98578949562497</v>
      </c>
      <c r="N4" s="388">
        <f t="shared" ref="N4:N8" si="8">K4+L4</f>
        <v>1291.8174348195155</v>
      </c>
      <c r="O4" s="342"/>
      <c r="P4" s="445">
        <f>P3+1</f>
        <v>2027</v>
      </c>
      <c r="Q4" s="388">
        <f t="shared" si="1"/>
        <v>1712700</v>
      </c>
      <c r="R4" s="388">
        <f t="shared" si="2"/>
        <v>255000</v>
      </c>
      <c r="S4" s="388">
        <f t="shared" si="3"/>
        <v>209480.87890898436</v>
      </c>
      <c r="T4" s="388">
        <f t="shared" ref="T4:T10" si="9">SUM(Q4:S4)</f>
        <v>2177180.8789089844</v>
      </c>
    </row>
    <row r="5" spans="2:21" hidden="1">
      <c r="B5" s="336">
        <f>C4+1</f>
        <v>46341</v>
      </c>
      <c r="C5" s="337">
        <v>46660</v>
      </c>
      <c r="D5" s="338">
        <f>ROUND((C5-B5)/30,0)-0.5</f>
        <v>10.5</v>
      </c>
      <c r="E5" s="338">
        <f t="shared" ref="E5:E10" si="10">E4</f>
        <v>9515</v>
      </c>
      <c r="F5" s="338">
        <f t="shared" ref="F5:F10" si="11">F4</f>
        <v>883.96506874767749</v>
      </c>
      <c r="G5" s="340"/>
      <c r="H5" s="339">
        <f>H3</f>
        <v>120</v>
      </c>
      <c r="I5" s="388">
        <f>I3</f>
        <v>1307.6923076923076</v>
      </c>
      <c r="J5" s="338">
        <f>J4*1.05</f>
        <v>15.411099867187501</v>
      </c>
      <c r="K5" s="338">
        <f t="shared" si="6"/>
        <v>1291.6799999999998</v>
      </c>
      <c r="L5" s="339">
        <f t="shared" si="0"/>
        <v>0.13743481951574438</v>
      </c>
      <c r="M5" s="339">
        <f t="shared" si="7"/>
        <v>165.88507897040625</v>
      </c>
      <c r="N5" s="388">
        <f t="shared" si="8"/>
        <v>1291.8174348195155</v>
      </c>
      <c r="O5" s="342"/>
      <c r="P5" s="445">
        <f>P4</f>
        <v>2027</v>
      </c>
      <c r="Q5" s="388">
        <f t="shared" si="1"/>
        <v>11988900</v>
      </c>
      <c r="R5" s="388">
        <f t="shared" si="2"/>
        <v>1785000</v>
      </c>
      <c r="S5" s="388">
        <f t="shared" si="3"/>
        <v>1539684.4599810352</v>
      </c>
      <c r="T5" s="388">
        <f t="shared" si="9"/>
        <v>15313584.459981035</v>
      </c>
    </row>
    <row r="6" spans="2:21" hidden="1">
      <c r="B6" s="336">
        <f t="shared" ref="B6:B8" si="12">C5+1</f>
        <v>46661</v>
      </c>
      <c r="C6" s="336">
        <v>46705</v>
      </c>
      <c r="D6" s="338">
        <f t="shared" si="4"/>
        <v>1.5</v>
      </c>
      <c r="E6" s="338">
        <f t="shared" si="10"/>
        <v>9515</v>
      </c>
      <c r="F6" s="338">
        <f t="shared" si="11"/>
        <v>883.96506874767749</v>
      </c>
      <c r="G6" s="340"/>
      <c r="H6" s="339">
        <f t="shared" ref="H6:I6" si="13">H4</f>
        <v>120</v>
      </c>
      <c r="I6" s="388">
        <f t="shared" si="13"/>
        <v>1307.6923076923076</v>
      </c>
      <c r="J6" s="338">
        <f>J5</f>
        <v>15.411099867187501</v>
      </c>
      <c r="K6" s="338">
        <f t="shared" si="6"/>
        <v>1291.6799999999998</v>
      </c>
      <c r="L6" s="339">
        <f t="shared" si="0"/>
        <v>0.13743481951574438</v>
      </c>
      <c r="M6" s="339">
        <f t="shared" si="7"/>
        <v>165.88507897040625</v>
      </c>
      <c r="N6" s="388">
        <f t="shared" si="8"/>
        <v>1291.8174348195155</v>
      </c>
      <c r="O6" s="342"/>
      <c r="P6" s="445">
        <f>P5+1</f>
        <v>2028</v>
      </c>
      <c r="Q6" s="388">
        <f t="shared" si="1"/>
        <v>1712700</v>
      </c>
      <c r="R6" s="388">
        <f t="shared" si="2"/>
        <v>255000</v>
      </c>
      <c r="S6" s="388">
        <f t="shared" si="3"/>
        <v>219954.92285443359</v>
      </c>
      <c r="T6" s="388">
        <f t="shared" si="9"/>
        <v>2187654.9228544338</v>
      </c>
    </row>
    <row r="7" spans="2:21" hidden="1">
      <c r="B7" s="336">
        <f t="shared" si="12"/>
        <v>46706</v>
      </c>
      <c r="C7" s="337">
        <v>47026</v>
      </c>
      <c r="D7" s="338">
        <f>ROUND((C7-B7)/30,0)-0.5</f>
        <v>10.5</v>
      </c>
      <c r="E7" s="338">
        <f t="shared" si="10"/>
        <v>9515</v>
      </c>
      <c r="F7" s="338">
        <f t="shared" si="11"/>
        <v>883.96506874767749</v>
      </c>
      <c r="G7" s="341"/>
      <c r="H7" s="339">
        <f t="shared" ref="H7:I7" si="14">H5</f>
        <v>120</v>
      </c>
      <c r="I7" s="388">
        <f t="shared" si="14"/>
        <v>1307.6923076923076</v>
      </c>
      <c r="J7" s="338">
        <f t="shared" ref="J7" si="15">J6*1.05</f>
        <v>16.181654860546875</v>
      </c>
      <c r="K7" s="338">
        <f t="shared" si="6"/>
        <v>1291.6799999999998</v>
      </c>
      <c r="L7" s="339">
        <f t="shared" si="0"/>
        <v>0.13743481951574438</v>
      </c>
      <c r="M7" s="339">
        <f t="shared" si="7"/>
        <v>174.17933291892655</v>
      </c>
      <c r="N7" s="388">
        <f t="shared" si="8"/>
        <v>1291.8174348195155</v>
      </c>
      <c r="O7" s="342"/>
      <c r="P7" s="445">
        <f>P6</f>
        <v>2028</v>
      </c>
      <c r="Q7" s="388">
        <f t="shared" si="1"/>
        <v>11988900</v>
      </c>
      <c r="R7" s="388">
        <f t="shared" si="2"/>
        <v>1785000</v>
      </c>
      <c r="S7" s="388">
        <f t="shared" si="3"/>
        <v>1616668.6829800869</v>
      </c>
      <c r="T7" s="388">
        <f t="shared" si="9"/>
        <v>15390568.682980087</v>
      </c>
    </row>
    <row r="8" spans="2:21" hidden="1">
      <c r="B8" s="336">
        <f t="shared" si="12"/>
        <v>47027</v>
      </c>
      <c r="C8" s="336">
        <v>47071</v>
      </c>
      <c r="D8" s="338">
        <f t="shared" si="4"/>
        <v>1.5</v>
      </c>
      <c r="E8" s="338">
        <f t="shared" si="10"/>
        <v>9515</v>
      </c>
      <c r="F8" s="338">
        <f t="shared" si="11"/>
        <v>883.96506874767749</v>
      </c>
      <c r="G8" s="341"/>
      <c r="H8" s="339">
        <f>H6+(H6*G8)</f>
        <v>120</v>
      </c>
      <c r="I8" s="415">
        <f>I6+(I6*G8)</f>
        <v>1307.6923076923076</v>
      </c>
      <c r="J8" s="338">
        <f t="shared" ref="J8:J10" si="16">J7</f>
        <v>16.181654860546875</v>
      </c>
      <c r="K8" s="338">
        <f t="shared" si="6"/>
        <v>1291.6799999999998</v>
      </c>
      <c r="L8" s="339">
        <f t="shared" si="0"/>
        <v>0.13743481951574438</v>
      </c>
      <c r="M8" s="339">
        <f t="shared" si="7"/>
        <v>174.17933291892655</v>
      </c>
      <c r="N8" s="388">
        <f t="shared" si="8"/>
        <v>1291.8174348195155</v>
      </c>
      <c r="O8" s="342"/>
      <c r="P8" s="445">
        <f>P7+1</f>
        <v>2029</v>
      </c>
      <c r="Q8" s="388">
        <f t="shared" si="1"/>
        <v>1712700</v>
      </c>
      <c r="R8" s="388">
        <f t="shared" si="2"/>
        <v>255000</v>
      </c>
      <c r="S8" s="388">
        <f t="shared" si="3"/>
        <v>230952.66899715527</v>
      </c>
      <c r="T8" s="388">
        <f t="shared" si="9"/>
        <v>2198652.6689971555</v>
      </c>
    </row>
    <row r="9" spans="2:21" hidden="1">
      <c r="B9" s="336"/>
      <c r="C9" s="337"/>
      <c r="D9" s="338"/>
      <c r="E9" s="338">
        <f t="shared" si="10"/>
        <v>9515</v>
      </c>
      <c r="F9" s="338">
        <f t="shared" si="11"/>
        <v>883.96506874767749</v>
      </c>
      <c r="G9" s="341"/>
      <c r="H9" s="339">
        <f>H7+(H7*G9)</f>
        <v>120</v>
      </c>
      <c r="I9" s="415">
        <f>I7+(I7*G9)</f>
        <v>1307.6923076923076</v>
      </c>
      <c r="J9" s="338">
        <f t="shared" si="16"/>
        <v>16.181654860546875</v>
      </c>
      <c r="K9" s="338">
        <f t="shared" ref="K9:K10" si="17">H9*$K$1</f>
        <v>1291.6799999999998</v>
      </c>
      <c r="L9" s="339">
        <f t="shared" si="0"/>
        <v>0.13743481951574438</v>
      </c>
      <c r="M9" s="339">
        <f t="shared" ref="M9:M10" si="18">J9*$K$1</f>
        <v>174.17933291892655</v>
      </c>
      <c r="N9" s="388">
        <f t="shared" ref="N9:N10" si="19">K9+L9</f>
        <v>1291.8174348195155</v>
      </c>
      <c r="O9" s="342"/>
      <c r="P9" s="445">
        <f>P8</f>
        <v>2029</v>
      </c>
      <c r="Q9" s="388">
        <f t="shared" si="1"/>
        <v>0</v>
      </c>
      <c r="R9" s="388">
        <f>D9*$D$24*I9</f>
        <v>0</v>
      </c>
      <c r="S9" s="388">
        <f t="shared" si="3"/>
        <v>0</v>
      </c>
      <c r="T9" s="388">
        <f t="shared" si="9"/>
        <v>0</v>
      </c>
    </row>
    <row r="10" spans="2:21" hidden="1">
      <c r="B10" s="336"/>
      <c r="C10" s="336"/>
      <c r="D10" s="338"/>
      <c r="E10" s="338">
        <f t="shared" si="10"/>
        <v>9515</v>
      </c>
      <c r="F10" s="338">
        <f t="shared" si="11"/>
        <v>883.96506874767749</v>
      </c>
      <c r="G10" s="341"/>
      <c r="H10" s="339">
        <f>H8+(H8*G10)</f>
        <v>120</v>
      </c>
      <c r="I10" s="415">
        <f>I8+(I8*G10)</f>
        <v>1307.6923076923076</v>
      </c>
      <c r="J10" s="338">
        <f t="shared" si="16"/>
        <v>16.181654860546875</v>
      </c>
      <c r="K10" s="338">
        <f t="shared" si="17"/>
        <v>1291.6799999999998</v>
      </c>
      <c r="L10" s="339">
        <f t="shared" si="0"/>
        <v>0.13743481951574438</v>
      </c>
      <c r="M10" s="339">
        <f t="shared" si="18"/>
        <v>174.17933291892655</v>
      </c>
      <c r="N10" s="388">
        <f t="shared" si="19"/>
        <v>1291.8174348195155</v>
      </c>
      <c r="O10" s="342"/>
      <c r="P10" s="445">
        <f>P9+1</f>
        <v>2030</v>
      </c>
      <c r="Q10" s="388">
        <f t="shared" si="1"/>
        <v>0</v>
      </c>
      <c r="R10" s="388">
        <f>D10*$D$24*I10</f>
        <v>0</v>
      </c>
      <c r="S10" s="388">
        <f t="shared" si="3"/>
        <v>0</v>
      </c>
      <c r="T10" s="388">
        <f t="shared" si="9"/>
        <v>0</v>
      </c>
    </row>
    <row r="11" spans="2:21" s="353" customFormat="1" ht="13" hidden="1">
      <c r="B11" s="701" t="s">
        <v>29</v>
      </c>
      <c r="C11" s="701"/>
      <c r="D11" s="382">
        <v>42</v>
      </c>
      <c r="E11" s="382"/>
      <c r="F11" s="383"/>
      <c r="G11" s="384"/>
      <c r="H11" s="383"/>
      <c r="I11" s="385"/>
      <c r="J11" s="382"/>
      <c r="K11" s="382"/>
      <c r="L11" s="383"/>
      <c r="M11" s="383"/>
      <c r="N11" s="389"/>
      <c r="O11" s="446"/>
      <c r="P11" s="447" t="s">
        <v>29</v>
      </c>
      <c r="Q11" s="389">
        <f>SUM(Q3:Q10)</f>
        <v>41104800</v>
      </c>
      <c r="R11" s="389">
        <f>SUM(R3:R10)</f>
        <v>6120000</v>
      </c>
      <c r="S11" s="389">
        <f>SUM(S3:S10)</f>
        <v>5283107.7660845863</v>
      </c>
      <c r="T11" s="389">
        <f>SUM(T3:T10)</f>
        <v>52507907.766084582</v>
      </c>
    </row>
    <row r="12" spans="2:21" hidden="1">
      <c r="B12" s="330"/>
      <c r="C12" s="330"/>
      <c r="D12" s="330"/>
      <c r="E12" s="330"/>
      <c r="F12" s="330"/>
      <c r="G12" s="330"/>
      <c r="H12" s="330"/>
      <c r="I12" s="330"/>
      <c r="J12" s="330"/>
      <c r="K12" s="330"/>
      <c r="L12" s="330"/>
      <c r="M12" s="330"/>
      <c r="N12" s="342"/>
      <c r="O12" s="342"/>
      <c r="P12" s="342"/>
      <c r="Q12" s="330"/>
      <c r="R12" s="330"/>
      <c r="S12" s="330"/>
      <c r="T12" s="330"/>
    </row>
    <row r="13" spans="2:21" hidden="1">
      <c r="F13" s="330"/>
      <c r="G13" s="423"/>
      <c r="J13" s="461"/>
      <c r="K13" s="461"/>
      <c r="L13" s="330"/>
      <c r="M13" s="330"/>
      <c r="N13" s="462"/>
      <c r="O13" s="462"/>
      <c r="P13" s="462"/>
      <c r="Q13" s="462"/>
      <c r="R13" s="462"/>
      <c r="S13" s="342"/>
      <c r="T13" s="344"/>
    </row>
    <row r="14" spans="2:21" hidden="1">
      <c r="F14" s="330"/>
      <c r="G14" s="423"/>
      <c r="H14" s="423"/>
      <c r="L14" s="463"/>
      <c r="M14" s="463"/>
      <c r="N14" s="462"/>
      <c r="O14" s="462"/>
      <c r="P14" s="462"/>
      <c r="Q14" s="450"/>
      <c r="R14" s="330"/>
      <c r="S14" s="330"/>
      <c r="T14" s="330"/>
    </row>
    <row r="15" spans="2:21" hidden="1">
      <c r="F15" s="330"/>
      <c r="G15" s="423"/>
      <c r="H15" s="423"/>
      <c r="L15" s="463"/>
      <c r="M15" s="463"/>
      <c r="N15" s="462"/>
      <c r="O15" s="462"/>
      <c r="P15" s="462"/>
      <c r="Q15" s="450"/>
      <c r="R15" s="330"/>
      <c r="S15" s="330"/>
      <c r="T15" s="330"/>
    </row>
    <row r="16" spans="2:21" hidden="1">
      <c r="F16" s="345"/>
      <c r="G16" s="423"/>
      <c r="H16" s="423"/>
      <c r="L16" s="463"/>
      <c r="M16" s="463"/>
      <c r="N16" s="462"/>
      <c r="O16" s="462"/>
      <c r="P16" s="462"/>
      <c r="Q16" s="330"/>
      <c r="R16" s="330"/>
      <c r="S16" s="330"/>
      <c r="T16" s="330"/>
    </row>
    <row r="17" spans="1:20" ht="13">
      <c r="F17" s="345"/>
      <c r="G17" s="469" t="s">
        <v>293</v>
      </c>
      <c r="H17" s="423"/>
      <c r="L17" s="463"/>
      <c r="M17" s="463"/>
      <c r="N17" s="462"/>
      <c r="O17" s="462"/>
      <c r="P17" s="462"/>
      <c r="Q17" s="330"/>
      <c r="R17" s="330"/>
      <c r="S17" s="330"/>
      <c r="T17" s="330"/>
    </row>
    <row r="18" spans="1:20">
      <c r="F18" s="346"/>
      <c r="G18" s="511" t="s">
        <v>225</v>
      </c>
      <c r="H18" s="511" t="s">
        <v>236</v>
      </c>
      <c r="I18" s="511" t="s">
        <v>293</v>
      </c>
      <c r="J18" s="512" t="s">
        <v>62</v>
      </c>
      <c r="K18" s="512" t="s">
        <v>29</v>
      </c>
      <c r="M18" s="330"/>
      <c r="N18" s="342"/>
      <c r="O18" s="342"/>
      <c r="P18" s="342"/>
      <c r="Q18" s="330"/>
      <c r="R18" s="330"/>
      <c r="S18" s="330"/>
      <c r="T18" s="330"/>
    </row>
    <row r="19" spans="1:20">
      <c r="B19" s="346"/>
      <c r="C19" s="346"/>
      <c r="D19" s="346"/>
      <c r="E19" s="346"/>
      <c r="F19" s="346"/>
      <c r="G19" s="468">
        <v>2026</v>
      </c>
      <c r="H19" s="147">
        <f t="shared" ref="H19:H25" ca="1" si="20">SUMIF($A$31:$A$1048576,$G19,$D$31:$D$102)</f>
        <v>8</v>
      </c>
      <c r="I19" s="147">
        <f t="shared" ref="I19:I25" ca="1" si="21">SUMIF($A$31:$A$1048576,$G19,$K$31:$K$102)</f>
        <v>9134400</v>
      </c>
      <c r="J19" s="147">
        <f t="shared" ref="J19:J25" ca="1" si="22">SUMIF($A$31:$A$1048576,$G19,$L$31:$L$102)</f>
        <v>1178337.5999999999</v>
      </c>
      <c r="K19" s="231">
        <f ca="1">I19+J19</f>
        <v>10312737.6</v>
      </c>
      <c r="L19" s="330"/>
      <c r="M19" s="330"/>
      <c r="N19" s="342"/>
      <c r="O19" s="342"/>
      <c r="P19" s="342"/>
      <c r="Q19" s="330"/>
      <c r="R19" s="330"/>
      <c r="S19" s="330"/>
      <c r="T19" s="330"/>
    </row>
    <row r="20" spans="1:20">
      <c r="B20" s="346"/>
      <c r="C20" s="346"/>
      <c r="D20" s="346"/>
      <c r="E20" s="346"/>
      <c r="F20" s="346"/>
      <c r="G20" s="468">
        <f>G19+1</f>
        <v>2027</v>
      </c>
      <c r="H20" s="147">
        <f t="shared" ca="1" si="20"/>
        <v>12</v>
      </c>
      <c r="I20" s="147">
        <f t="shared" ca="1" si="21"/>
        <v>13701600</v>
      </c>
      <c r="J20" s="147">
        <f t="shared" ca="1" si="22"/>
        <v>1826423.2800000005</v>
      </c>
      <c r="K20" s="231">
        <f t="shared" ref="K20:K25" ca="1" si="23">I20+J20</f>
        <v>15528023.280000001</v>
      </c>
      <c r="L20" s="330"/>
      <c r="M20" s="330"/>
      <c r="N20" s="342"/>
      <c r="O20" s="342"/>
      <c r="P20" s="342"/>
      <c r="Q20" s="330"/>
      <c r="R20" s="330"/>
      <c r="S20" s="330"/>
      <c r="T20" s="330"/>
    </row>
    <row r="21" spans="1:20">
      <c r="B21" s="519" t="s">
        <v>246</v>
      </c>
      <c r="C21" s="519" t="s">
        <v>247</v>
      </c>
      <c r="D21" s="519" t="s">
        <v>248</v>
      </c>
      <c r="E21" s="519" t="s">
        <v>249</v>
      </c>
      <c r="F21" s="346"/>
      <c r="G21" s="468">
        <f t="shared" ref="G21:G25" si="24">G20+1</f>
        <v>2028</v>
      </c>
      <c r="H21" s="147">
        <f t="shared" ca="1" si="20"/>
        <v>12</v>
      </c>
      <c r="I21" s="147">
        <f t="shared" ca="1" si="21"/>
        <v>13701600</v>
      </c>
      <c r="J21" s="147">
        <f t="shared" ca="1" si="22"/>
        <v>1917744.4440000001</v>
      </c>
      <c r="K21" s="231">
        <f t="shared" ca="1" si="23"/>
        <v>15619344.444</v>
      </c>
      <c r="L21" s="330"/>
      <c r="M21" s="330"/>
      <c r="N21" s="342"/>
      <c r="O21" s="342"/>
      <c r="P21" s="342"/>
      <c r="Q21" s="330"/>
      <c r="R21" s="330"/>
      <c r="S21" s="330"/>
      <c r="T21" s="330"/>
    </row>
    <row r="22" spans="1:20">
      <c r="B22" s="343" t="s">
        <v>250</v>
      </c>
      <c r="C22" s="343">
        <v>1500</v>
      </c>
      <c r="D22" s="386">
        <v>80</v>
      </c>
      <c r="E22" s="343">
        <f>C22*D22</f>
        <v>120000</v>
      </c>
      <c r="F22" s="346"/>
      <c r="G22" s="468">
        <f t="shared" si="24"/>
        <v>2029</v>
      </c>
      <c r="H22" s="147">
        <f t="shared" ca="1" si="20"/>
        <v>12</v>
      </c>
      <c r="I22" s="147">
        <f t="shared" ca="1" si="21"/>
        <v>15071760</v>
      </c>
      <c r="J22" s="147">
        <f t="shared" ca="1" si="22"/>
        <v>2013631.6662000006</v>
      </c>
      <c r="K22" s="231">
        <f t="shared" ca="1" si="23"/>
        <v>17085391.666200001</v>
      </c>
      <c r="L22" s="330"/>
      <c r="M22" s="330"/>
      <c r="N22" s="342"/>
      <c r="O22" s="342"/>
      <c r="P22" s="342"/>
      <c r="Q22" s="330"/>
      <c r="R22" s="330"/>
      <c r="S22" s="330"/>
      <c r="T22" s="330"/>
    </row>
    <row r="23" spans="1:20">
      <c r="B23" s="343" t="s">
        <v>251</v>
      </c>
      <c r="C23" s="343">
        <v>1000</v>
      </c>
      <c r="D23" s="386">
        <v>50</v>
      </c>
      <c r="E23" s="343">
        <f>C23*D23</f>
        <v>50000</v>
      </c>
      <c r="F23" s="346"/>
      <c r="G23" s="468">
        <f t="shared" si="24"/>
        <v>2030</v>
      </c>
      <c r="H23" s="147">
        <f t="shared" ca="1" si="20"/>
        <v>12</v>
      </c>
      <c r="I23" s="147">
        <f t="shared" ca="1" si="21"/>
        <v>15756840</v>
      </c>
      <c r="J23" s="147">
        <f t="shared" ca="1" si="22"/>
        <v>2114313.2495100005</v>
      </c>
      <c r="K23" s="231">
        <f t="shared" ca="1" si="23"/>
        <v>17871153.249510001</v>
      </c>
      <c r="L23" s="330"/>
      <c r="M23" s="330"/>
      <c r="N23" s="342"/>
      <c r="O23" s="342"/>
      <c r="P23" s="342"/>
      <c r="Q23" s="330"/>
      <c r="R23" s="330"/>
      <c r="S23" s="330"/>
      <c r="T23" s="330"/>
    </row>
    <row r="24" spans="1:20">
      <c r="B24" s="387" t="s">
        <v>29</v>
      </c>
      <c r="C24" s="387"/>
      <c r="D24" s="387">
        <f>D22+D23</f>
        <v>130</v>
      </c>
      <c r="E24" s="387">
        <f>E22+E23</f>
        <v>170000</v>
      </c>
      <c r="F24" s="346"/>
      <c r="G24" s="468">
        <f t="shared" si="24"/>
        <v>2031</v>
      </c>
      <c r="H24" s="147">
        <f t="shared" ca="1" si="20"/>
        <v>12</v>
      </c>
      <c r="I24" s="147">
        <f t="shared" ca="1" si="21"/>
        <v>15756840</v>
      </c>
      <c r="J24" s="147">
        <f t="shared" ca="1" si="22"/>
        <v>2220028.9119855007</v>
      </c>
      <c r="K24" s="231">
        <f t="shared" ca="1" si="23"/>
        <v>17976868.911985502</v>
      </c>
      <c r="L24" s="330"/>
      <c r="M24" s="330"/>
      <c r="N24" s="342"/>
      <c r="O24" s="342"/>
      <c r="P24" s="342"/>
      <c r="Q24" s="330"/>
      <c r="R24" s="330"/>
      <c r="S24" s="330"/>
      <c r="T24" s="330"/>
    </row>
    <row r="25" spans="1:20">
      <c r="B25" s="343"/>
      <c r="C25" s="343"/>
      <c r="D25" s="343"/>
      <c r="E25" s="343">
        <f>IFERROR(E24/D24,0)</f>
        <v>1307.6923076923076</v>
      </c>
      <c r="F25" s="346"/>
      <c r="G25" s="468">
        <f t="shared" si="24"/>
        <v>2032</v>
      </c>
      <c r="H25" s="147">
        <f t="shared" ca="1" si="20"/>
        <v>4</v>
      </c>
      <c r="I25" s="147">
        <f t="shared" ca="1" si="21"/>
        <v>5252280</v>
      </c>
      <c r="J25" s="147">
        <f t="shared" ca="1" si="22"/>
        <v>751945.27664025011</v>
      </c>
      <c r="K25" s="147">
        <f t="shared" ca="1" si="23"/>
        <v>6004225.2766402503</v>
      </c>
      <c r="L25" s="330"/>
      <c r="M25" s="330"/>
      <c r="N25" s="342"/>
      <c r="O25" s="342"/>
      <c r="P25" s="342"/>
      <c r="Q25" s="330"/>
      <c r="R25" s="330"/>
      <c r="S25" s="330"/>
      <c r="T25" s="330"/>
    </row>
    <row r="26" spans="1:20" ht="13">
      <c r="B26" s="346"/>
      <c r="C26" s="346"/>
      <c r="D26" s="346"/>
      <c r="E26" s="346"/>
      <c r="F26" s="346"/>
      <c r="G26" s="468"/>
      <c r="H26" s="180">
        <f ca="1">SUM(H19:H25)</f>
        <v>72</v>
      </c>
      <c r="I26" s="180">
        <f ca="1">SUM(I19:I25)</f>
        <v>88375320</v>
      </c>
      <c r="J26" s="180">
        <f t="shared" ref="J26:K26" ca="1" si="25">SUM(J19:J25)</f>
        <v>12022424.428335754</v>
      </c>
      <c r="K26" s="180">
        <f t="shared" ca="1" si="25"/>
        <v>100397744.42833576</v>
      </c>
      <c r="L26" s="330"/>
      <c r="M26" s="330"/>
      <c r="N26" s="342"/>
      <c r="O26" s="342"/>
      <c r="P26" s="342"/>
      <c r="Q26" s="330"/>
      <c r="R26" s="330"/>
      <c r="S26" s="330"/>
      <c r="T26" s="330"/>
    </row>
    <row r="27" spans="1:20">
      <c r="B27" s="346"/>
      <c r="C27" s="346"/>
      <c r="D27" s="346"/>
      <c r="E27" s="346"/>
      <c r="F27" s="346"/>
      <c r="H27" s="330"/>
      <c r="I27" s="330"/>
      <c r="J27" s="330"/>
      <c r="K27" s="330"/>
      <c r="L27" s="330"/>
      <c r="M27" s="330"/>
      <c r="N27" s="342"/>
      <c r="O27" s="342"/>
      <c r="P27" s="342"/>
      <c r="Q27" s="330"/>
      <c r="R27" s="330"/>
      <c r="S27" s="330"/>
      <c r="T27" s="330"/>
    </row>
    <row r="28" spans="1:20">
      <c r="B28" s="346"/>
      <c r="C28" s="346"/>
      <c r="D28" s="346"/>
      <c r="E28" s="346"/>
      <c r="F28" s="346"/>
      <c r="H28" s="330"/>
      <c r="I28" s="330"/>
      <c r="J28" s="330"/>
      <c r="K28" s="330"/>
      <c r="L28" s="493"/>
      <c r="M28" s="330"/>
      <c r="N28" s="342"/>
      <c r="O28" s="342"/>
      <c r="P28" s="342"/>
      <c r="Q28" s="330"/>
      <c r="R28" s="330"/>
      <c r="S28" s="330"/>
      <c r="T28" s="330"/>
    </row>
    <row r="29" spans="1:20">
      <c r="M29" s="501"/>
      <c r="N29" s="502"/>
      <c r="O29" s="502"/>
      <c r="P29" s="502"/>
    </row>
    <row r="30" spans="1:20" ht="26.5" thickBot="1">
      <c r="A30" s="513" t="s">
        <v>225</v>
      </c>
      <c r="B30" s="514" t="s">
        <v>234</v>
      </c>
      <c r="C30" s="514" t="s">
        <v>235</v>
      </c>
      <c r="D30" s="514" t="s">
        <v>236</v>
      </c>
      <c r="E30" s="514" t="s">
        <v>238</v>
      </c>
      <c r="F30" s="514" t="s">
        <v>237</v>
      </c>
      <c r="G30" s="514" t="s">
        <v>239</v>
      </c>
      <c r="H30" s="514" t="s">
        <v>240</v>
      </c>
      <c r="I30" s="515" t="s">
        <v>241</v>
      </c>
      <c r="J30" s="514" t="s">
        <v>62</v>
      </c>
      <c r="K30" s="515" t="s">
        <v>324</v>
      </c>
      <c r="L30" s="515" t="s">
        <v>325</v>
      </c>
      <c r="M30" s="516" t="s">
        <v>29</v>
      </c>
      <c r="N30" s="517" t="s">
        <v>293</v>
      </c>
      <c r="O30" s="518" t="s">
        <v>62</v>
      </c>
      <c r="P30" s="576" t="s">
        <v>326</v>
      </c>
      <c r="Q30" s="577"/>
    </row>
    <row r="31" spans="1:20" ht="13">
      <c r="A31" s="426">
        <v>2026</v>
      </c>
      <c r="B31" s="427">
        <v>46023</v>
      </c>
      <c r="C31" s="427">
        <f>B31+30</f>
        <v>46053</v>
      </c>
      <c r="D31" s="428">
        <v>1</v>
      </c>
      <c r="E31" s="429">
        <f>'Rent Calculation'!$F$23</f>
        <v>9515</v>
      </c>
      <c r="F31" s="429">
        <f>'Rent Calculation'!G23</f>
        <v>883.96506874767749</v>
      </c>
      <c r="G31" s="470"/>
      <c r="H31" s="430">
        <f>Main!B7</f>
        <v>120</v>
      </c>
      <c r="I31" s="429">
        <f>E24</f>
        <v>170000</v>
      </c>
      <c r="J31" s="431">
        <f>15.48</f>
        <v>15.48</v>
      </c>
      <c r="K31" s="429">
        <f t="shared" ref="K31:K62" si="26">H31*E31</f>
        <v>1141800</v>
      </c>
      <c r="L31" s="430">
        <f>J31*E31</f>
        <v>147292.20000000001</v>
      </c>
      <c r="M31" s="432">
        <f t="shared" ref="M31:M36" si="27">I31+K31+L31</f>
        <v>1459092.2</v>
      </c>
      <c r="N31" s="448"/>
      <c r="O31" s="570"/>
      <c r="P31" s="571"/>
    </row>
    <row r="32" spans="1:20" ht="13">
      <c r="A32" s="433">
        <f>A31</f>
        <v>2026</v>
      </c>
      <c r="B32" s="423">
        <f>C31+1</f>
        <v>46054</v>
      </c>
      <c r="C32" s="423">
        <f>B32+30-3</f>
        <v>46081</v>
      </c>
      <c r="D32">
        <v>1</v>
      </c>
      <c r="E32" s="434">
        <v>9515</v>
      </c>
      <c r="F32" s="434">
        <v>883.96506874767749</v>
      </c>
      <c r="G32" s="471"/>
      <c r="H32" s="435">
        <f>H31</f>
        <v>120</v>
      </c>
      <c r="I32" s="434">
        <f>I31</f>
        <v>170000</v>
      </c>
      <c r="J32" s="424">
        <v>15.48</v>
      </c>
      <c r="K32" s="434">
        <f t="shared" si="26"/>
        <v>1141800</v>
      </c>
      <c r="L32" s="435">
        <f t="shared" ref="L32:L62" si="28">J32*E32</f>
        <v>147292.20000000001</v>
      </c>
      <c r="M32" s="422">
        <f t="shared" si="27"/>
        <v>1459092.2</v>
      </c>
      <c r="N32" s="420"/>
      <c r="O32" s="569"/>
      <c r="P32" s="572"/>
    </row>
    <row r="33" spans="1:16" ht="13">
      <c r="A33" s="433">
        <f t="shared" ref="A33:A38" si="29">A32</f>
        <v>2026</v>
      </c>
      <c r="B33" s="423">
        <f>C32+1</f>
        <v>46082</v>
      </c>
      <c r="C33" s="423">
        <f>B33+30</f>
        <v>46112</v>
      </c>
      <c r="D33">
        <v>1</v>
      </c>
      <c r="E33" s="434">
        <f t="shared" ref="E33:E96" si="30">E32</f>
        <v>9515</v>
      </c>
      <c r="F33" s="434">
        <f t="shared" ref="F33:F96" si="31">F32</f>
        <v>883.96506874767749</v>
      </c>
      <c r="G33" s="471"/>
      <c r="H33" s="435">
        <f>H32</f>
        <v>120</v>
      </c>
      <c r="I33" s="434">
        <f>I32</f>
        <v>170000</v>
      </c>
      <c r="J33" s="424">
        <f t="shared" ref="J33:J42" si="32">J32</f>
        <v>15.48</v>
      </c>
      <c r="K33" s="434">
        <f t="shared" si="26"/>
        <v>1141800</v>
      </c>
      <c r="L33" s="435">
        <f t="shared" si="28"/>
        <v>147292.20000000001</v>
      </c>
      <c r="M33" s="422">
        <f t="shared" si="27"/>
        <v>1459092.2</v>
      </c>
      <c r="N33" s="420"/>
      <c r="O33" s="569"/>
      <c r="P33" s="572"/>
    </row>
    <row r="34" spans="1:16" ht="13">
      <c r="A34" s="433">
        <f t="shared" si="29"/>
        <v>2026</v>
      </c>
      <c r="B34" s="423">
        <f>C33+1</f>
        <v>46113</v>
      </c>
      <c r="C34" s="423">
        <f>B34+30-1</f>
        <v>46142</v>
      </c>
      <c r="D34">
        <v>1</v>
      </c>
      <c r="E34" s="434">
        <f t="shared" si="30"/>
        <v>9515</v>
      </c>
      <c r="F34" s="434">
        <f t="shared" si="31"/>
        <v>883.96506874767749</v>
      </c>
      <c r="G34" s="471"/>
      <c r="H34" s="435">
        <f>H33</f>
        <v>120</v>
      </c>
      <c r="I34" s="434">
        <f t="shared" ref="I34:I97" si="33">I33</f>
        <v>170000</v>
      </c>
      <c r="J34" s="424">
        <f t="shared" si="32"/>
        <v>15.48</v>
      </c>
      <c r="K34" s="434">
        <f t="shared" si="26"/>
        <v>1141800</v>
      </c>
      <c r="L34" s="435">
        <f t="shared" si="28"/>
        <v>147292.20000000001</v>
      </c>
      <c r="M34" s="422">
        <f t="shared" si="27"/>
        <v>1459092.2</v>
      </c>
      <c r="N34" s="420"/>
      <c r="O34" s="569"/>
      <c r="P34" s="572"/>
    </row>
    <row r="35" spans="1:16" ht="13">
      <c r="A35" s="433">
        <f t="shared" si="29"/>
        <v>2026</v>
      </c>
      <c r="B35" s="423">
        <f t="shared" ref="B35:B36" si="34">C34+1</f>
        <v>46143</v>
      </c>
      <c r="C35" s="423">
        <f>B35+30</f>
        <v>46173</v>
      </c>
      <c r="D35">
        <v>1</v>
      </c>
      <c r="E35" s="434">
        <f t="shared" si="30"/>
        <v>9515</v>
      </c>
      <c r="F35" s="434">
        <f t="shared" si="31"/>
        <v>883.96506874767749</v>
      </c>
      <c r="G35" s="471"/>
      <c r="H35" s="435">
        <f t="shared" ref="H35:H65" si="35">H34</f>
        <v>120</v>
      </c>
      <c r="I35" s="434">
        <f t="shared" si="33"/>
        <v>170000</v>
      </c>
      <c r="J35" s="424">
        <f t="shared" si="32"/>
        <v>15.48</v>
      </c>
      <c r="K35" s="434">
        <f t="shared" si="26"/>
        <v>1141800</v>
      </c>
      <c r="L35" s="435">
        <f t="shared" si="28"/>
        <v>147292.20000000001</v>
      </c>
      <c r="M35" s="422">
        <f t="shared" si="27"/>
        <v>1459092.2</v>
      </c>
      <c r="N35" s="420"/>
      <c r="O35" s="569"/>
      <c r="P35" s="572"/>
    </row>
    <row r="36" spans="1:16" ht="13">
      <c r="A36" s="433">
        <f t="shared" si="29"/>
        <v>2026</v>
      </c>
      <c r="B36" s="423">
        <f t="shared" si="34"/>
        <v>46174</v>
      </c>
      <c r="C36" s="423">
        <f>B36+30-1</f>
        <v>46203</v>
      </c>
      <c r="D36">
        <v>1</v>
      </c>
      <c r="E36" s="434">
        <f t="shared" si="30"/>
        <v>9515</v>
      </c>
      <c r="F36" s="434">
        <f t="shared" si="31"/>
        <v>883.96506874767749</v>
      </c>
      <c r="G36" s="471"/>
      <c r="H36" s="435">
        <f t="shared" si="35"/>
        <v>120</v>
      </c>
      <c r="I36" s="434">
        <f t="shared" si="33"/>
        <v>170000</v>
      </c>
      <c r="J36" s="424">
        <f t="shared" si="32"/>
        <v>15.48</v>
      </c>
      <c r="K36" s="434">
        <f t="shared" si="26"/>
        <v>1141800</v>
      </c>
      <c r="L36" s="435">
        <f t="shared" si="28"/>
        <v>147292.20000000001</v>
      </c>
      <c r="M36" s="422">
        <f t="shared" si="27"/>
        <v>1459092.2</v>
      </c>
      <c r="N36" s="420"/>
      <c r="O36" s="569"/>
      <c r="P36" s="572"/>
    </row>
    <row r="37" spans="1:16">
      <c r="A37" s="433">
        <f t="shared" si="29"/>
        <v>2026</v>
      </c>
      <c r="B37" s="423">
        <f>C36+1</f>
        <v>46204</v>
      </c>
      <c r="C37" s="423">
        <f>B37+30-1</f>
        <v>46233</v>
      </c>
      <c r="D37">
        <v>1</v>
      </c>
      <c r="E37" s="434">
        <f t="shared" si="30"/>
        <v>9515</v>
      </c>
      <c r="F37" s="434">
        <f t="shared" si="31"/>
        <v>883.96506874767749</v>
      </c>
      <c r="H37" s="435">
        <f t="shared" si="35"/>
        <v>120</v>
      </c>
      <c r="I37" s="434">
        <f t="shared" si="33"/>
        <v>170000</v>
      </c>
      <c r="J37" s="424">
        <f t="shared" si="32"/>
        <v>15.48</v>
      </c>
      <c r="K37" s="434">
        <f t="shared" si="26"/>
        <v>1141800</v>
      </c>
      <c r="L37" s="435">
        <f t="shared" si="28"/>
        <v>147292.20000000001</v>
      </c>
      <c r="M37" s="422">
        <f>I37+K37+L37</f>
        <v>1459092.2</v>
      </c>
      <c r="N37" s="434"/>
      <c r="O37" s="434"/>
      <c r="P37" s="500"/>
    </row>
    <row r="38" spans="1:16" ht="13" thickBot="1">
      <c r="A38" s="436">
        <f t="shared" si="29"/>
        <v>2026</v>
      </c>
      <c r="B38" s="437">
        <f>C37+1</f>
        <v>46234</v>
      </c>
      <c r="C38" s="437">
        <f>B38+30</f>
        <v>46264</v>
      </c>
      <c r="D38" s="438">
        <v>1</v>
      </c>
      <c r="E38" s="439">
        <f t="shared" si="30"/>
        <v>9515</v>
      </c>
      <c r="F38" s="439">
        <f t="shared" si="31"/>
        <v>883.96506874767749</v>
      </c>
      <c r="G38" s="438"/>
      <c r="H38" s="440">
        <f t="shared" si="35"/>
        <v>120</v>
      </c>
      <c r="I38" s="439">
        <f t="shared" si="33"/>
        <v>170000</v>
      </c>
      <c r="J38" s="441">
        <f t="shared" si="32"/>
        <v>15.48</v>
      </c>
      <c r="K38" s="439">
        <f t="shared" si="26"/>
        <v>1141800</v>
      </c>
      <c r="L38" s="440">
        <f t="shared" si="28"/>
        <v>147292.20000000001</v>
      </c>
      <c r="M38" s="442">
        <f t="shared" ref="M38:M84" si="36">I38+K38+L38</f>
        <v>1459092.2</v>
      </c>
      <c r="N38" s="439"/>
      <c r="O38" s="439"/>
      <c r="P38" s="573"/>
    </row>
    <row r="39" spans="1:16">
      <c r="A39" s="433">
        <f>A38+1</f>
        <v>2027</v>
      </c>
      <c r="B39" s="423">
        <f t="shared" ref="B39:B84" si="37">C38+1</f>
        <v>46265</v>
      </c>
      <c r="C39" s="423">
        <f>B39+30</f>
        <v>46295</v>
      </c>
      <c r="D39">
        <v>1</v>
      </c>
      <c r="E39" s="434">
        <f t="shared" si="30"/>
        <v>9515</v>
      </c>
      <c r="F39" s="434">
        <f t="shared" si="31"/>
        <v>883.96506874767749</v>
      </c>
      <c r="H39" s="435">
        <f t="shared" si="35"/>
        <v>120</v>
      </c>
      <c r="I39" s="434">
        <f t="shared" si="33"/>
        <v>170000</v>
      </c>
      <c r="J39" s="424">
        <f t="shared" si="32"/>
        <v>15.48</v>
      </c>
      <c r="K39" s="434">
        <f t="shared" si="26"/>
        <v>1141800</v>
      </c>
      <c r="L39" s="435">
        <f t="shared" si="28"/>
        <v>147292.20000000001</v>
      </c>
      <c r="M39" s="422">
        <f t="shared" si="36"/>
        <v>1459092.2</v>
      </c>
      <c r="N39" s="434">
        <f>SUM(K31:K38)</f>
        <v>9134400</v>
      </c>
      <c r="O39" s="434">
        <f>SUM(L31:L38)</f>
        <v>1178337.5999999999</v>
      </c>
      <c r="P39" s="571">
        <f>SUM(I31:I38)</f>
        <v>1360000</v>
      </c>
    </row>
    <row r="40" spans="1:16">
      <c r="A40">
        <f>A39</f>
        <v>2027</v>
      </c>
      <c r="B40" s="423">
        <f t="shared" si="37"/>
        <v>46296</v>
      </c>
      <c r="C40" s="423">
        <f>B40+30</f>
        <v>46326</v>
      </c>
      <c r="D40">
        <v>1</v>
      </c>
      <c r="E40" s="434">
        <f t="shared" si="30"/>
        <v>9515</v>
      </c>
      <c r="F40" s="434">
        <f t="shared" si="31"/>
        <v>883.96506874767749</v>
      </c>
      <c r="H40" s="435">
        <f t="shared" si="35"/>
        <v>120</v>
      </c>
      <c r="I40" s="434">
        <f t="shared" si="33"/>
        <v>170000</v>
      </c>
      <c r="J40" s="424">
        <f t="shared" si="32"/>
        <v>15.48</v>
      </c>
      <c r="K40" s="434">
        <f t="shared" si="26"/>
        <v>1141800</v>
      </c>
      <c r="L40" s="435">
        <f t="shared" si="28"/>
        <v>147292.20000000001</v>
      </c>
      <c r="M40" s="422">
        <f t="shared" si="36"/>
        <v>1459092.2</v>
      </c>
      <c r="N40" s="434"/>
      <c r="O40" s="434"/>
      <c r="P40" s="572"/>
    </row>
    <row r="41" spans="1:16">
      <c r="A41" s="433">
        <f>A40</f>
        <v>2027</v>
      </c>
      <c r="B41" s="423">
        <f t="shared" si="37"/>
        <v>46327</v>
      </c>
      <c r="C41" s="423">
        <f>B41+30-1</f>
        <v>46356</v>
      </c>
      <c r="D41">
        <v>1</v>
      </c>
      <c r="E41" s="434">
        <f t="shared" si="30"/>
        <v>9515</v>
      </c>
      <c r="F41" s="434">
        <f t="shared" si="31"/>
        <v>883.96506874767749</v>
      </c>
      <c r="H41" s="435">
        <f t="shared" si="35"/>
        <v>120</v>
      </c>
      <c r="I41" s="434">
        <f t="shared" si="33"/>
        <v>170000</v>
      </c>
      <c r="J41" s="424">
        <f t="shared" si="32"/>
        <v>15.48</v>
      </c>
      <c r="K41" s="434">
        <f t="shared" si="26"/>
        <v>1141800</v>
      </c>
      <c r="L41" s="435">
        <f t="shared" si="28"/>
        <v>147292.20000000001</v>
      </c>
      <c r="M41" s="422">
        <f t="shared" si="36"/>
        <v>1459092.2</v>
      </c>
      <c r="N41" s="434"/>
      <c r="O41" s="434"/>
      <c r="P41" s="572"/>
    </row>
    <row r="42" spans="1:16">
      <c r="A42" s="433">
        <f>A41</f>
        <v>2027</v>
      </c>
      <c r="B42" s="423">
        <f t="shared" si="37"/>
        <v>46357</v>
      </c>
      <c r="C42" s="423">
        <f>B42+30</f>
        <v>46387</v>
      </c>
      <c r="D42">
        <v>1</v>
      </c>
      <c r="E42" s="434">
        <f t="shared" si="30"/>
        <v>9515</v>
      </c>
      <c r="F42" s="434">
        <f t="shared" si="31"/>
        <v>883.96506874767749</v>
      </c>
      <c r="H42" s="435">
        <f t="shared" si="35"/>
        <v>120</v>
      </c>
      <c r="I42" s="434">
        <f t="shared" si="33"/>
        <v>170000</v>
      </c>
      <c r="J42" s="424">
        <f t="shared" si="32"/>
        <v>15.48</v>
      </c>
      <c r="K42" s="434">
        <f t="shared" si="26"/>
        <v>1141800</v>
      </c>
      <c r="L42" s="435">
        <f t="shared" si="28"/>
        <v>147292.20000000001</v>
      </c>
      <c r="M42" s="422">
        <f t="shared" si="36"/>
        <v>1459092.2</v>
      </c>
      <c r="N42" s="434"/>
      <c r="O42" s="434"/>
      <c r="P42" s="572"/>
    </row>
    <row r="43" spans="1:16">
      <c r="A43" s="433">
        <f>A42</f>
        <v>2027</v>
      </c>
      <c r="B43" s="423">
        <f t="shared" si="37"/>
        <v>46388</v>
      </c>
      <c r="C43" s="423">
        <f>B43+30</f>
        <v>46418</v>
      </c>
      <c r="D43">
        <v>1</v>
      </c>
      <c r="E43" s="434">
        <f t="shared" si="30"/>
        <v>9515</v>
      </c>
      <c r="F43" s="434">
        <f t="shared" si="31"/>
        <v>883.96506874767749</v>
      </c>
      <c r="H43" s="435">
        <f t="shared" si="35"/>
        <v>120</v>
      </c>
      <c r="I43" s="434">
        <f t="shared" si="33"/>
        <v>170000</v>
      </c>
      <c r="J43" s="424">
        <f>J42*1.05</f>
        <v>16.254000000000001</v>
      </c>
      <c r="K43" s="434">
        <f t="shared" si="26"/>
        <v>1141800</v>
      </c>
      <c r="L43" s="435">
        <f t="shared" si="28"/>
        <v>154656.81000000003</v>
      </c>
      <c r="M43" s="422">
        <f t="shared" si="36"/>
        <v>1466456.81</v>
      </c>
      <c r="N43" s="434"/>
      <c r="O43" s="434"/>
      <c r="P43" s="572"/>
    </row>
    <row r="44" spans="1:16">
      <c r="A44" s="433">
        <f>A43</f>
        <v>2027</v>
      </c>
      <c r="B44" s="423">
        <f t="shared" si="37"/>
        <v>46419</v>
      </c>
      <c r="C44" s="423">
        <f>B44+30-3</f>
        <v>46446</v>
      </c>
      <c r="D44">
        <v>1</v>
      </c>
      <c r="E44" s="434">
        <f t="shared" si="30"/>
        <v>9515</v>
      </c>
      <c r="F44" s="434">
        <f t="shared" si="31"/>
        <v>883.96506874767749</v>
      </c>
      <c r="H44" s="435">
        <f t="shared" si="35"/>
        <v>120</v>
      </c>
      <c r="I44" s="434">
        <f t="shared" si="33"/>
        <v>170000</v>
      </c>
      <c r="J44" s="424">
        <f>J43</f>
        <v>16.254000000000001</v>
      </c>
      <c r="K44" s="434">
        <f t="shared" si="26"/>
        <v>1141800</v>
      </c>
      <c r="L44" s="435">
        <f t="shared" si="28"/>
        <v>154656.81000000003</v>
      </c>
      <c r="M44" s="422">
        <f t="shared" si="36"/>
        <v>1466456.81</v>
      </c>
      <c r="N44" s="434"/>
      <c r="O44" s="434"/>
      <c r="P44" s="572"/>
    </row>
    <row r="45" spans="1:16">
      <c r="A45" s="433">
        <f t="shared" ref="A45:A50" si="38">A44</f>
        <v>2027</v>
      </c>
      <c r="B45" s="423">
        <f t="shared" si="37"/>
        <v>46447</v>
      </c>
      <c r="C45" s="423">
        <f>B45+30</f>
        <v>46477</v>
      </c>
      <c r="D45">
        <v>1</v>
      </c>
      <c r="E45" s="434">
        <f t="shared" si="30"/>
        <v>9515</v>
      </c>
      <c r="F45" s="434">
        <f t="shared" si="31"/>
        <v>883.96506874767749</v>
      </c>
      <c r="H45" s="435">
        <f t="shared" si="35"/>
        <v>120</v>
      </c>
      <c r="I45" s="434">
        <f t="shared" si="33"/>
        <v>170000</v>
      </c>
      <c r="J45" s="424">
        <f t="shared" ref="J45:J54" si="39">J44</f>
        <v>16.254000000000001</v>
      </c>
      <c r="K45" s="434">
        <f t="shared" si="26"/>
        <v>1141800</v>
      </c>
      <c r="L45" s="435">
        <f t="shared" si="28"/>
        <v>154656.81000000003</v>
      </c>
      <c r="M45" s="422">
        <f t="shared" si="36"/>
        <v>1466456.81</v>
      </c>
      <c r="N45" s="434"/>
      <c r="O45" s="434"/>
      <c r="P45" s="572"/>
    </row>
    <row r="46" spans="1:16">
      <c r="A46" s="433">
        <f t="shared" si="38"/>
        <v>2027</v>
      </c>
      <c r="B46" s="423">
        <f t="shared" si="37"/>
        <v>46478</v>
      </c>
      <c r="C46" s="423">
        <f>B46+30-1</f>
        <v>46507</v>
      </c>
      <c r="D46">
        <v>1</v>
      </c>
      <c r="E46" s="434">
        <f t="shared" si="30"/>
        <v>9515</v>
      </c>
      <c r="F46" s="434">
        <f t="shared" si="31"/>
        <v>883.96506874767749</v>
      </c>
      <c r="H46" s="435">
        <f t="shared" si="35"/>
        <v>120</v>
      </c>
      <c r="I46" s="434">
        <f t="shared" si="33"/>
        <v>170000</v>
      </c>
      <c r="J46" s="424">
        <f t="shared" si="39"/>
        <v>16.254000000000001</v>
      </c>
      <c r="K46" s="434">
        <f t="shared" si="26"/>
        <v>1141800</v>
      </c>
      <c r="L46" s="435">
        <f t="shared" si="28"/>
        <v>154656.81000000003</v>
      </c>
      <c r="M46" s="422">
        <f t="shared" si="36"/>
        <v>1466456.81</v>
      </c>
      <c r="N46" s="434"/>
      <c r="O46" s="434"/>
      <c r="P46" s="572"/>
    </row>
    <row r="47" spans="1:16">
      <c r="A47" s="433">
        <f t="shared" si="38"/>
        <v>2027</v>
      </c>
      <c r="B47" s="423">
        <f t="shared" si="37"/>
        <v>46508</v>
      </c>
      <c r="C47" s="423">
        <f>B47+30</f>
        <v>46538</v>
      </c>
      <c r="D47">
        <v>1</v>
      </c>
      <c r="E47" s="434">
        <f t="shared" si="30"/>
        <v>9515</v>
      </c>
      <c r="F47" s="434">
        <f t="shared" si="31"/>
        <v>883.96506874767749</v>
      </c>
      <c r="H47" s="435">
        <f t="shared" si="35"/>
        <v>120</v>
      </c>
      <c r="I47" s="434">
        <f t="shared" si="33"/>
        <v>170000</v>
      </c>
      <c r="J47" s="424">
        <f t="shared" si="39"/>
        <v>16.254000000000001</v>
      </c>
      <c r="K47" s="434">
        <f t="shared" si="26"/>
        <v>1141800</v>
      </c>
      <c r="L47" s="435">
        <f t="shared" si="28"/>
        <v>154656.81000000003</v>
      </c>
      <c r="M47" s="422">
        <f t="shared" si="36"/>
        <v>1466456.81</v>
      </c>
      <c r="N47" s="434"/>
      <c r="O47" s="434"/>
      <c r="P47" s="572"/>
    </row>
    <row r="48" spans="1:16">
      <c r="A48" s="433">
        <f t="shared" si="38"/>
        <v>2027</v>
      </c>
      <c r="B48" s="423">
        <f t="shared" si="37"/>
        <v>46539</v>
      </c>
      <c r="C48" s="423">
        <f>B48+30-1</f>
        <v>46568</v>
      </c>
      <c r="D48">
        <v>1</v>
      </c>
      <c r="E48" s="434">
        <f t="shared" si="30"/>
        <v>9515</v>
      </c>
      <c r="F48" s="434">
        <f t="shared" si="31"/>
        <v>883.96506874767749</v>
      </c>
      <c r="H48" s="435">
        <f t="shared" si="35"/>
        <v>120</v>
      </c>
      <c r="I48" s="434">
        <f t="shared" si="33"/>
        <v>170000</v>
      </c>
      <c r="J48" s="424">
        <f t="shared" si="39"/>
        <v>16.254000000000001</v>
      </c>
      <c r="K48" s="434">
        <f t="shared" si="26"/>
        <v>1141800</v>
      </c>
      <c r="L48" s="435">
        <f t="shared" si="28"/>
        <v>154656.81000000003</v>
      </c>
      <c r="M48" s="422">
        <f t="shared" si="36"/>
        <v>1466456.81</v>
      </c>
      <c r="N48" s="434"/>
      <c r="O48" s="434"/>
      <c r="P48" s="572"/>
    </row>
    <row r="49" spans="1:16">
      <c r="A49" s="433">
        <f t="shared" si="38"/>
        <v>2027</v>
      </c>
      <c r="B49" s="423">
        <f t="shared" si="37"/>
        <v>46569</v>
      </c>
      <c r="C49" s="423">
        <f>B49+30</f>
        <v>46599</v>
      </c>
      <c r="D49">
        <v>1</v>
      </c>
      <c r="E49" s="434">
        <f t="shared" si="30"/>
        <v>9515</v>
      </c>
      <c r="F49" s="434">
        <f t="shared" si="31"/>
        <v>883.96506874767749</v>
      </c>
      <c r="H49" s="435">
        <f t="shared" si="35"/>
        <v>120</v>
      </c>
      <c r="I49" s="434">
        <f t="shared" si="33"/>
        <v>170000</v>
      </c>
      <c r="J49" s="424">
        <f t="shared" si="39"/>
        <v>16.254000000000001</v>
      </c>
      <c r="K49" s="434">
        <f t="shared" si="26"/>
        <v>1141800</v>
      </c>
      <c r="L49" s="435">
        <f t="shared" si="28"/>
        <v>154656.81000000003</v>
      </c>
      <c r="M49" s="422">
        <f t="shared" si="36"/>
        <v>1466456.81</v>
      </c>
      <c r="N49" s="434"/>
      <c r="O49" s="434"/>
      <c r="P49" s="572"/>
    </row>
    <row r="50" spans="1:16" ht="13" thickBot="1">
      <c r="A50" s="436">
        <f t="shared" si="38"/>
        <v>2027</v>
      </c>
      <c r="B50" s="437">
        <f t="shared" si="37"/>
        <v>46600</v>
      </c>
      <c r="C50" s="437">
        <f>B50+30</f>
        <v>46630</v>
      </c>
      <c r="D50" s="438">
        <v>1</v>
      </c>
      <c r="E50" s="439">
        <f t="shared" si="30"/>
        <v>9515</v>
      </c>
      <c r="F50" s="439">
        <f t="shared" si="31"/>
        <v>883.96506874767749</v>
      </c>
      <c r="G50" s="438"/>
      <c r="H50" s="440">
        <f t="shared" si="35"/>
        <v>120</v>
      </c>
      <c r="I50" s="439">
        <f t="shared" si="33"/>
        <v>170000</v>
      </c>
      <c r="J50" s="441">
        <f t="shared" si="39"/>
        <v>16.254000000000001</v>
      </c>
      <c r="K50" s="439">
        <f t="shared" si="26"/>
        <v>1141800</v>
      </c>
      <c r="L50" s="440">
        <f t="shared" si="28"/>
        <v>154656.81000000003</v>
      </c>
      <c r="M50" s="442">
        <f t="shared" si="36"/>
        <v>1466456.81</v>
      </c>
      <c r="N50" s="439"/>
      <c r="O50" s="439"/>
      <c r="P50" s="573"/>
    </row>
    <row r="51" spans="1:16">
      <c r="A51" s="433">
        <f>A50+1</f>
        <v>2028</v>
      </c>
      <c r="B51" s="423">
        <f t="shared" si="37"/>
        <v>46631</v>
      </c>
      <c r="C51" s="423">
        <f>B51+30-1</f>
        <v>46660</v>
      </c>
      <c r="D51">
        <v>1</v>
      </c>
      <c r="E51" s="434">
        <f t="shared" si="30"/>
        <v>9515</v>
      </c>
      <c r="F51" s="434">
        <f t="shared" si="31"/>
        <v>883.96506874767749</v>
      </c>
      <c r="H51" s="435">
        <f t="shared" si="35"/>
        <v>120</v>
      </c>
      <c r="I51" s="434">
        <f t="shared" si="33"/>
        <v>170000</v>
      </c>
      <c r="J51" s="424">
        <f t="shared" si="39"/>
        <v>16.254000000000001</v>
      </c>
      <c r="K51" s="434">
        <f t="shared" si="26"/>
        <v>1141800</v>
      </c>
      <c r="L51" s="435">
        <f t="shared" si="28"/>
        <v>154656.81000000003</v>
      </c>
      <c r="M51" s="422">
        <f t="shared" si="36"/>
        <v>1466456.81</v>
      </c>
      <c r="N51" s="434">
        <f>SUM(K39:K50)</f>
        <v>13701600</v>
      </c>
      <c r="O51" s="434">
        <f>SUM(L39:L50)</f>
        <v>1826423.2800000005</v>
      </c>
      <c r="P51" s="571">
        <f>SUM(I39:I50)</f>
        <v>2040000</v>
      </c>
    </row>
    <row r="52" spans="1:16">
      <c r="A52" s="433">
        <f>A51</f>
        <v>2028</v>
      </c>
      <c r="B52" s="423">
        <f t="shared" si="37"/>
        <v>46661</v>
      </c>
      <c r="C52" s="423">
        <f>B52+30</f>
        <v>46691</v>
      </c>
      <c r="D52">
        <v>1</v>
      </c>
      <c r="E52" s="434">
        <f t="shared" si="30"/>
        <v>9515</v>
      </c>
      <c r="F52" s="434">
        <f t="shared" si="31"/>
        <v>883.96506874767749</v>
      </c>
      <c r="H52" s="435">
        <f t="shared" si="35"/>
        <v>120</v>
      </c>
      <c r="I52" s="434">
        <f t="shared" si="33"/>
        <v>170000</v>
      </c>
      <c r="J52" s="424">
        <f t="shared" si="39"/>
        <v>16.254000000000001</v>
      </c>
      <c r="K52" s="434">
        <f t="shared" si="26"/>
        <v>1141800</v>
      </c>
      <c r="L52" s="435">
        <f t="shared" si="28"/>
        <v>154656.81000000003</v>
      </c>
      <c r="M52" s="422">
        <f t="shared" si="36"/>
        <v>1466456.81</v>
      </c>
      <c r="N52" s="434"/>
      <c r="O52" s="434"/>
      <c r="P52" s="572"/>
    </row>
    <row r="53" spans="1:16">
      <c r="A53" s="433">
        <f>A52</f>
        <v>2028</v>
      </c>
      <c r="B53" s="423">
        <f t="shared" si="37"/>
        <v>46692</v>
      </c>
      <c r="C53" s="423">
        <f>B53+30-1</f>
        <v>46721</v>
      </c>
      <c r="D53">
        <v>1</v>
      </c>
      <c r="E53" s="434">
        <f t="shared" si="30"/>
        <v>9515</v>
      </c>
      <c r="F53" s="434">
        <f t="shared" si="31"/>
        <v>883.96506874767749</v>
      </c>
      <c r="H53" s="435">
        <f t="shared" si="35"/>
        <v>120</v>
      </c>
      <c r="I53" s="434">
        <f t="shared" si="33"/>
        <v>170000</v>
      </c>
      <c r="J53" s="424">
        <f t="shared" si="39"/>
        <v>16.254000000000001</v>
      </c>
      <c r="K53" s="434">
        <f t="shared" si="26"/>
        <v>1141800</v>
      </c>
      <c r="L53" s="435">
        <f t="shared" si="28"/>
        <v>154656.81000000003</v>
      </c>
      <c r="M53" s="422">
        <f t="shared" si="36"/>
        <v>1466456.81</v>
      </c>
      <c r="N53" s="434"/>
      <c r="O53" s="434"/>
      <c r="P53" s="572"/>
    </row>
    <row r="54" spans="1:16">
      <c r="A54" s="433">
        <f t="shared" ref="A54:A62" si="40">A53</f>
        <v>2028</v>
      </c>
      <c r="B54" s="423">
        <f t="shared" si="37"/>
        <v>46722</v>
      </c>
      <c r="C54" s="423">
        <f>B54+30</f>
        <v>46752</v>
      </c>
      <c r="D54">
        <v>1</v>
      </c>
      <c r="E54" s="434">
        <f t="shared" si="30"/>
        <v>9515</v>
      </c>
      <c r="F54" s="434">
        <f t="shared" si="31"/>
        <v>883.96506874767749</v>
      </c>
      <c r="H54" s="435">
        <f>H53</f>
        <v>120</v>
      </c>
      <c r="I54" s="434">
        <f t="shared" si="33"/>
        <v>170000</v>
      </c>
      <c r="J54" s="424">
        <f t="shared" si="39"/>
        <v>16.254000000000001</v>
      </c>
      <c r="K54" s="434">
        <f t="shared" si="26"/>
        <v>1141800</v>
      </c>
      <c r="L54" s="435">
        <f t="shared" si="28"/>
        <v>154656.81000000003</v>
      </c>
      <c r="M54" s="422">
        <f t="shared" si="36"/>
        <v>1466456.81</v>
      </c>
      <c r="N54" s="434"/>
      <c r="O54" s="434"/>
      <c r="P54" s="572"/>
    </row>
    <row r="55" spans="1:16">
      <c r="A55" s="433">
        <f t="shared" si="40"/>
        <v>2028</v>
      </c>
      <c r="B55" s="423">
        <f t="shared" si="37"/>
        <v>46753</v>
      </c>
      <c r="C55" s="423">
        <f>B55+30</f>
        <v>46783</v>
      </c>
      <c r="D55">
        <v>1</v>
      </c>
      <c r="E55" s="434">
        <f t="shared" si="30"/>
        <v>9515</v>
      </c>
      <c r="F55" s="434">
        <f t="shared" si="31"/>
        <v>883.96506874767749</v>
      </c>
      <c r="H55" s="435">
        <f t="shared" si="35"/>
        <v>120</v>
      </c>
      <c r="I55" s="434">
        <f t="shared" si="33"/>
        <v>170000</v>
      </c>
      <c r="J55" s="424">
        <f>J54*1.05</f>
        <v>17.066700000000001</v>
      </c>
      <c r="K55" s="434">
        <f t="shared" si="26"/>
        <v>1141800</v>
      </c>
      <c r="L55" s="435">
        <f t="shared" si="28"/>
        <v>162389.65050000002</v>
      </c>
      <c r="M55" s="422">
        <f t="shared" si="36"/>
        <v>1474189.6505</v>
      </c>
      <c r="N55" s="434"/>
      <c r="O55" s="434"/>
      <c r="P55" s="572"/>
    </row>
    <row r="56" spans="1:16">
      <c r="A56" s="433">
        <f t="shared" si="40"/>
        <v>2028</v>
      </c>
      <c r="B56" s="423">
        <f t="shared" si="37"/>
        <v>46784</v>
      </c>
      <c r="C56" s="423">
        <f>B56+30-2</f>
        <v>46812</v>
      </c>
      <c r="D56">
        <v>1</v>
      </c>
      <c r="E56" s="434">
        <f t="shared" si="30"/>
        <v>9515</v>
      </c>
      <c r="F56" s="434">
        <f t="shared" si="31"/>
        <v>883.96506874767749</v>
      </c>
      <c r="H56" s="435">
        <f t="shared" si="35"/>
        <v>120</v>
      </c>
      <c r="I56" s="434">
        <f t="shared" si="33"/>
        <v>170000</v>
      </c>
      <c r="J56" s="424">
        <f>J55</f>
        <v>17.066700000000001</v>
      </c>
      <c r="K56" s="434">
        <f t="shared" si="26"/>
        <v>1141800</v>
      </c>
      <c r="L56" s="435">
        <f t="shared" si="28"/>
        <v>162389.65050000002</v>
      </c>
      <c r="M56" s="422">
        <f t="shared" si="36"/>
        <v>1474189.6505</v>
      </c>
      <c r="N56" s="434"/>
      <c r="O56" s="434"/>
      <c r="P56" s="572"/>
    </row>
    <row r="57" spans="1:16">
      <c r="A57" s="433">
        <f t="shared" si="40"/>
        <v>2028</v>
      </c>
      <c r="B57" s="423">
        <f t="shared" si="37"/>
        <v>46813</v>
      </c>
      <c r="C57" s="423">
        <f>B57+30</f>
        <v>46843</v>
      </c>
      <c r="D57">
        <v>1</v>
      </c>
      <c r="E57" s="434">
        <f t="shared" si="30"/>
        <v>9515</v>
      </c>
      <c r="F57" s="434">
        <f t="shared" si="31"/>
        <v>883.96506874767749</v>
      </c>
      <c r="H57" s="435">
        <f t="shared" si="35"/>
        <v>120</v>
      </c>
      <c r="I57" s="434">
        <f t="shared" si="33"/>
        <v>170000</v>
      </c>
      <c r="J57" s="424">
        <f t="shared" ref="J57:J59" si="41">J56</f>
        <v>17.066700000000001</v>
      </c>
      <c r="K57" s="434">
        <f t="shared" si="26"/>
        <v>1141800</v>
      </c>
      <c r="L57" s="435">
        <f t="shared" si="28"/>
        <v>162389.65050000002</v>
      </c>
      <c r="M57" s="422">
        <f t="shared" si="36"/>
        <v>1474189.6505</v>
      </c>
      <c r="N57" s="434"/>
      <c r="O57" s="434"/>
      <c r="P57" s="572"/>
    </row>
    <row r="58" spans="1:16">
      <c r="A58" s="433">
        <f t="shared" si="40"/>
        <v>2028</v>
      </c>
      <c r="B58" s="423">
        <f t="shared" si="37"/>
        <v>46844</v>
      </c>
      <c r="C58" s="423">
        <f>B58+30-1</f>
        <v>46873</v>
      </c>
      <c r="D58">
        <v>1</v>
      </c>
      <c r="E58" s="434">
        <f t="shared" si="30"/>
        <v>9515</v>
      </c>
      <c r="F58" s="434">
        <f t="shared" si="31"/>
        <v>883.96506874767749</v>
      </c>
      <c r="H58" s="435">
        <f t="shared" si="35"/>
        <v>120</v>
      </c>
      <c r="I58" s="434">
        <f t="shared" si="33"/>
        <v>170000</v>
      </c>
      <c r="J58" s="424">
        <f t="shared" si="41"/>
        <v>17.066700000000001</v>
      </c>
      <c r="K58" s="434">
        <f t="shared" si="26"/>
        <v>1141800</v>
      </c>
      <c r="L58" s="435">
        <f t="shared" si="28"/>
        <v>162389.65050000002</v>
      </c>
      <c r="M58" s="422">
        <f t="shared" si="36"/>
        <v>1474189.6505</v>
      </c>
      <c r="N58" s="434"/>
      <c r="O58" s="434"/>
      <c r="P58" s="572"/>
    </row>
    <row r="59" spans="1:16">
      <c r="A59" s="433">
        <f t="shared" si="40"/>
        <v>2028</v>
      </c>
      <c r="B59" s="423">
        <f t="shared" si="37"/>
        <v>46874</v>
      </c>
      <c r="C59" s="423">
        <f>B59+30</f>
        <v>46904</v>
      </c>
      <c r="D59">
        <v>1</v>
      </c>
      <c r="E59" s="434">
        <f t="shared" si="30"/>
        <v>9515</v>
      </c>
      <c r="F59" s="434">
        <f t="shared" si="31"/>
        <v>883.96506874767749</v>
      </c>
      <c r="H59" s="435">
        <f t="shared" si="35"/>
        <v>120</v>
      </c>
      <c r="I59" s="434">
        <f t="shared" si="33"/>
        <v>170000</v>
      </c>
      <c r="J59" s="424">
        <f t="shared" si="41"/>
        <v>17.066700000000001</v>
      </c>
      <c r="K59" s="434">
        <f t="shared" si="26"/>
        <v>1141800</v>
      </c>
      <c r="L59" s="435">
        <f t="shared" si="28"/>
        <v>162389.65050000002</v>
      </c>
      <c r="M59" s="422">
        <f t="shared" si="36"/>
        <v>1474189.6505</v>
      </c>
      <c r="N59" s="434"/>
      <c r="O59" s="434"/>
      <c r="P59" s="572"/>
    </row>
    <row r="60" spans="1:16">
      <c r="A60" s="433">
        <f t="shared" si="40"/>
        <v>2028</v>
      </c>
      <c r="B60" s="423">
        <f t="shared" si="37"/>
        <v>46905</v>
      </c>
      <c r="C60" s="423">
        <f>B60+30-1</f>
        <v>46934</v>
      </c>
      <c r="D60">
        <v>1</v>
      </c>
      <c r="E60" s="434">
        <f t="shared" si="30"/>
        <v>9515</v>
      </c>
      <c r="F60" s="434">
        <f t="shared" si="31"/>
        <v>883.96506874767749</v>
      </c>
      <c r="H60" s="435">
        <f t="shared" si="35"/>
        <v>120</v>
      </c>
      <c r="I60" s="434">
        <f t="shared" si="33"/>
        <v>170000</v>
      </c>
      <c r="J60" s="424">
        <f t="shared" ref="J60:J84" si="42">J59</f>
        <v>17.066700000000001</v>
      </c>
      <c r="K60" s="434">
        <f t="shared" si="26"/>
        <v>1141800</v>
      </c>
      <c r="L60" s="435">
        <f t="shared" si="28"/>
        <v>162389.65050000002</v>
      </c>
      <c r="M60" s="422">
        <f t="shared" si="36"/>
        <v>1474189.6505</v>
      </c>
      <c r="N60" s="434"/>
      <c r="O60" s="434"/>
      <c r="P60" s="572"/>
    </row>
    <row r="61" spans="1:16">
      <c r="A61" s="433">
        <f t="shared" si="40"/>
        <v>2028</v>
      </c>
      <c r="B61" s="423">
        <f t="shared" si="37"/>
        <v>46935</v>
      </c>
      <c r="C61" s="423">
        <f>B61+30</f>
        <v>46965</v>
      </c>
      <c r="D61">
        <v>1</v>
      </c>
      <c r="E61" s="434">
        <f t="shared" si="30"/>
        <v>9515</v>
      </c>
      <c r="F61" s="434">
        <f t="shared" si="31"/>
        <v>883.96506874767749</v>
      </c>
      <c r="H61" s="435">
        <f t="shared" si="35"/>
        <v>120</v>
      </c>
      <c r="I61" s="434">
        <f t="shared" si="33"/>
        <v>170000</v>
      </c>
      <c r="J61" s="424">
        <f>J60</f>
        <v>17.066700000000001</v>
      </c>
      <c r="K61" s="434">
        <f t="shared" si="26"/>
        <v>1141800</v>
      </c>
      <c r="L61" s="435">
        <f t="shared" si="28"/>
        <v>162389.65050000002</v>
      </c>
      <c r="M61" s="422">
        <f t="shared" si="36"/>
        <v>1474189.6505</v>
      </c>
      <c r="N61" s="434"/>
      <c r="O61" s="434"/>
      <c r="P61" s="572"/>
    </row>
    <row r="62" spans="1:16" ht="13" thickBot="1">
      <c r="A62" s="436">
        <f t="shared" si="40"/>
        <v>2028</v>
      </c>
      <c r="B62" s="437">
        <f t="shared" si="37"/>
        <v>46966</v>
      </c>
      <c r="C62" s="437">
        <f>B62+30</f>
        <v>46996</v>
      </c>
      <c r="D62" s="438">
        <v>1</v>
      </c>
      <c r="E62" s="439">
        <f t="shared" si="30"/>
        <v>9515</v>
      </c>
      <c r="F62" s="439">
        <f t="shared" si="31"/>
        <v>883.96506874767749</v>
      </c>
      <c r="G62" s="438"/>
      <c r="H62" s="440">
        <f t="shared" si="35"/>
        <v>120</v>
      </c>
      <c r="I62" s="434">
        <f t="shared" si="33"/>
        <v>170000</v>
      </c>
      <c r="J62" s="441">
        <f>J61</f>
        <v>17.066700000000001</v>
      </c>
      <c r="K62" s="439">
        <f t="shared" si="26"/>
        <v>1141800</v>
      </c>
      <c r="L62" s="440">
        <f t="shared" si="28"/>
        <v>162389.65050000002</v>
      </c>
      <c r="M62" s="442">
        <f t="shared" si="36"/>
        <v>1474189.6505</v>
      </c>
      <c r="N62" s="439"/>
      <c r="O62" s="439"/>
      <c r="P62" s="572"/>
    </row>
    <row r="63" spans="1:16">
      <c r="A63">
        <f>A62+1</f>
        <v>2029</v>
      </c>
      <c r="B63" s="423">
        <f t="shared" si="37"/>
        <v>46997</v>
      </c>
      <c r="C63" s="423">
        <f>B63+30-1</f>
        <v>47026</v>
      </c>
      <c r="D63">
        <v>1</v>
      </c>
      <c r="E63" s="434">
        <f t="shared" si="30"/>
        <v>9515</v>
      </c>
      <c r="F63" s="434">
        <f t="shared" si="31"/>
        <v>883.96506874767749</v>
      </c>
      <c r="H63" s="435">
        <f t="shared" si="35"/>
        <v>120</v>
      </c>
      <c r="I63" s="429">
        <f t="shared" si="33"/>
        <v>170000</v>
      </c>
      <c r="J63" s="424">
        <f t="shared" ref="J63:J72" si="43">J62</f>
        <v>17.066700000000001</v>
      </c>
      <c r="K63" s="434">
        <f t="shared" ref="K63:K94" si="44">H63*E63</f>
        <v>1141800</v>
      </c>
      <c r="L63" s="435">
        <f t="shared" ref="L63:L94" si="45">J63*E63</f>
        <v>162389.65050000002</v>
      </c>
      <c r="M63" s="422">
        <f t="shared" si="36"/>
        <v>1474189.6505</v>
      </c>
      <c r="N63" s="434">
        <f>SUM(K51:K62)</f>
        <v>13701600</v>
      </c>
      <c r="O63" s="434">
        <f>SUM(L51:L62)</f>
        <v>1917744.4440000001</v>
      </c>
      <c r="P63" s="574">
        <f>SUM(I51:I62)</f>
        <v>2040000</v>
      </c>
    </row>
    <row r="64" spans="1:16">
      <c r="A64" s="433">
        <f>A63</f>
        <v>2029</v>
      </c>
      <c r="B64" s="423">
        <f t="shared" si="37"/>
        <v>47027</v>
      </c>
      <c r="C64" s="423">
        <f>B64+30</f>
        <v>47057</v>
      </c>
      <c r="D64">
        <v>1</v>
      </c>
      <c r="E64" s="434">
        <f t="shared" si="30"/>
        <v>9515</v>
      </c>
      <c r="F64" s="434">
        <f t="shared" si="31"/>
        <v>883.96506874767749</v>
      </c>
      <c r="H64" s="435">
        <f t="shared" si="35"/>
        <v>120</v>
      </c>
      <c r="I64" s="434">
        <f t="shared" si="33"/>
        <v>170000</v>
      </c>
      <c r="J64" s="424">
        <f t="shared" si="43"/>
        <v>17.066700000000001</v>
      </c>
      <c r="K64" s="434">
        <f t="shared" si="44"/>
        <v>1141800</v>
      </c>
      <c r="L64" s="435">
        <f t="shared" si="45"/>
        <v>162389.65050000002</v>
      </c>
      <c r="M64" s="422">
        <f t="shared" si="36"/>
        <v>1474189.6505</v>
      </c>
      <c r="N64" s="434"/>
      <c r="O64" s="434"/>
      <c r="P64" s="572"/>
    </row>
    <row r="65" spans="1:16">
      <c r="A65" s="433">
        <f>A64</f>
        <v>2029</v>
      </c>
      <c r="B65" s="423">
        <f t="shared" si="37"/>
        <v>47058</v>
      </c>
      <c r="C65" s="423">
        <f>B65+30-1</f>
        <v>47087</v>
      </c>
      <c r="D65">
        <v>1</v>
      </c>
      <c r="E65" s="434">
        <f t="shared" si="30"/>
        <v>9515</v>
      </c>
      <c r="F65" s="434">
        <f t="shared" si="31"/>
        <v>883.96506874767749</v>
      </c>
      <c r="H65" s="435">
        <f t="shared" si="35"/>
        <v>120</v>
      </c>
      <c r="I65" s="434">
        <f t="shared" si="33"/>
        <v>170000</v>
      </c>
      <c r="J65" s="424">
        <f t="shared" si="43"/>
        <v>17.066700000000001</v>
      </c>
      <c r="K65" s="434">
        <f t="shared" si="44"/>
        <v>1141800</v>
      </c>
      <c r="L65" s="435">
        <f t="shared" si="45"/>
        <v>162389.65050000002</v>
      </c>
      <c r="M65" s="422">
        <f t="shared" si="36"/>
        <v>1474189.6505</v>
      </c>
      <c r="N65" s="434"/>
      <c r="O65" s="434"/>
      <c r="P65" s="572"/>
    </row>
    <row r="66" spans="1:16">
      <c r="A66" s="433">
        <f t="shared" ref="A66:A74" si="46">A65</f>
        <v>2029</v>
      </c>
      <c r="B66" s="423">
        <f t="shared" si="37"/>
        <v>47088</v>
      </c>
      <c r="C66" s="423">
        <f>B66+30</f>
        <v>47118</v>
      </c>
      <c r="D66">
        <v>1</v>
      </c>
      <c r="E66" s="434">
        <f t="shared" si="30"/>
        <v>9515</v>
      </c>
      <c r="F66" s="434">
        <f t="shared" si="31"/>
        <v>883.96506874767749</v>
      </c>
      <c r="H66" s="435">
        <f>H65</f>
        <v>120</v>
      </c>
      <c r="I66" s="434">
        <f t="shared" si="33"/>
        <v>170000</v>
      </c>
      <c r="J66" s="424">
        <f t="shared" si="43"/>
        <v>17.066700000000001</v>
      </c>
      <c r="K66" s="434">
        <f t="shared" si="44"/>
        <v>1141800</v>
      </c>
      <c r="L66" s="435">
        <f t="shared" si="45"/>
        <v>162389.65050000002</v>
      </c>
      <c r="M66" s="422">
        <f t="shared" si="36"/>
        <v>1474189.6505</v>
      </c>
      <c r="N66" s="434"/>
      <c r="O66" s="434"/>
      <c r="P66" s="572"/>
    </row>
    <row r="67" spans="1:16">
      <c r="A67" s="433">
        <f t="shared" si="46"/>
        <v>2029</v>
      </c>
      <c r="B67" s="423">
        <f t="shared" si="37"/>
        <v>47119</v>
      </c>
      <c r="C67" s="423">
        <f>B67+30</f>
        <v>47149</v>
      </c>
      <c r="D67">
        <v>1</v>
      </c>
      <c r="E67" s="434">
        <f t="shared" si="30"/>
        <v>9515</v>
      </c>
      <c r="F67" s="434">
        <f t="shared" si="31"/>
        <v>883.96506874767749</v>
      </c>
      <c r="H67" s="435">
        <f>H66*1.15</f>
        <v>138</v>
      </c>
      <c r="I67" s="434">
        <f>I66*1.15</f>
        <v>195499.99999999997</v>
      </c>
      <c r="J67" s="424">
        <f>J66*1.05</f>
        <v>17.920035000000002</v>
      </c>
      <c r="K67" s="434">
        <f t="shared" si="44"/>
        <v>1313070</v>
      </c>
      <c r="L67" s="435">
        <f t="shared" si="45"/>
        <v>170509.13302500002</v>
      </c>
      <c r="M67" s="422">
        <f t="shared" si="36"/>
        <v>1679079.1330250001</v>
      </c>
      <c r="N67" s="434"/>
      <c r="O67" s="434"/>
      <c r="P67" s="572"/>
    </row>
    <row r="68" spans="1:16">
      <c r="A68" s="433">
        <f t="shared" si="46"/>
        <v>2029</v>
      </c>
      <c r="B68" s="423">
        <f t="shared" si="37"/>
        <v>47150</v>
      </c>
      <c r="C68" s="423">
        <f>B68+30-3</f>
        <v>47177</v>
      </c>
      <c r="D68">
        <v>1</v>
      </c>
      <c r="E68" s="434">
        <f t="shared" si="30"/>
        <v>9515</v>
      </c>
      <c r="F68" s="434">
        <f t="shared" si="31"/>
        <v>883.96506874767749</v>
      </c>
      <c r="H68" s="435">
        <f>H67</f>
        <v>138</v>
      </c>
      <c r="I68" s="434">
        <f t="shared" si="33"/>
        <v>195499.99999999997</v>
      </c>
      <c r="J68" s="424">
        <f>J67</f>
        <v>17.920035000000002</v>
      </c>
      <c r="K68" s="434">
        <f t="shared" si="44"/>
        <v>1313070</v>
      </c>
      <c r="L68" s="435">
        <f t="shared" si="45"/>
        <v>170509.13302500002</v>
      </c>
      <c r="M68" s="422">
        <f t="shared" si="36"/>
        <v>1679079.1330250001</v>
      </c>
      <c r="N68" s="434"/>
      <c r="O68" s="434"/>
      <c r="P68" s="572"/>
    </row>
    <row r="69" spans="1:16">
      <c r="A69" s="433">
        <f t="shared" si="46"/>
        <v>2029</v>
      </c>
      <c r="B69" s="423">
        <f t="shared" si="37"/>
        <v>47178</v>
      </c>
      <c r="C69" s="423">
        <f>B69+30</f>
        <v>47208</v>
      </c>
      <c r="D69">
        <v>1</v>
      </c>
      <c r="E69" s="434">
        <f t="shared" si="30"/>
        <v>9515</v>
      </c>
      <c r="F69" s="434">
        <f t="shared" si="31"/>
        <v>883.96506874767749</v>
      </c>
      <c r="H69" s="435">
        <f t="shared" ref="H69:I102" si="47">H68</f>
        <v>138</v>
      </c>
      <c r="I69" s="434">
        <f t="shared" si="33"/>
        <v>195499.99999999997</v>
      </c>
      <c r="J69" s="424">
        <f t="shared" si="43"/>
        <v>17.920035000000002</v>
      </c>
      <c r="K69" s="434">
        <f t="shared" si="44"/>
        <v>1313070</v>
      </c>
      <c r="L69" s="435">
        <f t="shared" si="45"/>
        <v>170509.13302500002</v>
      </c>
      <c r="M69" s="422">
        <f t="shared" si="36"/>
        <v>1679079.1330250001</v>
      </c>
      <c r="N69" s="434"/>
      <c r="O69" s="434"/>
      <c r="P69" s="572"/>
    </row>
    <row r="70" spans="1:16">
      <c r="A70" s="433">
        <f t="shared" si="46"/>
        <v>2029</v>
      </c>
      <c r="B70" s="423">
        <f t="shared" si="37"/>
        <v>47209</v>
      </c>
      <c r="C70" s="423">
        <f>B70+30-1</f>
        <v>47238</v>
      </c>
      <c r="D70">
        <v>1</v>
      </c>
      <c r="E70" s="434">
        <f t="shared" si="30"/>
        <v>9515</v>
      </c>
      <c r="F70" s="434">
        <f t="shared" si="31"/>
        <v>883.96506874767749</v>
      </c>
      <c r="H70" s="435">
        <f t="shared" si="47"/>
        <v>138</v>
      </c>
      <c r="I70" s="434">
        <f t="shared" si="33"/>
        <v>195499.99999999997</v>
      </c>
      <c r="J70" s="424">
        <f t="shared" si="43"/>
        <v>17.920035000000002</v>
      </c>
      <c r="K70" s="434">
        <f t="shared" si="44"/>
        <v>1313070</v>
      </c>
      <c r="L70" s="435">
        <f t="shared" si="45"/>
        <v>170509.13302500002</v>
      </c>
      <c r="M70" s="422">
        <f t="shared" si="36"/>
        <v>1679079.1330250001</v>
      </c>
      <c r="N70" s="434"/>
      <c r="O70" s="434"/>
      <c r="P70" s="572"/>
    </row>
    <row r="71" spans="1:16">
      <c r="A71" s="433">
        <f t="shared" si="46"/>
        <v>2029</v>
      </c>
      <c r="B71" s="423">
        <f t="shared" si="37"/>
        <v>47239</v>
      </c>
      <c r="C71" s="423">
        <f>B71+30</f>
        <v>47269</v>
      </c>
      <c r="D71">
        <v>1</v>
      </c>
      <c r="E71" s="434">
        <f t="shared" si="30"/>
        <v>9515</v>
      </c>
      <c r="F71" s="434">
        <f t="shared" si="31"/>
        <v>883.96506874767749</v>
      </c>
      <c r="H71" s="435">
        <f t="shared" si="47"/>
        <v>138</v>
      </c>
      <c r="I71" s="434">
        <f t="shared" si="33"/>
        <v>195499.99999999997</v>
      </c>
      <c r="J71" s="424">
        <f t="shared" si="43"/>
        <v>17.920035000000002</v>
      </c>
      <c r="K71" s="434">
        <f t="shared" si="44"/>
        <v>1313070</v>
      </c>
      <c r="L71" s="435">
        <f t="shared" si="45"/>
        <v>170509.13302500002</v>
      </c>
      <c r="M71" s="422">
        <f t="shared" si="36"/>
        <v>1679079.1330250001</v>
      </c>
      <c r="N71" s="434"/>
      <c r="O71" s="434"/>
      <c r="P71" s="572"/>
    </row>
    <row r="72" spans="1:16">
      <c r="A72" s="433">
        <f t="shared" si="46"/>
        <v>2029</v>
      </c>
      <c r="B72" s="423">
        <f t="shared" si="37"/>
        <v>47270</v>
      </c>
      <c r="C72" s="423">
        <f>B72+30-1</f>
        <v>47299</v>
      </c>
      <c r="D72">
        <v>1</v>
      </c>
      <c r="E72" s="434">
        <f t="shared" si="30"/>
        <v>9515</v>
      </c>
      <c r="F72" s="434">
        <f t="shared" si="31"/>
        <v>883.96506874767749</v>
      </c>
      <c r="H72" s="435">
        <f t="shared" si="47"/>
        <v>138</v>
      </c>
      <c r="I72" s="434">
        <f t="shared" si="33"/>
        <v>195499.99999999997</v>
      </c>
      <c r="J72" s="424">
        <f t="shared" si="43"/>
        <v>17.920035000000002</v>
      </c>
      <c r="K72" s="434">
        <f t="shared" si="44"/>
        <v>1313070</v>
      </c>
      <c r="L72" s="435">
        <f t="shared" si="45"/>
        <v>170509.13302500002</v>
      </c>
      <c r="M72" s="422">
        <f t="shared" si="36"/>
        <v>1679079.1330250001</v>
      </c>
      <c r="N72" s="434"/>
      <c r="O72" s="434"/>
      <c r="P72" s="572"/>
    </row>
    <row r="73" spans="1:16">
      <c r="A73" s="433">
        <f t="shared" si="46"/>
        <v>2029</v>
      </c>
      <c r="B73" s="423">
        <f t="shared" si="37"/>
        <v>47300</v>
      </c>
      <c r="C73" s="423">
        <f>B73+30</f>
        <v>47330</v>
      </c>
      <c r="D73">
        <v>1</v>
      </c>
      <c r="E73" s="434">
        <f t="shared" si="30"/>
        <v>9515</v>
      </c>
      <c r="F73" s="434">
        <f t="shared" si="31"/>
        <v>883.96506874767749</v>
      </c>
      <c r="H73" s="435">
        <f t="shared" si="47"/>
        <v>138</v>
      </c>
      <c r="I73" s="434">
        <f t="shared" si="33"/>
        <v>195499.99999999997</v>
      </c>
      <c r="J73" s="424">
        <f>J72</f>
        <v>17.920035000000002</v>
      </c>
      <c r="K73" s="434">
        <f t="shared" si="44"/>
        <v>1313070</v>
      </c>
      <c r="L73" s="435">
        <f t="shared" si="45"/>
        <v>170509.13302500002</v>
      </c>
      <c r="M73" s="422">
        <f t="shared" si="36"/>
        <v>1679079.1330250001</v>
      </c>
      <c r="N73" s="434"/>
      <c r="O73" s="434"/>
      <c r="P73" s="572"/>
    </row>
    <row r="74" spans="1:16" ht="13" thickBot="1">
      <c r="A74" s="436">
        <f t="shared" si="46"/>
        <v>2029</v>
      </c>
      <c r="B74" s="437">
        <f t="shared" si="37"/>
        <v>47331</v>
      </c>
      <c r="C74" s="437">
        <f t="shared" ref="C74" si="48">B74+30</f>
        <v>47361</v>
      </c>
      <c r="D74" s="438">
        <v>1</v>
      </c>
      <c r="E74" s="439">
        <f t="shared" si="30"/>
        <v>9515</v>
      </c>
      <c r="F74" s="439">
        <f t="shared" si="31"/>
        <v>883.96506874767749</v>
      </c>
      <c r="G74" s="438"/>
      <c r="H74" s="440">
        <f t="shared" si="47"/>
        <v>138</v>
      </c>
      <c r="I74" s="439">
        <f t="shared" si="33"/>
        <v>195499.99999999997</v>
      </c>
      <c r="J74" s="441">
        <f t="shared" si="42"/>
        <v>17.920035000000002</v>
      </c>
      <c r="K74" s="439">
        <f t="shared" si="44"/>
        <v>1313070</v>
      </c>
      <c r="L74" s="440">
        <f t="shared" si="45"/>
        <v>170509.13302500002</v>
      </c>
      <c r="M74" s="442">
        <f t="shared" si="36"/>
        <v>1679079.1330250001</v>
      </c>
      <c r="N74" s="439"/>
      <c r="O74" s="439"/>
      <c r="P74" s="572"/>
    </row>
    <row r="75" spans="1:16">
      <c r="A75">
        <f>A74+1</f>
        <v>2030</v>
      </c>
      <c r="B75" s="423">
        <f t="shared" si="37"/>
        <v>47362</v>
      </c>
      <c r="C75" s="423">
        <f>B75+30-1</f>
        <v>47391</v>
      </c>
      <c r="D75">
        <v>1</v>
      </c>
      <c r="E75" s="434">
        <f t="shared" si="30"/>
        <v>9515</v>
      </c>
      <c r="F75" s="434">
        <f t="shared" si="31"/>
        <v>883.96506874767749</v>
      </c>
      <c r="H75" s="435">
        <f t="shared" si="47"/>
        <v>138</v>
      </c>
      <c r="I75" s="434">
        <f t="shared" si="33"/>
        <v>195499.99999999997</v>
      </c>
      <c r="J75" s="424">
        <f t="shared" si="42"/>
        <v>17.920035000000002</v>
      </c>
      <c r="K75" s="434">
        <f t="shared" si="44"/>
        <v>1313070</v>
      </c>
      <c r="L75" s="435">
        <f t="shared" si="45"/>
        <v>170509.13302500002</v>
      </c>
      <c r="M75" s="422">
        <f t="shared" si="36"/>
        <v>1679079.1330250001</v>
      </c>
      <c r="N75" s="434">
        <f>SUM(K63:K74)</f>
        <v>15071760</v>
      </c>
      <c r="O75" s="434">
        <f>SUM(L63:L74)</f>
        <v>2013631.6662000006</v>
      </c>
      <c r="P75" s="574">
        <f>SUM(I63:I74)</f>
        <v>2244000</v>
      </c>
    </row>
    <row r="76" spans="1:16">
      <c r="A76" s="433">
        <f>A75</f>
        <v>2030</v>
      </c>
      <c r="B76" s="423">
        <f t="shared" si="37"/>
        <v>47392</v>
      </c>
      <c r="C76" s="423">
        <f>B76+30</f>
        <v>47422</v>
      </c>
      <c r="D76">
        <v>1</v>
      </c>
      <c r="E76" s="434">
        <f t="shared" si="30"/>
        <v>9515</v>
      </c>
      <c r="F76" s="434">
        <f t="shared" si="31"/>
        <v>883.96506874767749</v>
      </c>
      <c r="H76" s="435">
        <f t="shared" si="47"/>
        <v>138</v>
      </c>
      <c r="I76" s="434">
        <f t="shared" si="33"/>
        <v>195499.99999999997</v>
      </c>
      <c r="J76" s="424">
        <f t="shared" si="42"/>
        <v>17.920035000000002</v>
      </c>
      <c r="K76" s="434">
        <f t="shared" si="44"/>
        <v>1313070</v>
      </c>
      <c r="L76" s="435">
        <f t="shared" si="45"/>
        <v>170509.13302500002</v>
      </c>
      <c r="M76" s="422">
        <f t="shared" si="36"/>
        <v>1679079.1330250001</v>
      </c>
      <c r="N76" s="434"/>
      <c r="O76" s="434"/>
      <c r="P76" s="572"/>
    </row>
    <row r="77" spans="1:16">
      <c r="A77" s="433">
        <f>A76</f>
        <v>2030</v>
      </c>
      <c r="B77" s="423">
        <f t="shared" si="37"/>
        <v>47423</v>
      </c>
      <c r="C77" s="423">
        <f>B77+30-1</f>
        <v>47452</v>
      </c>
      <c r="D77">
        <v>1</v>
      </c>
      <c r="E77" s="434">
        <f t="shared" si="30"/>
        <v>9515</v>
      </c>
      <c r="F77" s="434">
        <f t="shared" si="31"/>
        <v>883.96506874767749</v>
      </c>
      <c r="H77" s="435">
        <f t="shared" si="47"/>
        <v>138</v>
      </c>
      <c r="I77" s="434">
        <f t="shared" si="33"/>
        <v>195499.99999999997</v>
      </c>
      <c r="J77" s="424">
        <f t="shared" si="42"/>
        <v>17.920035000000002</v>
      </c>
      <c r="K77" s="434">
        <f t="shared" si="44"/>
        <v>1313070</v>
      </c>
      <c r="L77" s="435">
        <f t="shared" si="45"/>
        <v>170509.13302500002</v>
      </c>
      <c r="M77" s="422">
        <f t="shared" si="36"/>
        <v>1679079.1330250001</v>
      </c>
      <c r="N77" s="434"/>
      <c r="O77" s="434"/>
      <c r="P77" s="572"/>
    </row>
    <row r="78" spans="1:16">
      <c r="A78" s="433">
        <f t="shared" ref="A78:A86" si="49">A77</f>
        <v>2030</v>
      </c>
      <c r="B78" s="423">
        <f t="shared" si="37"/>
        <v>47453</v>
      </c>
      <c r="C78" s="423">
        <f>B78+30</f>
        <v>47483</v>
      </c>
      <c r="D78">
        <v>1</v>
      </c>
      <c r="E78" s="434">
        <f t="shared" si="30"/>
        <v>9515</v>
      </c>
      <c r="F78" s="434">
        <f t="shared" si="31"/>
        <v>883.96506874767749</v>
      </c>
      <c r="H78" s="435">
        <f t="shared" si="47"/>
        <v>138</v>
      </c>
      <c r="I78" s="434">
        <f t="shared" si="33"/>
        <v>195499.99999999997</v>
      </c>
      <c r="J78" s="424">
        <f t="shared" si="42"/>
        <v>17.920035000000002</v>
      </c>
      <c r="K78" s="434">
        <f t="shared" si="44"/>
        <v>1313070</v>
      </c>
      <c r="L78" s="435">
        <f t="shared" si="45"/>
        <v>170509.13302500002</v>
      </c>
      <c r="M78" s="422">
        <f t="shared" si="36"/>
        <v>1679079.1330250001</v>
      </c>
      <c r="N78" s="434"/>
      <c r="O78" s="434"/>
      <c r="P78" s="572"/>
    </row>
    <row r="79" spans="1:16">
      <c r="A79" s="433">
        <f t="shared" si="49"/>
        <v>2030</v>
      </c>
      <c r="B79" s="423">
        <f t="shared" si="37"/>
        <v>47484</v>
      </c>
      <c r="C79" s="423">
        <f>B79+30</f>
        <v>47514</v>
      </c>
      <c r="D79">
        <v>1</v>
      </c>
      <c r="E79" s="434">
        <f t="shared" si="30"/>
        <v>9515</v>
      </c>
      <c r="F79" s="434">
        <f t="shared" si="31"/>
        <v>883.96506874767749</v>
      </c>
      <c r="H79" s="435">
        <f t="shared" si="47"/>
        <v>138</v>
      </c>
      <c r="I79" s="434">
        <f t="shared" si="33"/>
        <v>195499.99999999997</v>
      </c>
      <c r="J79" s="424">
        <f>J78*1.05</f>
        <v>18.816036750000002</v>
      </c>
      <c r="K79" s="434">
        <f t="shared" si="44"/>
        <v>1313070</v>
      </c>
      <c r="L79" s="435">
        <f t="shared" si="45"/>
        <v>179034.58967625003</v>
      </c>
      <c r="M79" s="422">
        <f t="shared" si="36"/>
        <v>1687604.58967625</v>
      </c>
      <c r="N79" s="434"/>
      <c r="O79" s="434"/>
      <c r="P79" s="572"/>
    </row>
    <row r="80" spans="1:16">
      <c r="A80" s="433">
        <f t="shared" si="49"/>
        <v>2030</v>
      </c>
      <c r="B80" s="423">
        <f t="shared" si="37"/>
        <v>47515</v>
      </c>
      <c r="C80" s="423">
        <f>B80+30-3</f>
        <v>47542</v>
      </c>
      <c r="D80">
        <v>1</v>
      </c>
      <c r="E80" s="434">
        <f t="shared" si="30"/>
        <v>9515</v>
      </c>
      <c r="F80" s="434">
        <f t="shared" si="31"/>
        <v>883.96506874767749</v>
      </c>
      <c r="H80" s="435">
        <f t="shared" si="47"/>
        <v>138</v>
      </c>
      <c r="I80" s="434">
        <f t="shared" si="33"/>
        <v>195499.99999999997</v>
      </c>
      <c r="J80" s="424">
        <f>J79</f>
        <v>18.816036750000002</v>
      </c>
      <c r="K80" s="434">
        <f t="shared" si="44"/>
        <v>1313070</v>
      </c>
      <c r="L80" s="435">
        <f t="shared" si="45"/>
        <v>179034.58967625003</v>
      </c>
      <c r="M80" s="422">
        <f t="shared" si="36"/>
        <v>1687604.58967625</v>
      </c>
      <c r="N80" s="434"/>
      <c r="O80" s="434"/>
      <c r="P80" s="572"/>
    </row>
    <row r="81" spans="1:16">
      <c r="A81" s="433">
        <f t="shared" si="49"/>
        <v>2030</v>
      </c>
      <c r="B81" s="423">
        <f t="shared" si="37"/>
        <v>47543</v>
      </c>
      <c r="C81" s="423">
        <f>B81+30</f>
        <v>47573</v>
      </c>
      <c r="D81">
        <v>1</v>
      </c>
      <c r="E81" s="434">
        <f t="shared" si="30"/>
        <v>9515</v>
      </c>
      <c r="F81" s="434">
        <f t="shared" si="31"/>
        <v>883.96506874767749</v>
      </c>
      <c r="H81" s="435">
        <f t="shared" si="47"/>
        <v>138</v>
      </c>
      <c r="I81" s="434">
        <f t="shared" si="33"/>
        <v>195499.99999999997</v>
      </c>
      <c r="J81" s="424">
        <f t="shared" si="42"/>
        <v>18.816036750000002</v>
      </c>
      <c r="K81" s="434">
        <f t="shared" si="44"/>
        <v>1313070</v>
      </c>
      <c r="L81" s="435">
        <f t="shared" si="45"/>
        <v>179034.58967625003</v>
      </c>
      <c r="M81" s="422">
        <f t="shared" si="36"/>
        <v>1687604.58967625</v>
      </c>
      <c r="N81" s="434"/>
      <c r="O81" s="434"/>
      <c r="P81" s="572"/>
    </row>
    <row r="82" spans="1:16">
      <c r="A82" s="433">
        <f t="shared" si="49"/>
        <v>2030</v>
      </c>
      <c r="B82" s="423">
        <f t="shared" si="37"/>
        <v>47574</v>
      </c>
      <c r="C82" s="423">
        <f>B82+30-1</f>
        <v>47603</v>
      </c>
      <c r="D82">
        <v>1</v>
      </c>
      <c r="E82" s="434">
        <f t="shared" si="30"/>
        <v>9515</v>
      </c>
      <c r="F82" s="434">
        <f t="shared" si="31"/>
        <v>883.96506874767749</v>
      </c>
      <c r="H82" s="435">
        <f t="shared" si="47"/>
        <v>138</v>
      </c>
      <c r="I82" s="434">
        <f t="shared" si="33"/>
        <v>195499.99999999997</v>
      </c>
      <c r="J82" s="424">
        <f t="shared" si="42"/>
        <v>18.816036750000002</v>
      </c>
      <c r="K82" s="434">
        <f t="shared" si="44"/>
        <v>1313070</v>
      </c>
      <c r="L82" s="435">
        <f t="shared" si="45"/>
        <v>179034.58967625003</v>
      </c>
      <c r="M82" s="422">
        <f t="shared" si="36"/>
        <v>1687604.58967625</v>
      </c>
      <c r="N82" s="434"/>
      <c r="O82" s="434"/>
      <c r="P82" s="572"/>
    </row>
    <row r="83" spans="1:16">
      <c r="A83" s="433">
        <f t="shared" si="49"/>
        <v>2030</v>
      </c>
      <c r="B83" s="423">
        <f t="shared" si="37"/>
        <v>47604</v>
      </c>
      <c r="C83" s="423">
        <f>B83+30</f>
        <v>47634</v>
      </c>
      <c r="D83">
        <v>1</v>
      </c>
      <c r="E83" s="434">
        <f t="shared" si="30"/>
        <v>9515</v>
      </c>
      <c r="F83" s="434">
        <f t="shared" si="31"/>
        <v>883.96506874767749</v>
      </c>
      <c r="H83" s="435">
        <f t="shared" si="47"/>
        <v>138</v>
      </c>
      <c r="I83" s="434">
        <f t="shared" si="33"/>
        <v>195499.99999999997</v>
      </c>
      <c r="J83" s="424">
        <f t="shared" si="42"/>
        <v>18.816036750000002</v>
      </c>
      <c r="K83" s="434">
        <f t="shared" si="44"/>
        <v>1313070</v>
      </c>
      <c r="L83" s="435">
        <f t="shared" si="45"/>
        <v>179034.58967625003</v>
      </c>
      <c r="M83" s="422">
        <f t="shared" si="36"/>
        <v>1687604.58967625</v>
      </c>
      <c r="N83" s="434"/>
      <c r="O83" s="434"/>
      <c r="P83" s="572"/>
    </row>
    <row r="84" spans="1:16">
      <c r="A84" s="433">
        <f t="shared" si="49"/>
        <v>2030</v>
      </c>
      <c r="B84" s="423">
        <f t="shared" si="37"/>
        <v>47635</v>
      </c>
      <c r="C84" s="423">
        <f>B84+30-1</f>
        <v>47664</v>
      </c>
      <c r="D84">
        <v>1</v>
      </c>
      <c r="E84" s="434">
        <f t="shared" si="30"/>
        <v>9515</v>
      </c>
      <c r="F84" s="434">
        <f t="shared" si="31"/>
        <v>883.96506874767749</v>
      </c>
      <c r="H84" s="435">
        <f t="shared" si="47"/>
        <v>138</v>
      </c>
      <c r="I84" s="434">
        <f t="shared" si="33"/>
        <v>195499.99999999997</v>
      </c>
      <c r="J84" s="424">
        <f t="shared" si="42"/>
        <v>18.816036750000002</v>
      </c>
      <c r="K84" s="434">
        <f t="shared" si="44"/>
        <v>1313070</v>
      </c>
      <c r="L84" s="435">
        <f t="shared" si="45"/>
        <v>179034.58967625003</v>
      </c>
      <c r="M84" s="422">
        <f t="shared" si="36"/>
        <v>1687604.58967625</v>
      </c>
      <c r="N84" s="434"/>
      <c r="O84" s="434"/>
      <c r="P84" s="572"/>
    </row>
    <row r="85" spans="1:16">
      <c r="A85" s="433">
        <f t="shared" si="49"/>
        <v>2030</v>
      </c>
      <c r="B85" s="423">
        <f t="shared" ref="B85:B96" si="50">C84+1</f>
        <v>47665</v>
      </c>
      <c r="C85" s="423">
        <f t="shared" ref="C85:C90" si="51">B85+30</f>
        <v>47695</v>
      </c>
      <c r="D85">
        <v>1</v>
      </c>
      <c r="E85" s="434">
        <f t="shared" si="30"/>
        <v>9515</v>
      </c>
      <c r="F85" s="434">
        <f t="shared" si="31"/>
        <v>883.96506874767749</v>
      </c>
      <c r="H85" s="435">
        <f t="shared" si="47"/>
        <v>138</v>
      </c>
      <c r="I85" s="434">
        <f t="shared" si="33"/>
        <v>195499.99999999997</v>
      </c>
      <c r="J85" s="424">
        <f t="shared" ref="J85" si="52">J84</f>
        <v>18.816036750000002</v>
      </c>
      <c r="K85" s="434">
        <f t="shared" si="44"/>
        <v>1313070</v>
      </c>
      <c r="L85" s="435">
        <f t="shared" si="45"/>
        <v>179034.58967625003</v>
      </c>
      <c r="M85" s="422">
        <f t="shared" ref="M85:M96" si="53">I85+K85+L85</f>
        <v>1687604.58967625</v>
      </c>
      <c r="N85" s="434"/>
      <c r="O85" s="434"/>
      <c r="P85" s="572"/>
    </row>
    <row r="86" spans="1:16" ht="13" thickBot="1">
      <c r="A86" s="436">
        <f t="shared" si="49"/>
        <v>2030</v>
      </c>
      <c r="B86" s="437">
        <f t="shared" si="50"/>
        <v>47696</v>
      </c>
      <c r="C86" s="437">
        <f t="shared" si="51"/>
        <v>47726</v>
      </c>
      <c r="D86" s="438">
        <v>1</v>
      </c>
      <c r="E86" s="439">
        <f t="shared" si="30"/>
        <v>9515</v>
      </c>
      <c r="F86" s="439">
        <f t="shared" si="31"/>
        <v>883.96506874767749</v>
      </c>
      <c r="G86" s="438"/>
      <c r="H86" s="440">
        <f t="shared" si="47"/>
        <v>138</v>
      </c>
      <c r="I86" s="434">
        <f t="shared" si="33"/>
        <v>195499.99999999997</v>
      </c>
      <c r="J86" s="441">
        <f t="shared" ref="J86" si="54">J85</f>
        <v>18.816036750000002</v>
      </c>
      <c r="K86" s="439">
        <f t="shared" si="44"/>
        <v>1313070</v>
      </c>
      <c r="L86" s="440">
        <f t="shared" si="45"/>
        <v>179034.58967625003</v>
      </c>
      <c r="M86" s="442">
        <f t="shared" si="53"/>
        <v>1687604.58967625</v>
      </c>
      <c r="N86" s="439"/>
      <c r="O86" s="439"/>
      <c r="P86" s="573"/>
    </row>
    <row r="87" spans="1:16">
      <c r="A87" s="426">
        <f>A86+1</f>
        <v>2031</v>
      </c>
      <c r="B87" s="427">
        <f t="shared" si="50"/>
        <v>47727</v>
      </c>
      <c r="C87" s="427">
        <f>B87+30-1</f>
        <v>47756</v>
      </c>
      <c r="D87" s="428">
        <v>1</v>
      </c>
      <c r="E87" s="429">
        <f t="shared" si="30"/>
        <v>9515</v>
      </c>
      <c r="F87" s="434">
        <f t="shared" si="31"/>
        <v>883.96506874767749</v>
      </c>
      <c r="H87" s="435">
        <f t="shared" si="47"/>
        <v>138</v>
      </c>
      <c r="I87" s="429">
        <f t="shared" si="33"/>
        <v>195499.99999999997</v>
      </c>
      <c r="J87" s="424">
        <f t="shared" ref="J87" si="55">J86</f>
        <v>18.816036750000002</v>
      </c>
      <c r="K87" s="434">
        <f t="shared" si="44"/>
        <v>1313070</v>
      </c>
      <c r="L87" s="435">
        <f t="shared" si="45"/>
        <v>179034.58967625003</v>
      </c>
      <c r="M87" s="422">
        <f t="shared" si="53"/>
        <v>1687604.58967625</v>
      </c>
      <c r="N87" s="434">
        <f>SUM(K75:K86)</f>
        <v>15756840</v>
      </c>
      <c r="O87" s="434">
        <f>SUM(L75:L86)</f>
        <v>2114313.2495100005</v>
      </c>
      <c r="P87" s="571">
        <f>SUM(I75:I86)</f>
        <v>2345999.9999999995</v>
      </c>
    </row>
    <row r="88" spans="1:16">
      <c r="A88" s="433">
        <f>A87</f>
        <v>2031</v>
      </c>
      <c r="B88" s="423">
        <f t="shared" si="50"/>
        <v>47757</v>
      </c>
      <c r="C88" s="423">
        <f t="shared" si="51"/>
        <v>47787</v>
      </c>
      <c r="D88">
        <v>1</v>
      </c>
      <c r="E88" s="434">
        <f t="shared" si="30"/>
        <v>9515</v>
      </c>
      <c r="F88" s="434">
        <f t="shared" si="31"/>
        <v>883.96506874767749</v>
      </c>
      <c r="H88" s="435">
        <f t="shared" si="47"/>
        <v>138</v>
      </c>
      <c r="I88" s="434">
        <f t="shared" si="33"/>
        <v>195499.99999999997</v>
      </c>
      <c r="J88" s="424">
        <f t="shared" ref="J88" si="56">J87</f>
        <v>18.816036750000002</v>
      </c>
      <c r="K88" s="434">
        <f t="shared" si="44"/>
        <v>1313070</v>
      </c>
      <c r="L88" s="435">
        <f t="shared" si="45"/>
        <v>179034.58967625003</v>
      </c>
      <c r="M88" s="422">
        <f t="shared" si="53"/>
        <v>1687604.58967625</v>
      </c>
      <c r="N88" s="434"/>
      <c r="O88" s="434"/>
      <c r="P88" s="572"/>
    </row>
    <row r="89" spans="1:16">
      <c r="A89" s="433">
        <f>A88</f>
        <v>2031</v>
      </c>
      <c r="B89" s="423">
        <f t="shared" si="50"/>
        <v>47788</v>
      </c>
      <c r="C89" s="423">
        <f>B89+30-1</f>
        <v>47817</v>
      </c>
      <c r="D89">
        <v>1</v>
      </c>
      <c r="E89" s="434">
        <f t="shared" si="30"/>
        <v>9515</v>
      </c>
      <c r="F89" s="434">
        <f t="shared" si="31"/>
        <v>883.96506874767749</v>
      </c>
      <c r="H89" s="435">
        <f t="shared" si="47"/>
        <v>138</v>
      </c>
      <c r="I89" s="434">
        <f t="shared" si="33"/>
        <v>195499.99999999997</v>
      </c>
      <c r="J89" s="424">
        <f t="shared" ref="J89" si="57">J88</f>
        <v>18.816036750000002</v>
      </c>
      <c r="K89" s="434">
        <f t="shared" si="44"/>
        <v>1313070</v>
      </c>
      <c r="L89" s="435">
        <f t="shared" si="45"/>
        <v>179034.58967625003</v>
      </c>
      <c r="M89" s="422">
        <f t="shared" si="53"/>
        <v>1687604.58967625</v>
      </c>
      <c r="N89" s="434"/>
      <c r="O89" s="434"/>
      <c r="P89" s="572"/>
    </row>
    <row r="90" spans="1:16">
      <c r="A90" s="433">
        <f t="shared" ref="A90:A98" si="58">A89</f>
        <v>2031</v>
      </c>
      <c r="B90" s="423">
        <f t="shared" si="50"/>
        <v>47818</v>
      </c>
      <c r="C90" s="423">
        <f t="shared" si="51"/>
        <v>47848</v>
      </c>
      <c r="D90">
        <v>1</v>
      </c>
      <c r="E90" s="434">
        <f t="shared" si="30"/>
        <v>9515</v>
      </c>
      <c r="F90" s="434">
        <f t="shared" si="31"/>
        <v>883.96506874767749</v>
      </c>
      <c r="H90" s="435">
        <f t="shared" si="47"/>
        <v>138</v>
      </c>
      <c r="I90" s="434">
        <f t="shared" si="33"/>
        <v>195499.99999999997</v>
      </c>
      <c r="J90" s="424">
        <f t="shared" ref="J90" si="59">J89</f>
        <v>18.816036750000002</v>
      </c>
      <c r="K90" s="434">
        <f t="shared" si="44"/>
        <v>1313070</v>
      </c>
      <c r="L90" s="435">
        <f t="shared" si="45"/>
        <v>179034.58967625003</v>
      </c>
      <c r="M90" s="422">
        <f t="shared" si="53"/>
        <v>1687604.58967625</v>
      </c>
      <c r="N90" s="434"/>
      <c r="O90" s="434"/>
      <c r="P90" s="572"/>
    </row>
    <row r="91" spans="1:16">
      <c r="A91" s="433">
        <f t="shared" si="58"/>
        <v>2031</v>
      </c>
      <c r="B91" s="423">
        <f t="shared" si="50"/>
        <v>47849</v>
      </c>
      <c r="C91" s="423">
        <f>B91+30</f>
        <v>47879</v>
      </c>
      <c r="D91">
        <v>1</v>
      </c>
      <c r="E91" s="434">
        <f t="shared" si="30"/>
        <v>9515</v>
      </c>
      <c r="F91" s="434">
        <f t="shared" si="31"/>
        <v>883.96506874767749</v>
      </c>
      <c r="H91" s="435">
        <f t="shared" si="47"/>
        <v>138</v>
      </c>
      <c r="I91" s="434">
        <f t="shared" si="33"/>
        <v>195499.99999999997</v>
      </c>
      <c r="J91" s="424">
        <f>J90*1.05</f>
        <v>19.756838587500003</v>
      </c>
      <c r="K91" s="434">
        <f t="shared" si="44"/>
        <v>1313070</v>
      </c>
      <c r="L91" s="435">
        <f t="shared" si="45"/>
        <v>187986.31916006253</v>
      </c>
      <c r="M91" s="422">
        <f t="shared" si="53"/>
        <v>1696556.3191600626</v>
      </c>
      <c r="N91" s="434"/>
      <c r="O91" s="434"/>
      <c r="P91" s="572"/>
    </row>
    <row r="92" spans="1:16">
      <c r="A92" s="433">
        <f t="shared" si="58"/>
        <v>2031</v>
      </c>
      <c r="B92" s="423">
        <f t="shared" si="50"/>
        <v>47880</v>
      </c>
      <c r="C92" s="423">
        <f>B92+30-3</f>
        <v>47907</v>
      </c>
      <c r="D92">
        <v>1</v>
      </c>
      <c r="E92" s="434">
        <f t="shared" si="30"/>
        <v>9515</v>
      </c>
      <c r="F92" s="434">
        <f t="shared" si="31"/>
        <v>883.96506874767749</v>
      </c>
      <c r="H92" s="435">
        <f t="shared" si="47"/>
        <v>138</v>
      </c>
      <c r="I92" s="434">
        <f t="shared" si="33"/>
        <v>195499.99999999997</v>
      </c>
      <c r="J92" s="424">
        <f>J91</f>
        <v>19.756838587500003</v>
      </c>
      <c r="K92" s="434">
        <f t="shared" si="44"/>
        <v>1313070</v>
      </c>
      <c r="L92" s="435">
        <f t="shared" si="45"/>
        <v>187986.31916006253</v>
      </c>
      <c r="M92" s="422">
        <f t="shared" si="53"/>
        <v>1696556.3191600626</v>
      </c>
      <c r="N92" s="434"/>
      <c r="O92" s="434"/>
      <c r="P92" s="572"/>
    </row>
    <row r="93" spans="1:16">
      <c r="A93" s="433">
        <f t="shared" si="58"/>
        <v>2031</v>
      </c>
      <c r="B93" s="423">
        <f t="shared" si="50"/>
        <v>47908</v>
      </c>
      <c r="C93" s="423">
        <f>B93+30</f>
        <v>47938</v>
      </c>
      <c r="D93">
        <v>1</v>
      </c>
      <c r="E93" s="434">
        <f t="shared" si="30"/>
        <v>9515</v>
      </c>
      <c r="F93" s="434">
        <f t="shared" si="31"/>
        <v>883.96506874767749</v>
      </c>
      <c r="H93" s="435">
        <f t="shared" si="47"/>
        <v>138</v>
      </c>
      <c r="I93" s="434">
        <f t="shared" si="33"/>
        <v>195499.99999999997</v>
      </c>
      <c r="J93" s="424">
        <f t="shared" ref="J93" si="60">J92</f>
        <v>19.756838587500003</v>
      </c>
      <c r="K93" s="434">
        <f t="shared" si="44"/>
        <v>1313070</v>
      </c>
      <c r="L93" s="435">
        <f t="shared" si="45"/>
        <v>187986.31916006253</v>
      </c>
      <c r="M93" s="422">
        <f t="shared" si="53"/>
        <v>1696556.3191600626</v>
      </c>
      <c r="N93" s="434"/>
      <c r="O93" s="434"/>
      <c r="P93" s="572"/>
    </row>
    <row r="94" spans="1:16">
      <c r="A94" s="433">
        <f t="shared" si="58"/>
        <v>2031</v>
      </c>
      <c r="B94" s="423">
        <f t="shared" si="50"/>
        <v>47939</v>
      </c>
      <c r="C94" s="423">
        <f>B94+30-1</f>
        <v>47968</v>
      </c>
      <c r="D94">
        <v>1</v>
      </c>
      <c r="E94" s="434">
        <f t="shared" si="30"/>
        <v>9515</v>
      </c>
      <c r="F94" s="434">
        <f t="shared" si="31"/>
        <v>883.96506874767749</v>
      </c>
      <c r="H94" s="435">
        <f t="shared" si="47"/>
        <v>138</v>
      </c>
      <c r="I94" s="434">
        <f t="shared" si="33"/>
        <v>195499.99999999997</v>
      </c>
      <c r="J94" s="424">
        <f t="shared" ref="J94" si="61">J93</f>
        <v>19.756838587500003</v>
      </c>
      <c r="K94" s="434">
        <f t="shared" si="44"/>
        <v>1313070</v>
      </c>
      <c r="L94" s="435">
        <f t="shared" si="45"/>
        <v>187986.31916006253</v>
      </c>
      <c r="M94" s="422">
        <f t="shared" si="53"/>
        <v>1696556.3191600626</v>
      </c>
      <c r="N94" s="434"/>
      <c r="O94" s="434"/>
      <c r="P94" s="572"/>
    </row>
    <row r="95" spans="1:16">
      <c r="A95" s="433">
        <f t="shared" si="58"/>
        <v>2031</v>
      </c>
      <c r="B95" s="423">
        <f t="shared" si="50"/>
        <v>47969</v>
      </c>
      <c r="C95" s="423">
        <f>B95+30</f>
        <v>47999</v>
      </c>
      <c r="D95">
        <v>1</v>
      </c>
      <c r="E95" s="434">
        <f t="shared" si="30"/>
        <v>9515</v>
      </c>
      <c r="F95" s="434">
        <f t="shared" si="31"/>
        <v>883.96506874767749</v>
      </c>
      <c r="H95" s="435">
        <f t="shared" si="47"/>
        <v>138</v>
      </c>
      <c r="I95" s="434">
        <f t="shared" si="33"/>
        <v>195499.99999999997</v>
      </c>
      <c r="J95" s="424">
        <f t="shared" ref="J95" si="62">J94</f>
        <v>19.756838587500003</v>
      </c>
      <c r="K95" s="434">
        <f t="shared" ref="K95:K102" si="63">H95*E95</f>
        <v>1313070</v>
      </c>
      <c r="L95" s="435">
        <f t="shared" ref="L95:L102" si="64">J95*E95</f>
        <v>187986.31916006253</v>
      </c>
      <c r="M95" s="422">
        <f t="shared" si="53"/>
        <v>1696556.3191600626</v>
      </c>
      <c r="N95" s="434"/>
      <c r="O95" s="434"/>
      <c r="P95" s="572"/>
    </row>
    <row r="96" spans="1:16">
      <c r="A96" s="433">
        <f t="shared" si="58"/>
        <v>2031</v>
      </c>
      <c r="B96" s="423">
        <f t="shared" si="50"/>
        <v>48000</v>
      </c>
      <c r="C96" s="423">
        <f>B96+30-1</f>
        <v>48029</v>
      </c>
      <c r="D96">
        <v>1</v>
      </c>
      <c r="E96" s="434">
        <f t="shared" si="30"/>
        <v>9515</v>
      </c>
      <c r="F96" s="434">
        <f t="shared" si="31"/>
        <v>883.96506874767749</v>
      </c>
      <c r="H96" s="435">
        <f t="shared" si="47"/>
        <v>138</v>
      </c>
      <c r="I96" s="434">
        <f t="shared" si="33"/>
        <v>195499.99999999997</v>
      </c>
      <c r="J96" s="424">
        <f t="shared" ref="J96" si="65">J95</f>
        <v>19.756838587500003</v>
      </c>
      <c r="K96" s="434">
        <f t="shared" si="63"/>
        <v>1313070</v>
      </c>
      <c r="L96" s="435">
        <f t="shared" si="64"/>
        <v>187986.31916006253</v>
      </c>
      <c r="M96" s="422">
        <f t="shared" si="53"/>
        <v>1696556.3191600626</v>
      </c>
      <c r="N96" s="434"/>
      <c r="O96" s="434"/>
      <c r="P96" s="572"/>
    </row>
    <row r="97" spans="1:18">
      <c r="A97" s="433">
        <f t="shared" si="58"/>
        <v>2031</v>
      </c>
      <c r="B97" s="423">
        <f t="shared" ref="B97:B102" si="66">C96+1</f>
        <v>48030</v>
      </c>
      <c r="C97" s="423">
        <f t="shared" ref="C97:C102" si="67">B97+30</f>
        <v>48060</v>
      </c>
      <c r="D97">
        <v>1</v>
      </c>
      <c r="E97" s="434">
        <f t="shared" ref="E97:F102" si="68">E96</f>
        <v>9515</v>
      </c>
      <c r="F97" s="434">
        <f t="shared" si="68"/>
        <v>883.96506874767749</v>
      </c>
      <c r="H97" s="435">
        <f t="shared" si="47"/>
        <v>138</v>
      </c>
      <c r="I97" s="434">
        <f t="shared" si="33"/>
        <v>195499.99999999997</v>
      </c>
      <c r="J97" s="424">
        <f t="shared" ref="J97" si="69">J96</f>
        <v>19.756838587500003</v>
      </c>
      <c r="K97" s="434">
        <f t="shared" si="63"/>
        <v>1313070</v>
      </c>
      <c r="L97" s="435">
        <f t="shared" si="64"/>
        <v>187986.31916006253</v>
      </c>
      <c r="M97" s="422">
        <f t="shared" ref="M97:M102" si="70">I97+K97+L97</f>
        <v>1696556.3191600626</v>
      </c>
      <c r="N97" s="434"/>
      <c r="O97" s="434"/>
      <c r="P97" s="572"/>
    </row>
    <row r="98" spans="1:18" ht="13" thickBot="1">
      <c r="A98" s="436">
        <f t="shared" si="58"/>
        <v>2031</v>
      </c>
      <c r="B98" s="437">
        <f t="shared" si="66"/>
        <v>48061</v>
      </c>
      <c r="C98" s="437">
        <f t="shared" si="67"/>
        <v>48091</v>
      </c>
      <c r="D98" s="438">
        <v>1</v>
      </c>
      <c r="E98" s="439">
        <f t="shared" si="68"/>
        <v>9515</v>
      </c>
      <c r="F98" s="439">
        <f t="shared" si="68"/>
        <v>883.96506874767749</v>
      </c>
      <c r="G98" s="438"/>
      <c r="H98" s="440">
        <f t="shared" si="47"/>
        <v>138</v>
      </c>
      <c r="I98" s="434">
        <f t="shared" si="47"/>
        <v>195499.99999999997</v>
      </c>
      <c r="J98" s="441">
        <f t="shared" ref="J98" si="71">J97</f>
        <v>19.756838587500003</v>
      </c>
      <c r="K98" s="439">
        <f t="shared" si="63"/>
        <v>1313070</v>
      </c>
      <c r="L98" s="440">
        <f t="shared" si="64"/>
        <v>187986.31916006253</v>
      </c>
      <c r="M98" s="442">
        <f t="shared" si="70"/>
        <v>1696556.3191600626</v>
      </c>
      <c r="N98" s="439"/>
      <c r="O98" s="439"/>
      <c r="P98" s="572"/>
    </row>
    <row r="99" spans="1:18">
      <c r="A99" s="433">
        <f>A98+1</f>
        <v>2032</v>
      </c>
      <c r="B99" s="423">
        <f t="shared" si="66"/>
        <v>48092</v>
      </c>
      <c r="C99" s="423">
        <f>B99+30-1</f>
        <v>48121</v>
      </c>
      <c r="D99">
        <v>1</v>
      </c>
      <c r="E99" s="434">
        <f t="shared" si="68"/>
        <v>9515</v>
      </c>
      <c r="F99" s="434">
        <f t="shared" si="68"/>
        <v>883.96506874767749</v>
      </c>
      <c r="H99" s="435">
        <f t="shared" si="47"/>
        <v>138</v>
      </c>
      <c r="I99" s="429">
        <f t="shared" si="47"/>
        <v>195499.99999999997</v>
      </c>
      <c r="J99" s="424">
        <f t="shared" ref="J99" si="72">J98</f>
        <v>19.756838587500003</v>
      </c>
      <c r="K99" s="434">
        <f t="shared" si="63"/>
        <v>1313070</v>
      </c>
      <c r="L99" s="435">
        <f t="shared" si="64"/>
        <v>187986.31916006253</v>
      </c>
      <c r="M99" s="422">
        <f t="shared" si="70"/>
        <v>1696556.3191600626</v>
      </c>
      <c r="N99" s="434">
        <f>SUM(K87:K98)</f>
        <v>15756840</v>
      </c>
      <c r="O99" s="434">
        <f>SUM(L87:L98)</f>
        <v>2220028.9119855007</v>
      </c>
      <c r="P99" s="574">
        <f>SUM(I87:I98)</f>
        <v>2345999.9999999995</v>
      </c>
    </row>
    <row r="100" spans="1:18">
      <c r="A100" s="433">
        <f>A99</f>
        <v>2032</v>
      </c>
      <c r="B100" s="423">
        <f t="shared" si="66"/>
        <v>48122</v>
      </c>
      <c r="C100" s="423">
        <f t="shared" si="67"/>
        <v>48152</v>
      </c>
      <c r="D100">
        <v>1</v>
      </c>
      <c r="E100" s="434">
        <f t="shared" si="68"/>
        <v>9515</v>
      </c>
      <c r="F100" s="434">
        <f t="shared" si="68"/>
        <v>883.96506874767749</v>
      </c>
      <c r="H100" s="435">
        <f t="shared" si="47"/>
        <v>138</v>
      </c>
      <c r="I100" s="434">
        <f t="shared" si="47"/>
        <v>195499.99999999997</v>
      </c>
      <c r="J100" s="424">
        <f t="shared" ref="J100" si="73">J99</f>
        <v>19.756838587500003</v>
      </c>
      <c r="K100" s="434">
        <f t="shared" si="63"/>
        <v>1313070</v>
      </c>
      <c r="L100" s="435">
        <f t="shared" si="64"/>
        <v>187986.31916006253</v>
      </c>
      <c r="M100" s="422">
        <f t="shared" si="70"/>
        <v>1696556.3191600626</v>
      </c>
      <c r="N100" s="434"/>
      <c r="O100" s="434"/>
      <c r="P100" s="572"/>
    </row>
    <row r="101" spans="1:18">
      <c r="A101" s="433">
        <f t="shared" ref="A101:A102" si="74">A100</f>
        <v>2032</v>
      </c>
      <c r="B101" s="423">
        <f t="shared" si="66"/>
        <v>48153</v>
      </c>
      <c r="C101" s="423">
        <f>B101+30-1</f>
        <v>48182</v>
      </c>
      <c r="D101">
        <v>1</v>
      </c>
      <c r="E101" s="434">
        <f t="shared" si="68"/>
        <v>9515</v>
      </c>
      <c r="F101" s="434">
        <f t="shared" si="68"/>
        <v>883.96506874767749</v>
      </c>
      <c r="H101" s="435">
        <f t="shared" si="47"/>
        <v>138</v>
      </c>
      <c r="I101" s="434">
        <f t="shared" si="47"/>
        <v>195499.99999999997</v>
      </c>
      <c r="J101" s="424">
        <f t="shared" ref="J101" si="75">J100</f>
        <v>19.756838587500003</v>
      </c>
      <c r="K101" s="434">
        <f t="shared" si="63"/>
        <v>1313070</v>
      </c>
      <c r="L101" s="435">
        <f t="shared" si="64"/>
        <v>187986.31916006253</v>
      </c>
      <c r="M101" s="422">
        <f t="shared" si="70"/>
        <v>1696556.3191600626</v>
      </c>
      <c r="N101" s="434"/>
      <c r="O101" s="434"/>
      <c r="P101" s="572"/>
    </row>
    <row r="102" spans="1:18" ht="13" thickBot="1">
      <c r="A102" s="436">
        <f t="shared" si="74"/>
        <v>2032</v>
      </c>
      <c r="B102" s="437">
        <f t="shared" si="66"/>
        <v>48183</v>
      </c>
      <c r="C102" s="437">
        <f t="shared" si="67"/>
        <v>48213</v>
      </c>
      <c r="D102" s="438">
        <v>1</v>
      </c>
      <c r="E102" s="439">
        <f t="shared" si="68"/>
        <v>9515</v>
      </c>
      <c r="F102" s="439">
        <f t="shared" si="68"/>
        <v>883.96506874767749</v>
      </c>
      <c r="G102" s="438"/>
      <c r="H102" s="440">
        <f t="shared" si="47"/>
        <v>138</v>
      </c>
      <c r="I102" s="439">
        <f t="shared" si="47"/>
        <v>195499.99999999997</v>
      </c>
      <c r="J102" s="441">
        <f t="shared" ref="J102" si="76">J101</f>
        <v>19.756838587500003</v>
      </c>
      <c r="K102" s="439">
        <f t="shared" si="63"/>
        <v>1313070</v>
      </c>
      <c r="L102" s="440">
        <f t="shared" si="64"/>
        <v>187986.31916006253</v>
      </c>
      <c r="M102" s="442">
        <f t="shared" si="70"/>
        <v>1696556.3191600626</v>
      </c>
      <c r="N102" s="439"/>
      <c r="O102" s="439"/>
      <c r="P102" s="572"/>
    </row>
    <row r="103" spans="1:18">
      <c r="I103" s="434"/>
      <c r="N103" s="434">
        <f>SUM(K99:K102)</f>
        <v>5252280</v>
      </c>
      <c r="O103" s="434">
        <f>SUM(L99:L102)</f>
        <v>751945.27664025011</v>
      </c>
      <c r="P103" s="575">
        <f>SUM(I99:I102)</f>
        <v>781999.99999999988</v>
      </c>
      <c r="Q103" s="425"/>
      <c r="R103" s="425"/>
    </row>
    <row r="104" spans="1:18">
      <c r="I104" s="421">
        <f>SUM(I31:I102)</f>
        <v>13158000</v>
      </c>
      <c r="K104" s="425">
        <f>SUM(K31:K102)</f>
        <v>88375320</v>
      </c>
      <c r="L104" s="425">
        <f>SUM(L31:L102)</f>
        <v>12022424.428335754</v>
      </c>
      <c r="M104" s="425">
        <f>SUM(M31:M102)</f>
        <v>113555744.42833564</v>
      </c>
      <c r="N104" s="425">
        <f>SUM(N31:N103)</f>
        <v>88375320</v>
      </c>
      <c r="O104" s="425">
        <f>SUM(O31:O103)</f>
        <v>12022424.428335754</v>
      </c>
      <c r="P104" s="449">
        <f>SUM(P31:P103)</f>
        <v>13158000</v>
      </c>
    </row>
    <row r="105" spans="1:18">
      <c r="K105" s="460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08"/>
  <sheetViews>
    <sheetView workbookViewId="0">
      <pane ySplit="2" topLeftCell="A3" activePane="bottomLeft" state="frozen"/>
      <selection activeCell="F34" sqref="F34"/>
      <selection pane="bottomLeft" activeCell="B12" sqref="B12"/>
    </sheetView>
  </sheetViews>
  <sheetFormatPr defaultColWidth="11.453125" defaultRowHeight="12.5" outlineLevelRow="1"/>
  <cols>
    <col min="1" max="1" width="22.54296875" style="113" customWidth="1"/>
    <col min="2" max="2" width="19.6328125" style="113" bestFit="1" customWidth="1"/>
    <col min="3" max="3" width="3.08984375" style="113" customWidth="1"/>
    <col min="4" max="4" width="24.6328125" style="113" customWidth="1"/>
    <col min="5" max="5" width="25" style="113" bestFit="1" customWidth="1"/>
    <col min="6" max="6" width="16.36328125" style="114" customWidth="1"/>
    <col min="7" max="10" width="15" style="114" bestFit="1" customWidth="1"/>
    <col min="11" max="11" width="15" style="113" bestFit="1" customWidth="1"/>
    <col min="12" max="12" width="15.08984375" style="113" bestFit="1" customWidth="1"/>
    <col min="13" max="14" width="11.453125" style="113" customWidth="1"/>
    <col min="15" max="16384" width="11.453125" style="113"/>
  </cols>
  <sheetData>
    <row r="1" spans="1:15" ht="16" thickBot="1">
      <c r="A1" s="702" t="s">
        <v>252</v>
      </c>
      <c r="B1" s="703"/>
      <c r="C1" s="703"/>
      <c r="D1" s="703"/>
      <c r="E1" s="703"/>
      <c r="F1" s="703"/>
      <c r="G1" s="703"/>
      <c r="H1" s="703"/>
      <c r="I1" s="703"/>
      <c r="J1" s="703"/>
      <c r="K1" s="703"/>
      <c r="L1" s="703"/>
      <c r="M1" s="703"/>
      <c r="N1" s="704"/>
    </row>
    <row r="2" spans="1:15">
      <c r="A2" s="170" t="s">
        <v>253</v>
      </c>
      <c r="B2" s="246" t="s">
        <v>254</v>
      </c>
      <c r="C2" s="254"/>
      <c r="D2" s="253" t="s">
        <v>232</v>
      </c>
      <c r="E2" s="171"/>
      <c r="F2" s="172" t="s">
        <v>316</v>
      </c>
      <c r="G2" s="172">
        <f t="shared" ref="G2:N2" si="0">F2+1</f>
        <v>2027</v>
      </c>
      <c r="H2" s="172">
        <f t="shared" si="0"/>
        <v>2028</v>
      </c>
      <c r="I2" s="172">
        <f t="shared" si="0"/>
        <v>2029</v>
      </c>
      <c r="J2" s="172">
        <f t="shared" si="0"/>
        <v>2030</v>
      </c>
      <c r="K2" s="173">
        <f t="shared" si="0"/>
        <v>2031</v>
      </c>
      <c r="L2" s="173">
        <f t="shared" si="0"/>
        <v>2032</v>
      </c>
      <c r="M2" s="171">
        <f t="shared" si="0"/>
        <v>2033</v>
      </c>
      <c r="N2" s="245">
        <f t="shared" si="0"/>
        <v>2034</v>
      </c>
    </row>
    <row r="3" spans="1:15">
      <c r="A3" s="162" t="s">
        <v>255</v>
      </c>
      <c r="B3" s="247">
        <f>B6+B12+B18</f>
        <v>34000000</v>
      </c>
      <c r="C3" s="255"/>
      <c r="D3" s="161" t="s">
        <v>256</v>
      </c>
      <c r="E3" s="119">
        <f>SUM(F3:N3)</f>
        <v>72</v>
      </c>
      <c r="F3" s="116">
        <v>8</v>
      </c>
      <c r="G3" s="116">
        <v>12</v>
      </c>
      <c r="H3" s="116">
        <v>12</v>
      </c>
      <c r="I3" s="116">
        <v>12</v>
      </c>
      <c r="J3" s="116">
        <v>12</v>
      </c>
      <c r="K3" s="116">
        <v>12</v>
      </c>
      <c r="L3" s="117">
        <v>4</v>
      </c>
      <c r="M3" s="496">
        <v>0</v>
      </c>
      <c r="N3" s="497">
        <v>0</v>
      </c>
    </row>
    <row r="4" spans="1:15">
      <c r="A4" s="162" t="s">
        <v>257</v>
      </c>
      <c r="B4" s="256">
        <f>+'Rent Calculation'!F29</f>
        <v>7.1099999999999997E-2</v>
      </c>
      <c r="C4" s="255"/>
      <c r="D4" s="161" t="s">
        <v>258</v>
      </c>
      <c r="E4" s="119">
        <f>E3-SUM(F3:N3)</f>
        <v>0</v>
      </c>
      <c r="F4" s="118"/>
      <c r="G4" s="118"/>
      <c r="H4" s="118"/>
      <c r="I4" s="118"/>
      <c r="J4" s="118"/>
      <c r="K4" s="115"/>
      <c r="L4" s="115"/>
      <c r="M4" s="115"/>
      <c r="N4" s="164"/>
    </row>
    <row r="5" spans="1:15">
      <c r="A5" s="162"/>
      <c r="B5" s="248"/>
      <c r="C5" s="255"/>
      <c r="D5" s="161"/>
      <c r="E5" s="115"/>
      <c r="F5" s="118"/>
      <c r="G5" s="118"/>
      <c r="H5" s="118"/>
      <c r="I5" s="118"/>
      <c r="J5" s="118"/>
      <c r="K5" s="115"/>
      <c r="L5" s="115"/>
      <c r="M5" s="115"/>
      <c r="N5" s="164"/>
    </row>
    <row r="6" spans="1:15">
      <c r="A6" s="162" t="s">
        <v>255</v>
      </c>
      <c r="B6" s="352">
        <v>14000000</v>
      </c>
      <c r="C6" s="255"/>
      <c r="D6" s="161" t="s">
        <v>259</v>
      </c>
      <c r="E6" s="115"/>
      <c r="F6" s="147">
        <f t="shared" ref="F6:N6" si="1">IF(F3&lt;&gt;0,$B$6/$B$7,0)</f>
        <v>2333333.3333333335</v>
      </c>
      <c r="G6" s="147">
        <f t="shared" si="1"/>
        <v>2333333.3333333335</v>
      </c>
      <c r="H6" s="147">
        <f t="shared" si="1"/>
        <v>2333333.3333333335</v>
      </c>
      <c r="I6" s="147">
        <f t="shared" si="1"/>
        <v>2333333.3333333335</v>
      </c>
      <c r="J6" s="147">
        <f t="shared" si="1"/>
        <v>2333333.3333333335</v>
      </c>
      <c r="K6" s="147">
        <f t="shared" si="1"/>
        <v>2333333.3333333335</v>
      </c>
      <c r="L6" s="147">
        <f t="shared" si="1"/>
        <v>2333333.3333333335</v>
      </c>
      <c r="M6" s="147">
        <f t="shared" si="1"/>
        <v>0</v>
      </c>
      <c r="N6" s="147">
        <f t="shared" si="1"/>
        <v>0</v>
      </c>
    </row>
    <row r="7" spans="1:15">
      <c r="A7" s="162" t="s">
        <v>260</v>
      </c>
      <c r="B7" s="290">
        <f>E3/12</f>
        <v>6</v>
      </c>
      <c r="C7" s="255"/>
      <c r="D7" s="161" t="s">
        <v>261</v>
      </c>
      <c r="E7" s="115"/>
      <c r="F7" s="147">
        <f>F6/12*F3</f>
        <v>1555555.5555555557</v>
      </c>
      <c r="G7" s="147">
        <f t="shared" ref="G7:N7" si="2">G6/12*G3</f>
        <v>2333333.3333333335</v>
      </c>
      <c r="H7" s="147">
        <f t="shared" si="2"/>
        <v>2333333.3333333335</v>
      </c>
      <c r="I7" s="147">
        <f t="shared" si="2"/>
        <v>2333333.3333333335</v>
      </c>
      <c r="J7" s="147">
        <f t="shared" si="2"/>
        <v>2333333.3333333335</v>
      </c>
      <c r="K7" s="147">
        <f t="shared" si="2"/>
        <v>2333333.3333333335</v>
      </c>
      <c r="L7" s="147">
        <f t="shared" si="2"/>
        <v>777777.77777777787</v>
      </c>
      <c r="M7" s="147">
        <f t="shared" si="2"/>
        <v>0</v>
      </c>
      <c r="N7" s="147">
        <f t="shared" si="2"/>
        <v>0</v>
      </c>
    </row>
    <row r="8" spans="1:15">
      <c r="A8" s="162"/>
      <c r="B8" s="248"/>
      <c r="C8" s="255"/>
      <c r="D8" s="161"/>
      <c r="E8" s="115"/>
      <c r="F8" s="118"/>
      <c r="G8" s="118"/>
      <c r="H8" s="118"/>
      <c r="I8" s="118"/>
      <c r="J8" s="118"/>
      <c r="K8" s="115"/>
      <c r="L8" s="115"/>
      <c r="M8" s="115"/>
      <c r="N8" s="164"/>
    </row>
    <row r="9" spans="1:15">
      <c r="A9" s="162"/>
      <c r="B9" s="249"/>
      <c r="C9" s="255"/>
      <c r="D9" s="161" t="s">
        <v>256</v>
      </c>
      <c r="E9" s="119">
        <f>SUM(F9:N9)</f>
        <v>30</v>
      </c>
      <c r="F9" s="116">
        <v>8</v>
      </c>
      <c r="G9" s="116">
        <v>12</v>
      </c>
      <c r="H9" s="116">
        <v>10</v>
      </c>
      <c r="I9" s="116">
        <v>0</v>
      </c>
      <c r="J9" s="116">
        <v>0</v>
      </c>
      <c r="K9" s="116">
        <v>0</v>
      </c>
      <c r="L9" s="117">
        <v>0</v>
      </c>
      <c r="M9" s="496">
        <v>0</v>
      </c>
      <c r="N9" s="497">
        <v>0</v>
      </c>
      <c r="O9" s="113">
        <v>12</v>
      </c>
    </row>
    <row r="10" spans="1:15">
      <c r="A10" s="162"/>
      <c r="B10" s="119"/>
      <c r="C10" s="255"/>
      <c r="D10" s="161" t="s">
        <v>258</v>
      </c>
      <c r="E10" s="119">
        <v>0</v>
      </c>
      <c r="F10" s="118"/>
      <c r="G10" s="118"/>
      <c r="H10" s="118"/>
      <c r="I10" s="118"/>
      <c r="J10" s="118"/>
      <c r="K10" s="115"/>
      <c r="L10" s="115"/>
      <c r="M10" s="115"/>
      <c r="N10" s="164"/>
    </row>
    <row r="11" spans="1:15">
      <c r="A11" s="162"/>
      <c r="B11" s="248"/>
      <c r="C11" s="255"/>
      <c r="D11" s="161"/>
      <c r="E11" s="115"/>
      <c r="F11" s="147"/>
      <c r="G11" s="147"/>
      <c r="H11" s="147"/>
      <c r="I11" s="147"/>
      <c r="J11" s="147"/>
      <c r="K11" s="120"/>
      <c r="L11" s="120"/>
      <c r="M11" s="115"/>
      <c r="N11" s="164"/>
    </row>
    <row r="12" spans="1:15">
      <c r="A12" s="162" t="s">
        <v>255</v>
      </c>
      <c r="B12" s="249">
        <v>5000000</v>
      </c>
      <c r="C12" s="255"/>
      <c r="D12" s="161" t="s">
        <v>259</v>
      </c>
      <c r="E12" s="115"/>
      <c r="F12" s="147">
        <f t="shared" ref="F12:N12" si="3">IF(F9&lt;&gt;0,$B$12/$B$13,0)</f>
        <v>2000000</v>
      </c>
      <c r="G12" s="147">
        <f t="shared" si="3"/>
        <v>2000000</v>
      </c>
      <c r="H12" s="147">
        <f t="shared" si="3"/>
        <v>2000000</v>
      </c>
      <c r="I12" s="147">
        <f t="shared" si="3"/>
        <v>0</v>
      </c>
      <c r="J12" s="147">
        <f t="shared" si="3"/>
        <v>0</v>
      </c>
      <c r="K12" s="147">
        <f t="shared" si="3"/>
        <v>0</v>
      </c>
      <c r="L12" s="147">
        <f t="shared" si="3"/>
        <v>0</v>
      </c>
      <c r="M12" s="147">
        <f t="shared" si="3"/>
        <v>0</v>
      </c>
      <c r="N12" s="166">
        <f t="shared" si="3"/>
        <v>0</v>
      </c>
    </row>
    <row r="13" spans="1:15">
      <c r="A13" s="162" t="s">
        <v>260</v>
      </c>
      <c r="B13" s="290">
        <f>E9/12</f>
        <v>2.5</v>
      </c>
      <c r="C13" s="255"/>
      <c r="D13" s="161" t="s">
        <v>261</v>
      </c>
      <c r="E13" s="115"/>
      <c r="F13" s="147">
        <f>F12/12*F3</f>
        <v>1333333.3333333333</v>
      </c>
      <c r="G13" s="147">
        <f t="shared" ref="G13:N13" si="4">G12/12*G9</f>
        <v>2000000</v>
      </c>
      <c r="H13" s="147">
        <f>H12/12*H9</f>
        <v>1666666.6666666665</v>
      </c>
      <c r="I13" s="147">
        <f t="shared" si="4"/>
        <v>0</v>
      </c>
      <c r="J13" s="147">
        <f t="shared" si="4"/>
        <v>0</v>
      </c>
      <c r="K13" s="147">
        <f t="shared" si="4"/>
        <v>0</v>
      </c>
      <c r="L13" s="147">
        <f t="shared" si="4"/>
        <v>0</v>
      </c>
      <c r="M13" s="147">
        <f t="shared" si="4"/>
        <v>0</v>
      </c>
      <c r="N13" s="166">
        <f t="shared" si="4"/>
        <v>0</v>
      </c>
    </row>
    <row r="14" spans="1:15">
      <c r="A14" s="162"/>
      <c r="B14" s="248"/>
      <c r="C14" s="255"/>
      <c r="D14" s="161"/>
      <c r="E14" s="115"/>
      <c r="F14" s="118"/>
      <c r="G14" s="118"/>
      <c r="H14" s="118"/>
      <c r="I14" s="118"/>
      <c r="J14" s="118"/>
      <c r="K14" s="115"/>
      <c r="L14" s="115"/>
      <c r="M14" s="120"/>
      <c r="N14" s="165"/>
    </row>
    <row r="15" spans="1:15">
      <c r="A15" s="162"/>
      <c r="B15" s="248"/>
      <c r="C15" s="255"/>
      <c r="D15" s="161" t="s">
        <v>256</v>
      </c>
      <c r="E15" s="119">
        <f>SUM(F15:N15)</f>
        <v>48</v>
      </c>
      <c r="F15" s="116">
        <v>8</v>
      </c>
      <c r="G15" s="116">
        <v>12</v>
      </c>
      <c r="H15" s="116">
        <v>12</v>
      </c>
      <c r="I15" s="116">
        <v>12</v>
      </c>
      <c r="J15" s="116">
        <v>4</v>
      </c>
      <c r="K15" s="117">
        <v>0</v>
      </c>
      <c r="L15" s="117">
        <v>0</v>
      </c>
      <c r="M15" s="117">
        <v>0</v>
      </c>
      <c r="N15" s="163">
        <v>0</v>
      </c>
    </row>
    <row r="16" spans="1:15">
      <c r="A16" s="162"/>
      <c r="B16" s="248"/>
      <c r="C16" s="255"/>
      <c r="D16" s="161" t="s">
        <v>258</v>
      </c>
      <c r="E16" s="119">
        <f>E15-SUM(F15:N15)</f>
        <v>0</v>
      </c>
      <c r="F16" s="118"/>
      <c r="G16" s="118"/>
      <c r="H16" s="118"/>
      <c r="I16" s="118"/>
      <c r="J16" s="118"/>
      <c r="K16" s="115"/>
      <c r="L16" s="115"/>
      <c r="M16" s="115"/>
      <c r="N16" s="164"/>
    </row>
    <row r="17" spans="1:14">
      <c r="A17" s="162"/>
      <c r="B17" s="248"/>
      <c r="C17" s="255"/>
      <c r="D17" s="161"/>
      <c r="E17" s="119"/>
      <c r="F17" s="118"/>
      <c r="G17" s="118"/>
      <c r="H17" s="118"/>
      <c r="I17" s="118"/>
      <c r="J17" s="118"/>
      <c r="K17" s="115"/>
      <c r="L17" s="115"/>
      <c r="M17" s="115"/>
      <c r="N17" s="164"/>
    </row>
    <row r="18" spans="1:14">
      <c r="A18" s="162" t="s">
        <v>255</v>
      </c>
      <c r="B18" s="249">
        <v>15000000</v>
      </c>
      <c r="C18" s="255"/>
      <c r="D18" s="161" t="s">
        <v>259</v>
      </c>
      <c r="E18" s="288"/>
      <c r="F18" s="147">
        <f>IF(F15&lt;&gt;0,$B$18/$B$19,0)</f>
        <v>3750000</v>
      </c>
      <c r="G18" s="520">
        <f t="shared" ref="G18:N18" si="5">IF(G15&lt;&gt;0,$B$18/$B$19,0)</f>
        <v>3750000</v>
      </c>
      <c r="H18" s="520">
        <f t="shared" si="5"/>
        <v>3750000</v>
      </c>
      <c r="I18" s="520">
        <f t="shared" si="5"/>
        <v>3750000</v>
      </c>
      <c r="J18" s="520">
        <f t="shared" si="5"/>
        <v>3750000</v>
      </c>
      <c r="K18" s="520">
        <f t="shared" si="5"/>
        <v>0</v>
      </c>
      <c r="L18" s="147">
        <f t="shared" si="5"/>
        <v>0</v>
      </c>
      <c r="M18" s="147">
        <f t="shared" si="5"/>
        <v>0</v>
      </c>
      <c r="N18" s="147">
        <f t="shared" si="5"/>
        <v>0</v>
      </c>
    </row>
    <row r="19" spans="1:14">
      <c r="A19" s="162" t="s">
        <v>260</v>
      </c>
      <c r="B19" s="295">
        <f>E15/12</f>
        <v>4</v>
      </c>
      <c r="C19" s="255"/>
      <c r="D19" s="161" t="s">
        <v>261</v>
      </c>
      <c r="E19" s="115"/>
      <c r="F19" s="147">
        <f>F18/12*F15</f>
        <v>2500000</v>
      </c>
      <c r="G19" s="147">
        <f t="shared" ref="G19:N19" si="6">G18/12*G15</f>
        <v>3750000</v>
      </c>
      <c r="H19" s="147">
        <f t="shared" si="6"/>
        <v>3750000</v>
      </c>
      <c r="I19" s="147">
        <f t="shared" si="6"/>
        <v>3750000</v>
      </c>
      <c r="J19" s="147">
        <f t="shared" si="6"/>
        <v>1250000</v>
      </c>
      <c r="K19" s="147">
        <f t="shared" si="6"/>
        <v>0</v>
      </c>
      <c r="L19" s="147">
        <f t="shared" si="6"/>
        <v>0</v>
      </c>
      <c r="M19" s="147">
        <f t="shared" si="6"/>
        <v>0</v>
      </c>
      <c r="N19" s="147">
        <f t="shared" si="6"/>
        <v>0</v>
      </c>
    </row>
    <row r="20" spans="1:14">
      <c r="A20" s="162"/>
      <c r="B20" s="248"/>
      <c r="C20" s="255"/>
      <c r="D20" s="161"/>
      <c r="E20" s="115"/>
      <c r="F20" s="118"/>
      <c r="G20" s="118"/>
      <c r="H20" s="118"/>
      <c r="I20" s="118"/>
      <c r="J20" s="118"/>
      <c r="K20" s="115"/>
      <c r="L20" s="115"/>
      <c r="M20" s="120"/>
      <c r="N20" s="165"/>
    </row>
    <row r="21" spans="1:14">
      <c r="A21" s="162" t="s">
        <v>262</v>
      </c>
      <c r="B21" s="521">
        <f>+'Rent Calculation'!F21</f>
        <v>9515</v>
      </c>
      <c r="C21" s="522"/>
      <c r="D21" s="523" t="s">
        <v>263</v>
      </c>
      <c r="E21" s="524"/>
      <c r="F21" s="147">
        <f>B3</f>
        <v>34000000</v>
      </c>
      <c r="G21" s="147">
        <f>F22</f>
        <v>28611111.111111112</v>
      </c>
      <c r="H21" s="147">
        <f t="shared" ref="H21:K21" si="7">G22</f>
        <v>20527777.777777776</v>
      </c>
      <c r="I21" s="147">
        <f t="shared" si="7"/>
        <v>12777777.777777776</v>
      </c>
      <c r="J21" s="147">
        <f t="shared" si="7"/>
        <v>6694444.4444444422</v>
      </c>
      <c r="K21" s="147">
        <f t="shared" si="7"/>
        <v>3111111.1111111087</v>
      </c>
      <c r="L21" s="120">
        <f>K22</f>
        <v>777777.77777777519</v>
      </c>
      <c r="M21" s="120">
        <f t="shared" ref="M21:N21" si="8">L22</f>
        <v>-2.6775524020195007E-9</v>
      </c>
      <c r="N21" s="165">
        <f t="shared" si="8"/>
        <v>-2.6775524020195007E-9</v>
      </c>
    </row>
    <row r="22" spans="1:14">
      <c r="A22" s="162" t="s">
        <v>264</v>
      </c>
      <c r="B22" s="250">
        <f>+B21/10.764</f>
        <v>883.96506874767749</v>
      </c>
      <c r="C22" s="255"/>
      <c r="D22" s="161" t="s">
        <v>265</v>
      </c>
      <c r="E22" s="115"/>
      <c r="F22" s="147">
        <f>F21-F27</f>
        <v>28611111.111111112</v>
      </c>
      <c r="G22" s="147">
        <f>G21-G27</f>
        <v>20527777.777777776</v>
      </c>
      <c r="H22" s="147">
        <f t="shared" ref="H22:K22" si="9">H21-H27</f>
        <v>12777777.777777776</v>
      </c>
      <c r="I22" s="147">
        <f t="shared" si="9"/>
        <v>6694444.4444444422</v>
      </c>
      <c r="J22" s="147">
        <f t="shared" si="9"/>
        <v>3111111.1111111087</v>
      </c>
      <c r="K22" s="147">
        <f t="shared" si="9"/>
        <v>777777.77777777519</v>
      </c>
      <c r="L22" s="147">
        <f t="shared" ref="L22:N22" si="10">L21-L27</f>
        <v>-2.6775524020195007E-9</v>
      </c>
      <c r="M22" s="147">
        <f t="shared" si="10"/>
        <v>-2.6775524020195007E-9</v>
      </c>
      <c r="N22" s="166">
        <f t="shared" si="10"/>
        <v>-2.6775524020195007E-9</v>
      </c>
    </row>
    <row r="23" spans="1:14">
      <c r="A23" s="162" t="s">
        <v>266</v>
      </c>
      <c r="B23" s="416" t="str">
        <f>F2</f>
        <v>2026</v>
      </c>
      <c r="C23" s="255"/>
      <c r="D23" s="161" t="s">
        <v>267</v>
      </c>
      <c r="E23" s="115"/>
      <c r="F23" s="147">
        <f>(F21+F22)/2</f>
        <v>31305555.555555556</v>
      </c>
      <c r="G23" s="147">
        <f>(G21+G22)/2</f>
        <v>24569444.444444444</v>
      </c>
      <c r="H23" s="147">
        <f t="shared" ref="H23:N23" si="11">(H21+H22)/2</f>
        <v>16652777.777777776</v>
      </c>
      <c r="I23" s="147">
        <f>(I21+I22)/2</f>
        <v>9736111.1111111082</v>
      </c>
      <c r="J23" s="147">
        <f t="shared" si="11"/>
        <v>4902777.7777777752</v>
      </c>
      <c r="K23" s="120">
        <f t="shared" si="11"/>
        <v>1944444.4444444419</v>
      </c>
      <c r="L23" s="120">
        <f t="shared" si="11"/>
        <v>388888.88888888626</v>
      </c>
      <c r="M23" s="120">
        <f t="shared" si="11"/>
        <v>-2.6775524020195007E-9</v>
      </c>
      <c r="N23" s="165">
        <f t="shared" si="11"/>
        <v>-2.6775524020195007E-9</v>
      </c>
    </row>
    <row r="24" spans="1:14">
      <c r="A24" s="162"/>
      <c r="B24" s="248"/>
      <c r="C24" s="255"/>
      <c r="D24" s="161"/>
      <c r="E24" s="115"/>
      <c r="F24" s="147"/>
      <c r="G24" s="147"/>
      <c r="H24" s="147"/>
      <c r="I24" s="147"/>
      <c r="J24" s="147"/>
      <c r="K24" s="120"/>
      <c r="L24" s="120"/>
      <c r="M24" s="120"/>
      <c r="N24" s="165"/>
    </row>
    <row r="25" spans="1:14">
      <c r="A25" s="162"/>
      <c r="B25" s="248"/>
      <c r="C25" s="255"/>
      <c r="D25" s="161"/>
      <c r="E25" s="115"/>
      <c r="F25" s="147"/>
      <c r="G25" s="147"/>
      <c r="H25" s="147"/>
      <c r="I25" s="147"/>
      <c r="J25" s="147"/>
      <c r="K25" s="120"/>
      <c r="L25" s="120"/>
      <c r="M25" s="120"/>
      <c r="N25" s="165"/>
    </row>
    <row r="26" spans="1:14">
      <c r="A26" s="162"/>
      <c r="B26" s="248"/>
      <c r="C26" s="255"/>
      <c r="D26" s="161" t="s">
        <v>268</v>
      </c>
      <c r="E26" s="119">
        <f>SUM(F26:N26)</f>
        <v>5621508.333333333</v>
      </c>
      <c r="F26" s="147">
        <f>F23*$B$4/12*F3</f>
        <v>1483883.3333333333</v>
      </c>
      <c r="G26" s="147">
        <f>G23*$B$4/12*G3</f>
        <v>1746887.5</v>
      </c>
      <c r="H26" s="147">
        <f>H23*$B$4/12*H3</f>
        <v>1184012.4999999998</v>
      </c>
      <c r="I26" s="147">
        <f>I23*$B$4/12*I3</f>
        <v>692237.49999999977</v>
      </c>
      <c r="J26" s="147">
        <f>J23*$B$4</f>
        <v>348587.49999999983</v>
      </c>
      <c r="K26" s="147">
        <f>K23*$B$4</f>
        <v>138249.99999999983</v>
      </c>
      <c r="L26" s="120">
        <f>L23*$B$4</f>
        <v>27649.999999999811</v>
      </c>
      <c r="M26" s="120">
        <f>M23*$B$4</f>
        <v>-1.903739757835865E-10</v>
      </c>
      <c r="N26" s="165">
        <f>N23*$B$4</f>
        <v>-1.903739757835865E-10</v>
      </c>
    </row>
    <row r="27" spans="1:14">
      <c r="A27" s="162" t="s">
        <v>269</v>
      </c>
      <c r="B27" s="251">
        <f>E30*E9</f>
        <v>16508961.805555558</v>
      </c>
      <c r="C27" s="255"/>
      <c r="D27" s="161" t="s">
        <v>321</v>
      </c>
      <c r="E27" s="119">
        <f>SUM(F27:N27)</f>
        <v>34000000</v>
      </c>
      <c r="F27" s="147">
        <f>F7+F13+F19</f>
        <v>5388888.888888889</v>
      </c>
      <c r="G27" s="147">
        <f t="shared" ref="G27:N27" si="12">G7+G13+G19</f>
        <v>8083333.333333334</v>
      </c>
      <c r="H27" s="147">
        <f t="shared" si="12"/>
        <v>7750000</v>
      </c>
      <c r="I27" s="147">
        <f t="shared" si="12"/>
        <v>6083333.333333334</v>
      </c>
      <c r="J27" s="147">
        <f t="shared" si="12"/>
        <v>3583333.3333333335</v>
      </c>
      <c r="K27" s="147">
        <f t="shared" si="12"/>
        <v>2333333.3333333335</v>
      </c>
      <c r="L27" s="147">
        <f t="shared" si="12"/>
        <v>777777.77777777787</v>
      </c>
      <c r="M27" s="147">
        <f t="shared" si="12"/>
        <v>0</v>
      </c>
      <c r="N27" s="147">
        <f t="shared" si="12"/>
        <v>0</v>
      </c>
    </row>
    <row r="28" spans="1:14">
      <c r="A28" s="162"/>
      <c r="B28" s="248"/>
      <c r="C28" s="255"/>
      <c r="D28" s="161"/>
      <c r="E28" s="115"/>
      <c r="F28" s="147"/>
      <c r="G28" s="147"/>
      <c r="H28" s="147"/>
      <c r="I28" s="147"/>
      <c r="J28" s="147"/>
      <c r="K28" s="120"/>
      <c r="L28" s="120"/>
      <c r="M28" s="120"/>
      <c r="N28" s="165"/>
    </row>
    <row r="29" spans="1:14">
      <c r="A29" s="162" t="s">
        <v>271</v>
      </c>
      <c r="B29" s="252">
        <f>+E30/B21</f>
        <v>57.834863568245076</v>
      </c>
      <c r="C29" s="255"/>
      <c r="D29" s="161"/>
      <c r="E29" s="115"/>
      <c r="F29" s="147">
        <f t="shared" ref="F29:N29" si="13">SUM(F26:F28)</f>
        <v>6872772.222222222</v>
      </c>
      <c r="G29" s="147">
        <f t="shared" si="13"/>
        <v>9830220.833333334</v>
      </c>
      <c r="H29" s="147">
        <f t="shared" si="13"/>
        <v>8934012.5</v>
      </c>
      <c r="I29" s="147">
        <f t="shared" si="13"/>
        <v>6775570.833333334</v>
      </c>
      <c r="J29" s="147">
        <f t="shared" si="13"/>
        <v>3931920.8333333335</v>
      </c>
      <c r="K29" s="147">
        <f t="shared" si="13"/>
        <v>2471583.3333333335</v>
      </c>
      <c r="L29" s="147">
        <f t="shared" si="13"/>
        <v>805427.77777777764</v>
      </c>
      <c r="M29" s="147">
        <f t="shared" si="13"/>
        <v>-1.903739757835865E-10</v>
      </c>
      <c r="N29" s="166">
        <f t="shared" si="13"/>
        <v>-1.903739757835865E-10</v>
      </c>
    </row>
    <row r="30" spans="1:14" s="533" customFormat="1" ht="13" thickBot="1">
      <c r="A30" s="525" t="s">
        <v>272</v>
      </c>
      <c r="B30" s="526">
        <f>+E30/B22</f>
        <v>622.53447144859001</v>
      </c>
      <c r="C30" s="527"/>
      <c r="D30" s="528" t="s">
        <v>273</v>
      </c>
      <c r="E30" s="529">
        <f>IFERROR(SUM(F26:N27)/E3,0)</f>
        <v>550298.72685185191</v>
      </c>
      <c r="F30" s="530"/>
      <c r="G30" s="530"/>
      <c r="H30" s="530"/>
      <c r="I30" s="530"/>
      <c r="J30" s="530"/>
      <c r="K30" s="531"/>
      <c r="L30" s="531"/>
      <c r="M30" s="531"/>
      <c r="N30" s="532"/>
    </row>
    <row r="31" spans="1:14">
      <c r="F31" s="349"/>
      <c r="G31" s="349"/>
      <c r="H31" s="349"/>
      <c r="I31" s="349"/>
    </row>
    <row r="32" spans="1:14" outlineLevel="1"/>
    <row r="33" spans="1:15" outlineLevel="1">
      <c r="A33" s="257"/>
      <c r="B33" s="357"/>
    </row>
    <row r="34" spans="1:15" ht="13" outlineLevel="1" thickBot="1">
      <c r="F34" s="349"/>
      <c r="G34" s="349"/>
      <c r="H34" s="349"/>
      <c r="I34" s="349"/>
    </row>
    <row r="35" spans="1:15" ht="16" outlineLevel="1" thickBot="1">
      <c r="A35" s="702"/>
      <c r="B35" s="703"/>
      <c r="C35" s="703"/>
      <c r="D35" s="703"/>
      <c r="E35" s="703"/>
      <c r="F35" s="703"/>
      <c r="G35" s="703"/>
      <c r="H35" s="703"/>
      <c r="I35" s="703"/>
      <c r="J35" s="703"/>
      <c r="K35" s="703"/>
      <c r="L35" s="703"/>
      <c r="M35" s="703"/>
      <c r="N35" s="703"/>
      <c r="O35" s="704"/>
    </row>
    <row r="36" spans="1:15" outlineLevel="1">
      <c r="A36" s="297" t="s">
        <v>253</v>
      </c>
      <c r="B36" s="298" t="s">
        <v>40</v>
      </c>
      <c r="C36" s="254"/>
      <c r="D36" s="299" t="s">
        <v>232</v>
      </c>
      <c r="E36" s="300"/>
      <c r="F36" s="262" t="str">
        <f>F2</f>
        <v>2026</v>
      </c>
      <c r="G36" s="172">
        <f t="shared" ref="G36:O36" si="14">F36+1</f>
        <v>2027</v>
      </c>
      <c r="H36" s="172">
        <f t="shared" si="14"/>
        <v>2028</v>
      </c>
      <c r="I36" s="172">
        <f t="shared" si="14"/>
        <v>2029</v>
      </c>
      <c r="J36" s="172">
        <f t="shared" si="14"/>
        <v>2030</v>
      </c>
      <c r="K36" s="301">
        <f t="shared" si="14"/>
        <v>2031</v>
      </c>
      <c r="L36" s="301">
        <f t="shared" si="14"/>
        <v>2032</v>
      </c>
      <c r="M36" s="300">
        <f t="shared" si="14"/>
        <v>2033</v>
      </c>
      <c r="N36" s="300">
        <f t="shared" si="14"/>
        <v>2034</v>
      </c>
      <c r="O36" s="302">
        <f t="shared" si="14"/>
        <v>2035</v>
      </c>
    </row>
    <row r="37" spans="1:15" outlineLevel="1">
      <c r="A37" s="303" t="s">
        <v>255</v>
      </c>
      <c r="B37" s="247">
        <f>SUM(F38:O38)</f>
        <v>43000000</v>
      </c>
      <c r="C37" s="255"/>
      <c r="D37" s="305"/>
      <c r="E37" s="306"/>
      <c r="F37" s="118"/>
      <c r="G37" s="118"/>
      <c r="H37" s="118"/>
      <c r="I37" s="118"/>
      <c r="J37" s="118"/>
      <c r="K37" s="306"/>
      <c r="L37" s="306"/>
      <c r="M37" s="306"/>
      <c r="N37" s="306"/>
      <c r="O37" s="307"/>
    </row>
    <row r="38" spans="1:15" outlineLevel="1">
      <c r="A38" s="303" t="s">
        <v>257</v>
      </c>
      <c r="B38" s="308">
        <f>B4</f>
        <v>7.1099999999999997E-2</v>
      </c>
      <c r="C38" s="255"/>
      <c r="D38" s="309" t="s">
        <v>274</v>
      </c>
      <c r="E38" s="306"/>
      <c r="F38" s="120">
        <v>14000000</v>
      </c>
      <c r="G38" s="120">
        <v>12000000</v>
      </c>
      <c r="H38" s="120">
        <v>5000000</v>
      </c>
      <c r="I38" s="120">
        <v>6000000</v>
      </c>
      <c r="J38" s="259">
        <v>6000000</v>
      </c>
      <c r="K38" s="259"/>
      <c r="L38" s="259"/>
      <c r="M38" s="259"/>
      <c r="N38" s="259"/>
      <c r="O38" s="307"/>
    </row>
    <row r="39" spans="1:15" outlineLevel="1">
      <c r="A39" s="303"/>
      <c r="B39" s="310"/>
      <c r="C39" s="255"/>
      <c r="D39" s="305"/>
      <c r="E39" s="306"/>
      <c r="F39" s="306"/>
      <c r="G39" s="306"/>
      <c r="H39" s="306"/>
      <c r="I39" s="306"/>
      <c r="J39" s="306"/>
      <c r="K39" s="306"/>
      <c r="L39" s="306"/>
      <c r="M39" s="306"/>
      <c r="N39" s="306"/>
      <c r="O39" s="307"/>
    </row>
    <row r="40" spans="1:15" outlineLevel="1">
      <c r="A40" s="303" t="s">
        <v>255</v>
      </c>
      <c r="B40" s="311">
        <f>+F38</f>
        <v>14000000</v>
      </c>
      <c r="C40" s="255"/>
      <c r="D40" s="305" t="s">
        <v>256</v>
      </c>
      <c r="E40" s="315">
        <f>SUM(F40:O40)</f>
        <v>72</v>
      </c>
      <c r="F40" s="116">
        <v>8</v>
      </c>
      <c r="G40" s="116">
        <v>12</v>
      </c>
      <c r="H40" s="116">
        <v>12</v>
      </c>
      <c r="I40" s="116">
        <v>12</v>
      </c>
      <c r="J40" s="116">
        <v>12</v>
      </c>
      <c r="K40" s="116">
        <v>12</v>
      </c>
      <c r="L40" s="117">
        <v>4</v>
      </c>
      <c r="M40" s="312"/>
      <c r="N40" s="312"/>
      <c r="O40" s="313"/>
    </row>
    <row r="41" spans="1:15" outlineLevel="1">
      <c r="A41" s="303" t="s">
        <v>260</v>
      </c>
      <c r="B41" s="327">
        <f>E40/12</f>
        <v>6</v>
      </c>
      <c r="C41" s="255"/>
      <c r="D41" s="305" t="s">
        <v>258</v>
      </c>
      <c r="E41" s="315">
        <f>E40-SUM(F40:N40)</f>
        <v>0</v>
      </c>
      <c r="F41" s="118"/>
      <c r="G41" s="118"/>
      <c r="H41" s="118"/>
      <c r="I41" s="118"/>
      <c r="J41" s="118"/>
      <c r="K41" s="306"/>
      <c r="L41" s="306"/>
      <c r="M41" s="306"/>
      <c r="N41" s="306"/>
      <c r="O41" s="307"/>
    </row>
    <row r="42" spans="1:15" outlineLevel="1">
      <c r="A42" s="303"/>
      <c r="B42" s="314"/>
      <c r="C42" s="255"/>
      <c r="D42" s="305" t="s">
        <v>259</v>
      </c>
      <c r="E42" s="306"/>
      <c r="F42" s="118">
        <f t="shared" ref="F42:O42" si="15">IF(F40&lt;&gt;0,$F$38/$B$41,0)</f>
        <v>2333333.3333333335</v>
      </c>
      <c r="G42" s="118">
        <f t="shared" si="15"/>
        <v>2333333.3333333335</v>
      </c>
      <c r="H42" s="118">
        <f t="shared" si="15"/>
        <v>2333333.3333333335</v>
      </c>
      <c r="I42" s="118">
        <f t="shared" si="15"/>
        <v>2333333.3333333335</v>
      </c>
      <c r="J42" s="118">
        <f t="shared" si="15"/>
        <v>2333333.3333333335</v>
      </c>
      <c r="K42" s="118">
        <f t="shared" si="15"/>
        <v>2333333.3333333335</v>
      </c>
      <c r="L42" s="118">
        <f t="shared" si="15"/>
        <v>2333333.3333333335</v>
      </c>
      <c r="M42" s="118">
        <f t="shared" si="15"/>
        <v>0</v>
      </c>
      <c r="N42" s="118">
        <f t="shared" si="15"/>
        <v>0</v>
      </c>
      <c r="O42" s="118">
        <f t="shared" si="15"/>
        <v>0</v>
      </c>
    </row>
    <row r="43" spans="1:15" outlineLevel="1">
      <c r="A43" s="303"/>
      <c r="B43" s="314"/>
      <c r="C43" s="255"/>
      <c r="D43" s="305" t="s">
        <v>261</v>
      </c>
      <c r="E43" s="306"/>
      <c r="F43" s="118">
        <f>F42/12*F40</f>
        <v>1555555.5555555557</v>
      </c>
      <c r="G43" s="118">
        <f t="shared" ref="G43:O43" si="16">G42/12*G40</f>
        <v>2333333.3333333335</v>
      </c>
      <c r="H43" s="118">
        <f t="shared" si="16"/>
        <v>2333333.3333333335</v>
      </c>
      <c r="I43" s="118">
        <f t="shared" si="16"/>
        <v>2333333.3333333335</v>
      </c>
      <c r="J43" s="118">
        <f t="shared" si="16"/>
        <v>2333333.3333333335</v>
      </c>
      <c r="K43" s="118">
        <f t="shared" si="16"/>
        <v>2333333.3333333335</v>
      </c>
      <c r="L43" s="118">
        <f t="shared" si="16"/>
        <v>777777.77777777787</v>
      </c>
      <c r="M43" s="118">
        <f t="shared" si="16"/>
        <v>0</v>
      </c>
      <c r="N43" s="118">
        <f t="shared" si="16"/>
        <v>0</v>
      </c>
      <c r="O43" s="118">
        <f t="shared" si="16"/>
        <v>0</v>
      </c>
    </row>
    <row r="44" spans="1:15" outlineLevel="1">
      <c r="A44" s="303"/>
      <c r="B44" s="310"/>
      <c r="C44" s="255"/>
      <c r="D44" s="305"/>
      <c r="E44" s="306"/>
      <c r="F44" s="306"/>
      <c r="G44" s="306"/>
      <c r="H44" s="306"/>
      <c r="I44" s="306"/>
      <c r="J44" s="306"/>
      <c r="K44" s="306"/>
      <c r="L44" s="306"/>
      <c r="M44" s="306"/>
      <c r="N44" s="306"/>
      <c r="O44" s="307"/>
    </row>
    <row r="45" spans="1:15" outlineLevel="1">
      <c r="A45" s="303" t="s">
        <v>255</v>
      </c>
      <c r="B45" s="311">
        <f>+G38</f>
        <v>12000000</v>
      </c>
      <c r="C45" s="255"/>
      <c r="D45" s="305" t="s">
        <v>256</v>
      </c>
      <c r="E45" s="315">
        <f>SUM(F45:O45)</f>
        <v>60</v>
      </c>
      <c r="F45" s="116"/>
      <c r="G45" s="116">
        <v>8</v>
      </c>
      <c r="H45" s="116">
        <v>12</v>
      </c>
      <c r="I45" s="116">
        <v>12</v>
      </c>
      <c r="J45" s="116">
        <v>12</v>
      </c>
      <c r="K45" s="116">
        <v>12</v>
      </c>
      <c r="L45" s="312">
        <v>4</v>
      </c>
      <c r="M45" s="312"/>
      <c r="N45" s="312"/>
      <c r="O45" s="313"/>
    </row>
    <row r="46" spans="1:15" outlineLevel="1">
      <c r="A46" s="303" t="s">
        <v>260</v>
      </c>
      <c r="B46" s="327">
        <f>E45/12</f>
        <v>5</v>
      </c>
      <c r="C46" s="255"/>
      <c r="D46" s="305" t="s">
        <v>258</v>
      </c>
      <c r="E46" s="315">
        <f>E45-SUM(F45:N45)</f>
        <v>0</v>
      </c>
      <c r="F46" s="118"/>
      <c r="G46" s="118"/>
      <c r="H46" s="118"/>
      <c r="I46" s="118"/>
      <c r="J46" s="118"/>
      <c r="K46" s="306"/>
      <c r="L46" s="306"/>
      <c r="M46" s="306"/>
      <c r="N46" s="306"/>
      <c r="O46" s="307"/>
    </row>
    <row r="47" spans="1:15" outlineLevel="1">
      <c r="A47" s="303"/>
      <c r="B47" s="310"/>
      <c r="C47" s="255"/>
      <c r="D47" s="305" t="s">
        <v>259</v>
      </c>
      <c r="E47" s="306"/>
      <c r="F47" s="118"/>
      <c r="G47" s="118">
        <f>IF(G45&lt;&gt;0,$G$38/($E$45/12),0)</f>
        <v>2400000</v>
      </c>
      <c r="H47" s="118">
        <f t="shared" ref="H47:O47" si="17">IF(H45&lt;&gt;0,$G$38/($E$45/12),0)</f>
        <v>2400000</v>
      </c>
      <c r="I47" s="118">
        <f t="shared" si="17"/>
        <v>2400000</v>
      </c>
      <c r="J47" s="118">
        <f t="shared" si="17"/>
        <v>2400000</v>
      </c>
      <c r="K47" s="118">
        <f t="shared" si="17"/>
        <v>2400000</v>
      </c>
      <c r="L47" s="118">
        <f t="shared" si="17"/>
        <v>2400000</v>
      </c>
      <c r="M47" s="118">
        <f t="shared" si="17"/>
        <v>0</v>
      </c>
      <c r="N47" s="118">
        <f t="shared" si="17"/>
        <v>0</v>
      </c>
      <c r="O47" s="118">
        <f t="shared" si="17"/>
        <v>0</v>
      </c>
    </row>
    <row r="48" spans="1:15" outlineLevel="1">
      <c r="A48" s="303"/>
      <c r="B48" s="251"/>
      <c r="C48" s="255"/>
      <c r="D48" s="305" t="s">
        <v>261</v>
      </c>
      <c r="E48" s="306"/>
      <c r="F48" s="118"/>
      <c r="G48" s="118">
        <f>G47/12*G45</f>
        <v>1600000</v>
      </c>
      <c r="H48" s="118">
        <f>H47/12*H45</f>
        <v>2400000</v>
      </c>
      <c r="I48" s="118">
        <f>I47/12*I45</f>
        <v>2400000</v>
      </c>
      <c r="J48" s="118">
        <f t="shared" ref="J48:K48" si="18">J47/12*J45</f>
        <v>2400000</v>
      </c>
      <c r="K48" s="118">
        <f t="shared" si="18"/>
        <v>2400000</v>
      </c>
      <c r="L48" s="118">
        <f t="shared" ref="L48:O48" si="19">L47/12*L45</f>
        <v>800000</v>
      </c>
      <c r="M48" s="118">
        <f t="shared" si="19"/>
        <v>0</v>
      </c>
      <c r="N48" s="118">
        <f t="shared" si="19"/>
        <v>0</v>
      </c>
      <c r="O48" s="118">
        <f t="shared" si="19"/>
        <v>0</v>
      </c>
    </row>
    <row r="49" spans="1:15" outlineLevel="1">
      <c r="A49" s="303"/>
      <c r="B49" s="310"/>
      <c r="C49" s="255"/>
      <c r="D49" s="305"/>
      <c r="E49" s="306"/>
      <c r="F49" s="118"/>
      <c r="G49" s="118"/>
      <c r="H49" s="118"/>
      <c r="I49" s="118"/>
      <c r="J49" s="118"/>
      <c r="K49" s="317"/>
      <c r="L49" s="317"/>
      <c r="M49" s="306"/>
      <c r="N49" s="306"/>
      <c r="O49" s="307"/>
    </row>
    <row r="50" spans="1:15" outlineLevel="1">
      <c r="A50" s="303" t="s">
        <v>255</v>
      </c>
      <c r="B50" s="311">
        <f>+H38</f>
        <v>5000000</v>
      </c>
      <c r="C50" s="255"/>
      <c r="D50" s="305" t="s">
        <v>256</v>
      </c>
      <c r="E50" s="315">
        <f>SUM(F50:O50)</f>
        <v>48</v>
      </c>
      <c r="F50" s="116"/>
      <c r="G50" s="116"/>
      <c r="H50" s="116">
        <v>8</v>
      </c>
      <c r="I50" s="116">
        <v>12</v>
      </c>
      <c r="J50" s="116">
        <v>12</v>
      </c>
      <c r="K50" s="312">
        <v>12</v>
      </c>
      <c r="L50" s="312">
        <v>4</v>
      </c>
      <c r="M50" s="312"/>
      <c r="N50" s="312"/>
      <c r="O50" s="313"/>
    </row>
    <row r="51" spans="1:15" outlineLevel="1">
      <c r="A51" s="303" t="s">
        <v>260</v>
      </c>
      <c r="B51" s="417">
        <f>E50/12</f>
        <v>4</v>
      </c>
      <c r="C51" s="255"/>
      <c r="D51" s="305" t="s">
        <v>258</v>
      </c>
      <c r="E51" s="315">
        <f>E50-SUM(F50:N50)</f>
        <v>0</v>
      </c>
      <c r="F51" s="118"/>
      <c r="G51" s="118"/>
      <c r="H51" s="118"/>
      <c r="I51" s="118"/>
      <c r="J51" s="118"/>
      <c r="K51" s="306"/>
      <c r="L51" s="306"/>
      <c r="M51" s="306"/>
      <c r="N51" s="306"/>
      <c r="O51" s="307"/>
    </row>
    <row r="52" spans="1:15" outlineLevel="1">
      <c r="A52" s="303"/>
      <c r="B52" s="310"/>
      <c r="C52" s="255"/>
      <c r="D52" s="305" t="s">
        <v>259</v>
      </c>
      <c r="E52" s="306"/>
      <c r="F52" s="118"/>
      <c r="G52" s="118"/>
      <c r="H52" s="118">
        <f>IF(H50&lt;&gt;0,$H$38/($E$50/12),0)</f>
        <v>1250000</v>
      </c>
      <c r="I52" s="118">
        <f t="shared" ref="I52:O52" si="20">IF(I50&lt;&gt;0,$H$38/($E$50/12),0)</f>
        <v>1250000</v>
      </c>
      <c r="J52" s="118">
        <f t="shared" si="20"/>
        <v>1250000</v>
      </c>
      <c r="K52" s="118">
        <f t="shared" si="20"/>
        <v>1250000</v>
      </c>
      <c r="L52" s="118">
        <f t="shared" si="20"/>
        <v>1250000</v>
      </c>
      <c r="M52" s="118">
        <f t="shared" si="20"/>
        <v>0</v>
      </c>
      <c r="N52" s="118">
        <f t="shared" si="20"/>
        <v>0</v>
      </c>
      <c r="O52" s="118">
        <f t="shared" si="20"/>
        <v>0</v>
      </c>
    </row>
    <row r="53" spans="1:15" outlineLevel="1">
      <c r="A53" s="303"/>
      <c r="B53" s="310"/>
      <c r="C53" s="255"/>
      <c r="D53" s="305" t="s">
        <v>261</v>
      </c>
      <c r="E53" s="306"/>
      <c r="F53" s="118"/>
      <c r="G53" s="118"/>
      <c r="H53" s="118">
        <f t="shared" ref="H53:O53" si="21">H52/12*H50</f>
        <v>833333.33333333337</v>
      </c>
      <c r="I53" s="118">
        <f t="shared" si="21"/>
        <v>1250000</v>
      </c>
      <c r="J53" s="118">
        <f t="shared" si="21"/>
        <v>1250000</v>
      </c>
      <c r="K53" s="118">
        <f t="shared" si="21"/>
        <v>1250000</v>
      </c>
      <c r="L53" s="118">
        <f t="shared" si="21"/>
        <v>416666.66666666669</v>
      </c>
      <c r="M53" s="118">
        <f t="shared" si="21"/>
        <v>0</v>
      </c>
      <c r="N53" s="118">
        <f t="shared" si="21"/>
        <v>0</v>
      </c>
      <c r="O53" s="118">
        <f t="shared" si="21"/>
        <v>0</v>
      </c>
    </row>
    <row r="54" spans="1:15" outlineLevel="1">
      <c r="A54" s="303"/>
      <c r="B54" s="310"/>
      <c r="C54" s="304"/>
      <c r="D54" s="305"/>
      <c r="E54" s="306"/>
      <c r="F54" s="118"/>
      <c r="G54" s="118"/>
      <c r="H54" s="118"/>
      <c r="I54" s="118"/>
      <c r="J54" s="118"/>
      <c r="K54" s="306"/>
      <c r="L54" s="306"/>
      <c r="M54" s="317"/>
      <c r="N54" s="317"/>
      <c r="O54" s="307"/>
    </row>
    <row r="55" spans="1:15" outlineLevel="1">
      <c r="A55" s="303" t="s">
        <v>255</v>
      </c>
      <c r="B55" s="311">
        <f>+I38</f>
        <v>6000000</v>
      </c>
      <c r="C55" s="304"/>
      <c r="D55" s="305" t="s">
        <v>256</v>
      </c>
      <c r="E55" s="315">
        <f>SUM(F55:O55)</f>
        <v>36</v>
      </c>
      <c r="F55" s="116"/>
      <c r="G55" s="116"/>
      <c r="H55" s="116"/>
      <c r="I55" s="116">
        <v>8</v>
      </c>
      <c r="J55" s="116">
        <v>12</v>
      </c>
      <c r="K55" s="116">
        <v>12</v>
      </c>
      <c r="L55" s="116">
        <v>4</v>
      </c>
      <c r="M55" s="312">
        <v>0</v>
      </c>
      <c r="N55" s="312"/>
      <c r="O55" s="313"/>
    </row>
    <row r="56" spans="1:15" outlineLevel="1">
      <c r="A56" s="303" t="s">
        <v>260</v>
      </c>
      <c r="B56" s="459">
        <f>E55/12</f>
        <v>3</v>
      </c>
      <c r="C56" s="304"/>
      <c r="D56" s="305" t="s">
        <v>258</v>
      </c>
      <c r="E56" s="315">
        <f>E55-SUM(F55:N55)</f>
        <v>0</v>
      </c>
      <c r="F56" s="118"/>
      <c r="G56" s="118"/>
      <c r="H56" s="118"/>
      <c r="I56" s="118"/>
      <c r="J56" s="118"/>
      <c r="K56" s="306"/>
      <c r="L56" s="306"/>
      <c r="M56" s="306"/>
      <c r="N56" s="306"/>
      <c r="O56" s="307"/>
    </row>
    <row r="57" spans="1:15" outlineLevel="1">
      <c r="A57" s="303"/>
      <c r="B57" s="310"/>
      <c r="C57" s="304"/>
      <c r="D57" s="305" t="s">
        <v>259</v>
      </c>
      <c r="E57" s="306"/>
      <c r="F57" s="118"/>
      <c r="G57" s="118"/>
      <c r="H57" s="118"/>
      <c r="I57" s="118">
        <f>IF(I55&lt;&gt;0,$I$38/($E$55/12),0)</f>
        <v>2000000</v>
      </c>
      <c r="J57" s="118">
        <f t="shared" ref="J57:O57" si="22">IF(J55&lt;&gt;0,$I$38/($E$55/12),0)</f>
        <v>2000000</v>
      </c>
      <c r="K57" s="118">
        <f t="shared" si="22"/>
        <v>2000000</v>
      </c>
      <c r="L57" s="118">
        <f t="shared" si="22"/>
        <v>2000000</v>
      </c>
      <c r="M57" s="118">
        <f t="shared" si="22"/>
        <v>0</v>
      </c>
      <c r="N57" s="118">
        <f t="shared" si="22"/>
        <v>0</v>
      </c>
      <c r="O57" s="118">
        <f t="shared" si="22"/>
        <v>0</v>
      </c>
    </row>
    <row r="58" spans="1:15" outlineLevel="1">
      <c r="A58" s="303"/>
      <c r="B58" s="310"/>
      <c r="C58" s="304"/>
      <c r="D58" s="305" t="s">
        <v>261</v>
      </c>
      <c r="E58" s="306"/>
      <c r="F58" s="118"/>
      <c r="G58" s="118"/>
      <c r="H58" s="118"/>
      <c r="I58" s="118">
        <f t="shared" ref="I58:O58" si="23">I57/12*I55</f>
        <v>1333333.3333333333</v>
      </c>
      <c r="J58" s="118">
        <f t="shared" si="23"/>
        <v>2000000</v>
      </c>
      <c r="K58" s="118">
        <f t="shared" si="23"/>
        <v>2000000</v>
      </c>
      <c r="L58" s="118">
        <f t="shared" si="23"/>
        <v>666666.66666666663</v>
      </c>
      <c r="M58" s="118">
        <f t="shared" si="23"/>
        <v>0</v>
      </c>
      <c r="N58" s="118">
        <f t="shared" si="23"/>
        <v>0</v>
      </c>
      <c r="O58" s="118">
        <f t="shared" si="23"/>
        <v>0</v>
      </c>
    </row>
    <row r="59" spans="1:15" outlineLevel="1">
      <c r="A59" s="303"/>
      <c r="B59" s="310"/>
      <c r="C59" s="304"/>
      <c r="D59" s="305"/>
      <c r="E59" s="306"/>
      <c r="F59" s="118"/>
      <c r="G59" s="118"/>
      <c r="H59" s="118"/>
      <c r="I59" s="118"/>
      <c r="J59" s="118"/>
      <c r="K59" s="306"/>
      <c r="L59" s="306"/>
      <c r="M59" s="317"/>
      <c r="N59" s="317"/>
      <c r="O59" s="307"/>
    </row>
    <row r="60" spans="1:15" outlineLevel="1">
      <c r="A60" s="303" t="s">
        <v>255</v>
      </c>
      <c r="B60" s="311">
        <f>J38</f>
        <v>6000000</v>
      </c>
      <c r="C60" s="304"/>
      <c r="D60" s="305" t="s">
        <v>256</v>
      </c>
      <c r="E60" s="315">
        <f>SUM(F60:O60)</f>
        <v>24</v>
      </c>
      <c r="F60" s="116"/>
      <c r="G60" s="116"/>
      <c r="H60" s="116"/>
      <c r="I60" s="116"/>
      <c r="J60" s="116">
        <v>8</v>
      </c>
      <c r="K60" s="116">
        <v>12</v>
      </c>
      <c r="L60" s="116">
        <v>4</v>
      </c>
      <c r="M60" s="116">
        <v>0</v>
      </c>
      <c r="N60" s="116">
        <v>0</v>
      </c>
      <c r="O60" s="313">
        <v>0</v>
      </c>
    </row>
    <row r="61" spans="1:15" outlineLevel="1">
      <c r="A61" s="303" t="s">
        <v>260</v>
      </c>
      <c r="B61" s="459">
        <f>E60/12</f>
        <v>2</v>
      </c>
      <c r="C61" s="304"/>
      <c r="D61" s="305" t="s">
        <v>258</v>
      </c>
      <c r="E61" s="315">
        <f>E60-SUM(F60:O60)</f>
        <v>0</v>
      </c>
      <c r="F61" s="118"/>
      <c r="G61" s="118"/>
      <c r="H61" s="118"/>
      <c r="I61" s="118"/>
      <c r="J61" s="118"/>
      <c r="K61" s="306"/>
      <c r="L61" s="306"/>
      <c r="M61" s="306"/>
      <c r="N61" s="306"/>
      <c r="O61" s="307"/>
    </row>
    <row r="62" spans="1:15" outlineLevel="1">
      <c r="A62" s="303"/>
      <c r="B62" s="310"/>
      <c r="C62" s="304"/>
      <c r="D62" s="305" t="s">
        <v>259</v>
      </c>
      <c r="E62" s="306"/>
      <c r="F62" s="118"/>
      <c r="G62" s="118"/>
      <c r="H62" s="118"/>
      <c r="I62" s="118"/>
      <c r="J62" s="118">
        <f>IF(J60&lt;&gt;0,$I$38/($E$60/12),0)</f>
        <v>3000000</v>
      </c>
      <c r="K62" s="118">
        <f t="shared" ref="K62:L62" si="24">IF(K60&lt;&gt;0,$I$38/($E$60/12),0)</f>
        <v>3000000</v>
      </c>
      <c r="L62" s="118">
        <f t="shared" si="24"/>
        <v>3000000</v>
      </c>
      <c r="M62" s="118">
        <f t="shared" ref="M62:O62" si="25">IF(M60&lt;&gt;0,$J$38/$B$41,0)</f>
        <v>0</v>
      </c>
      <c r="N62" s="118">
        <f t="shared" si="25"/>
        <v>0</v>
      </c>
      <c r="O62" s="118">
        <f t="shared" si="25"/>
        <v>0</v>
      </c>
    </row>
    <row r="63" spans="1:15" outlineLevel="1">
      <c r="A63" s="303"/>
      <c r="B63" s="310"/>
      <c r="C63" s="304"/>
      <c r="D63" s="305" t="s">
        <v>261</v>
      </c>
      <c r="E63" s="306"/>
      <c r="F63" s="118"/>
      <c r="G63" s="118"/>
      <c r="H63" s="118"/>
      <c r="I63" s="118"/>
      <c r="J63" s="118">
        <f t="shared" ref="J63:O63" si="26">J62/12*J60</f>
        <v>2000000</v>
      </c>
      <c r="K63" s="118">
        <f t="shared" si="26"/>
        <v>3000000</v>
      </c>
      <c r="L63" s="118">
        <f t="shared" si="26"/>
        <v>1000000</v>
      </c>
      <c r="M63" s="118">
        <f t="shared" si="26"/>
        <v>0</v>
      </c>
      <c r="N63" s="118">
        <f t="shared" si="26"/>
        <v>0</v>
      </c>
      <c r="O63" s="118">
        <f t="shared" si="26"/>
        <v>0</v>
      </c>
    </row>
    <row r="64" spans="1:15" outlineLevel="1">
      <c r="A64" s="303"/>
      <c r="B64" s="310"/>
      <c r="C64" s="304"/>
      <c r="D64" s="305"/>
      <c r="E64" s="306"/>
      <c r="F64" s="118"/>
      <c r="G64" s="118"/>
      <c r="H64" s="118"/>
      <c r="I64" s="118"/>
      <c r="J64" s="118"/>
      <c r="K64" s="306"/>
      <c r="L64" s="306"/>
      <c r="M64" s="317"/>
      <c r="N64" s="317"/>
      <c r="O64" s="307"/>
    </row>
    <row r="65" spans="1:15" outlineLevel="1">
      <c r="A65" s="303" t="s">
        <v>255</v>
      </c>
      <c r="B65" s="311">
        <f>+K38</f>
        <v>0</v>
      </c>
      <c r="C65" s="304"/>
      <c r="D65" s="305" t="s">
        <v>256</v>
      </c>
      <c r="E65" s="315">
        <f>SUM(F65:O65)</f>
        <v>0</v>
      </c>
      <c r="F65" s="116"/>
      <c r="G65" s="116"/>
      <c r="H65" s="116"/>
      <c r="I65" s="116"/>
      <c r="J65" s="116"/>
      <c r="K65" s="312">
        <v>0</v>
      </c>
      <c r="L65" s="312">
        <v>0</v>
      </c>
      <c r="M65" s="312">
        <v>0</v>
      </c>
      <c r="N65" s="312">
        <v>0</v>
      </c>
      <c r="O65" s="312">
        <v>0</v>
      </c>
    </row>
    <row r="66" spans="1:15" outlineLevel="1">
      <c r="A66" s="303" t="s">
        <v>260</v>
      </c>
      <c r="B66" s="314"/>
      <c r="C66" s="304"/>
      <c r="D66" s="305" t="s">
        <v>258</v>
      </c>
      <c r="E66" s="315">
        <f>E65-SUM(F65:O65)</f>
        <v>0</v>
      </c>
      <c r="F66" s="118"/>
      <c r="G66" s="118"/>
      <c r="H66" s="118"/>
      <c r="I66" s="118"/>
      <c r="J66" s="118"/>
      <c r="K66" s="306"/>
      <c r="L66" s="306"/>
      <c r="M66" s="306"/>
      <c r="N66" s="306"/>
      <c r="O66" s="307"/>
    </row>
    <row r="67" spans="1:15" outlineLevel="1">
      <c r="A67" s="303"/>
      <c r="B67" s="310"/>
      <c r="C67" s="304"/>
      <c r="D67" s="305" t="s">
        <v>259</v>
      </c>
      <c r="E67" s="306"/>
      <c r="F67" s="118"/>
      <c r="G67" s="118"/>
      <c r="H67" s="118"/>
      <c r="I67" s="118"/>
      <c r="J67" s="118"/>
      <c r="K67" s="118">
        <f>IF(K65&lt;&gt;0,$K$38/$B$41,0)</f>
        <v>0</v>
      </c>
      <c r="L67" s="118">
        <f t="shared" ref="L67:O67" si="27">IF(L65&lt;&gt;0,$K$38/$B$41,0)</f>
        <v>0</v>
      </c>
      <c r="M67" s="118">
        <f t="shared" si="27"/>
        <v>0</v>
      </c>
      <c r="N67" s="118">
        <f t="shared" si="27"/>
        <v>0</v>
      </c>
      <c r="O67" s="118">
        <f t="shared" si="27"/>
        <v>0</v>
      </c>
    </row>
    <row r="68" spans="1:15" outlineLevel="1">
      <c r="A68" s="303"/>
      <c r="B68" s="310"/>
      <c r="C68" s="304"/>
      <c r="D68" s="305" t="s">
        <v>261</v>
      </c>
      <c r="E68" s="306"/>
      <c r="F68" s="118"/>
      <c r="G68" s="118"/>
      <c r="H68" s="118"/>
      <c r="I68" s="118"/>
      <c r="J68" s="118"/>
      <c r="K68" s="118">
        <f>K67/12*K65</f>
        <v>0</v>
      </c>
      <c r="L68" s="118">
        <f t="shared" ref="L68:O68" si="28">L67/12*L65</f>
        <v>0</v>
      </c>
      <c r="M68" s="118">
        <f t="shared" si="28"/>
        <v>0</v>
      </c>
      <c r="N68" s="118">
        <f t="shared" si="28"/>
        <v>0</v>
      </c>
      <c r="O68" s="118">
        <f t="shared" si="28"/>
        <v>0</v>
      </c>
    </row>
    <row r="69" spans="1:15" outlineLevel="1">
      <c r="A69" s="303"/>
      <c r="B69" s="310"/>
      <c r="C69" s="304"/>
      <c r="D69" s="305"/>
      <c r="E69" s="306"/>
      <c r="F69" s="118"/>
      <c r="G69" s="118"/>
      <c r="H69" s="118"/>
      <c r="I69" s="118"/>
      <c r="J69" s="118"/>
      <c r="K69" s="306"/>
      <c r="L69" s="306"/>
      <c r="M69" s="317"/>
      <c r="N69" s="317"/>
      <c r="O69" s="318"/>
    </row>
    <row r="70" spans="1:15" outlineLevel="1">
      <c r="A70" s="303" t="s">
        <v>255</v>
      </c>
      <c r="B70" s="311">
        <f>+L38</f>
        <v>0</v>
      </c>
      <c r="C70" s="304"/>
      <c r="D70" s="305" t="s">
        <v>256</v>
      </c>
      <c r="E70" s="315">
        <f>SUM(F70:O70)</f>
        <v>0</v>
      </c>
      <c r="F70" s="116"/>
      <c r="G70" s="116"/>
      <c r="H70" s="116"/>
      <c r="I70" s="116"/>
      <c r="J70" s="116"/>
      <c r="K70" s="312"/>
      <c r="L70" s="312">
        <v>0</v>
      </c>
      <c r="M70" s="312">
        <v>0</v>
      </c>
      <c r="N70" s="312">
        <v>0</v>
      </c>
      <c r="O70" s="313">
        <v>0</v>
      </c>
    </row>
    <row r="71" spans="1:15" outlineLevel="1">
      <c r="A71" s="303" t="s">
        <v>260</v>
      </c>
      <c r="B71" s="314"/>
      <c r="C71" s="304"/>
      <c r="D71" s="305" t="s">
        <v>258</v>
      </c>
      <c r="E71" s="315">
        <f>E70-SUM(F70:O70)</f>
        <v>0</v>
      </c>
      <c r="F71" s="118"/>
      <c r="G71" s="118"/>
      <c r="H71" s="118"/>
      <c r="I71" s="118"/>
      <c r="J71" s="118"/>
      <c r="K71" s="306"/>
      <c r="L71" s="306"/>
      <c r="M71" s="306"/>
      <c r="N71" s="306"/>
      <c r="O71" s="307"/>
    </row>
    <row r="72" spans="1:15" outlineLevel="1">
      <c r="A72" s="303"/>
      <c r="B72" s="310"/>
      <c r="C72" s="304"/>
      <c r="D72" s="305" t="s">
        <v>259</v>
      </c>
      <c r="E72" s="306"/>
      <c r="F72" s="118"/>
      <c r="G72" s="118"/>
      <c r="H72" s="118"/>
      <c r="I72" s="118"/>
      <c r="J72" s="118"/>
      <c r="K72" s="118"/>
      <c r="L72" s="118">
        <f>IF(L70&lt;&gt;0,$L$38/$B$41,0)</f>
        <v>0</v>
      </c>
      <c r="M72" s="118">
        <f>IF(M70&lt;&gt;0,$L$38/$B$41,0)</f>
        <v>0</v>
      </c>
      <c r="N72" s="118">
        <f>IF(N70&lt;&gt;0,$L$38/$B$41,0)</f>
        <v>0</v>
      </c>
      <c r="O72" s="316"/>
    </row>
    <row r="73" spans="1:15" outlineLevel="1">
      <c r="A73" s="303"/>
      <c r="B73" s="310"/>
      <c r="C73" s="304"/>
      <c r="D73" s="305" t="s">
        <v>261</v>
      </c>
      <c r="E73" s="306"/>
      <c r="F73" s="118"/>
      <c r="G73" s="118"/>
      <c r="H73" s="118"/>
      <c r="I73" s="118"/>
      <c r="J73" s="118"/>
      <c r="K73" s="118"/>
      <c r="L73" s="118">
        <f>L72/12*L70</f>
        <v>0</v>
      </c>
      <c r="M73" s="118">
        <f>M72/12*M70</f>
        <v>0</v>
      </c>
      <c r="N73" s="118">
        <f>N72/12*N70</f>
        <v>0</v>
      </c>
      <c r="O73" s="316"/>
    </row>
    <row r="74" spans="1:15" outlineLevel="1">
      <c r="A74" s="303"/>
      <c r="B74" s="310"/>
      <c r="C74" s="304"/>
      <c r="D74" s="305"/>
      <c r="E74" s="306"/>
      <c r="F74" s="118"/>
      <c r="G74" s="118"/>
      <c r="H74" s="118"/>
      <c r="I74" s="118"/>
      <c r="J74" s="118"/>
      <c r="K74" s="306"/>
      <c r="L74" s="306"/>
      <c r="M74" s="317"/>
      <c r="N74" s="317"/>
      <c r="O74" s="318"/>
    </row>
    <row r="75" spans="1:15" outlineLevel="1">
      <c r="A75" s="303" t="s">
        <v>255</v>
      </c>
      <c r="B75" s="311">
        <f>+M38</f>
        <v>0</v>
      </c>
      <c r="C75" s="304"/>
      <c r="D75" s="305" t="s">
        <v>256</v>
      </c>
      <c r="E75" s="306"/>
      <c r="F75" s="116"/>
      <c r="G75" s="116"/>
      <c r="H75" s="116"/>
      <c r="I75" s="116"/>
      <c r="J75" s="116"/>
      <c r="K75" s="312"/>
      <c r="L75" s="312"/>
      <c r="M75" s="312">
        <v>0</v>
      </c>
      <c r="N75" s="312">
        <v>0</v>
      </c>
      <c r="O75" s="313">
        <v>12</v>
      </c>
    </row>
    <row r="76" spans="1:15" outlineLevel="1">
      <c r="A76" s="303" t="s">
        <v>260</v>
      </c>
      <c r="B76" s="314"/>
      <c r="C76" s="304"/>
      <c r="D76" s="305" t="s">
        <v>258</v>
      </c>
      <c r="E76" s="315"/>
      <c r="F76" s="118"/>
      <c r="G76" s="118"/>
      <c r="H76" s="118"/>
      <c r="I76" s="118"/>
      <c r="J76" s="118"/>
      <c r="K76" s="306"/>
      <c r="L76" s="306"/>
      <c r="M76" s="306"/>
      <c r="N76" s="306"/>
      <c r="O76" s="307"/>
    </row>
    <row r="77" spans="1:15" outlineLevel="1">
      <c r="A77" s="303"/>
      <c r="B77" s="310"/>
      <c r="C77" s="304"/>
      <c r="D77" s="305" t="s">
        <v>259</v>
      </c>
      <c r="E77" s="306"/>
      <c r="F77" s="118"/>
      <c r="G77" s="118"/>
      <c r="H77" s="118"/>
      <c r="I77" s="118"/>
      <c r="J77" s="118"/>
      <c r="K77" s="118"/>
      <c r="L77" s="118"/>
      <c r="M77" s="118">
        <f>IF(M75&lt;&gt;0,$M$38/$B$41,0)</f>
        <v>0</v>
      </c>
      <c r="N77" s="118">
        <f>IF(N75&lt;&gt;0,$M$38/$B$41,0)</f>
        <v>0</v>
      </c>
      <c r="O77" s="316"/>
    </row>
    <row r="78" spans="1:15" outlineLevel="1">
      <c r="A78" s="303"/>
      <c r="B78" s="310"/>
      <c r="C78" s="304"/>
      <c r="D78" s="305" t="s">
        <v>261</v>
      </c>
      <c r="E78" s="306"/>
      <c r="F78" s="118"/>
      <c r="G78" s="118"/>
      <c r="H78" s="118"/>
      <c r="I78" s="118"/>
      <c r="J78" s="118"/>
      <c r="K78" s="118"/>
      <c r="L78" s="118"/>
      <c r="M78" s="118">
        <f>M77/12*M75</f>
        <v>0</v>
      </c>
      <c r="N78" s="118">
        <f>N77/12*N75</f>
        <v>0</v>
      </c>
      <c r="O78" s="316"/>
    </row>
    <row r="79" spans="1:15" outlineLevel="1">
      <c r="A79" s="303"/>
      <c r="B79" s="310"/>
      <c r="C79" s="304"/>
      <c r="D79" s="305"/>
      <c r="E79" s="306"/>
      <c r="F79" s="118"/>
      <c r="G79" s="118"/>
      <c r="H79" s="118"/>
      <c r="I79" s="118"/>
      <c r="J79" s="118"/>
      <c r="K79" s="306"/>
      <c r="L79" s="306"/>
      <c r="M79" s="317"/>
      <c r="N79" s="317"/>
      <c r="O79" s="318"/>
    </row>
    <row r="80" spans="1:15" outlineLevel="1">
      <c r="A80" s="303"/>
      <c r="B80" s="310"/>
      <c r="C80" s="304"/>
      <c r="D80" s="305"/>
      <c r="E80" s="306"/>
      <c r="F80" s="118"/>
      <c r="G80" s="118"/>
      <c r="H80" s="118"/>
      <c r="I80" s="118"/>
      <c r="J80" s="118"/>
      <c r="K80" s="306"/>
      <c r="L80" s="306"/>
      <c r="M80" s="306"/>
      <c r="N80" s="306"/>
      <c r="O80" s="307"/>
    </row>
    <row r="81" spans="1:15" outlineLevel="1">
      <c r="A81" s="303" t="s">
        <v>262</v>
      </c>
      <c r="B81" s="319">
        <f>B21</f>
        <v>9515</v>
      </c>
      <c r="C81" s="304"/>
      <c r="D81" s="305" t="s">
        <v>263</v>
      </c>
      <c r="E81" s="306"/>
      <c r="F81" s="118">
        <f>+F38</f>
        <v>14000000</v>
      </c>
      <c r="G81" s="118">
        <f>+F82+G38</f>
        <v>24444444.444444444</v>
      </c>
      <c r="H81" s="118">
        <f>+G82+H38</f>
        <v>25511111.111111112</v>
      </c>
      <c r="I81" s="118">
        <f t="shared" ref="I81:O81" si="29">+H82+I38</f>
        <v>25944444.444444444</v>
      </c>
      <c r="J81" s="118">
        <f t="shared" si="29"/>
        <v>24627777.777777776</v>
      </c>
      <c r="K81" s="118">
        <f t="shared" si="29"/>
        <v>14644444.444444442</v>
      </c>
      <c r="L81" s="118">
        <f t="shared" si="29"/>
        <v>3661111.1111111082</v>
      </c>
      <c r="M81" s="118">
        <f t="shared" si="29"/>
        <v>0</v>
      </c>
      <c r="N81" s="118">
        <f t="shared" si="29"/>
        <v>0</v>
      </c>
      <c r="O81" s="316">
        <f t="shared" si="29"/>
        <v>0</v>
      </c>
    </row>
    <row r="82" spans="1:15" outlineLevel="1">
      <c r="A82" s="303" t="s">
        <v>264</v>
      </c>
      <c r="B82" s="247">
        <f>+B81/10.764</f>
        <v>883.96506874767749</v>
      </c>
      <c r="C82" s="304"/>
      <c r="D82" s="305" t="s">
        <v>265</v>
      </c>
      <c r="E82" s="306"/>
      <c r="F82" s="118">
        <f t="shared" ref="F82:O82" si="30">F81-F87</f>
        <v>12444444.444444444</v>
      </c>
      <c r="G82" s="118">
        <f>G81-G87</f>
        <v>20511111.111111112</v>
      </c>
      <c r="H82" s="118">
        <f t="shared" si="30"/>
        <v>19944444.444444444</v>
      </c>
      <c r="I82" s="118">
        <f>I81-I87</f>
        <v>18627777.777777776</v>
      </c>
      <c r="J82" s="118">
        <f t="shared" si="30"/>
        <v>14644444.444444442</v>
      </c>
      <c r="K82" s="118">
        <f t="shared" si="30"/>
        <v>3661111.1111111082</v>
      </c>
      <c r="L82" s="118">
        <f t="shared" si="30"/>
        <v>0</v>
      </c>
      <c r="M82" s="118">
        <f t="shared" si="30"/>
        <v>0</v>
      </c>
      <c r="N82" s="118">
        <f t="shared" si="30"/>
        <v>0</v>
      </c>
      <c r="O82" s="316">
        <f t="shared" si="30"/>
        <v>0</v>
      </c>
    </row>
    <row r="83" spans="1:15" outlineLevel="1">
      <c r="A83" s="303" t="s">
        <v>266</v>
      </c>
      <c r="B83" s="418" t="str">
        <f>B23</f>
        <v>2026</v>
      </c>
      <c r="C83" s="304"/>
      <c r="D83" s="305" t="s">
        <v>267</v>
      </c>
      <c r="E83" s="306"/>
      <c r="F83" s="118">
        <f t="shared" ref="F83:O83" si="31">(F81+F82)/2</f>
        <v>13222222.222222222</v>
      </c>
      <c r="G83" s="118">
        <f t="shared" si="31"/>
        <v>22477777.777777776</v>
      </c>
      <c r="H83" s="118">
        <f t="shared" si="31"/>
        <v>22727777.777777776</v>
      </c>
      <c r="I83" s="118">
        <f t="shared" si="31"/>
        <v>22286111.111111112</v>
      </c>
      <c r="J83" s="118">
        <f t="shared" si="31"/>
        <v>19636111.111111108</v>
      </c>
      <c r="K83" s="317">
        <f t="shared" si="31"/>
        <v>9152777.7777777761</v>
      </c>
      <c r="L83" s="317">
        <f t="shared" si="31"/>
        <v>1830555.5555555541</v>
      </c>
      <c r="M83" s="317">
        <f t="shared" si="31"/>
        <v>0</v>
      </c>
      <c r="N83" s="317">
        <f t="shared" si="31"/>
        <v>0</v>
      </c>
      <c r="O83" s="318">
        <f t="shared" si="31"/>
        <v>0</v>
      </c>
    </row>
    <row r="84" spans="1:15" outlineLevel="1">
      <c r="A84" s="303"/>
      <c r="B84" s="310"/>
      <c r="C84" s="304"/>
      <c r="D84" s="305"/>
      <c r="E84" s="306"/>
      <c r="F84" s="118"/>
      <c r="G84" s="118"/>
      <c r="H84" s="118"/>
      <c r="I84" s="118"/>
      <c r="J84" s="118"/>
      <c r="K84" s="317"/>
      <c r="L84" s="317"/>
      <c r="M84" s="317"/>
      <c r="N84" s="317"/>
      <c r="O84" s="307"/>
    </row>
    <row r="85" spans="1:15" outlineLevel="1">
      <c r="A85" s="303"/>
      <c r="B85" s="310"/>
      <c r="C85" s="304"/>
      <c r="D85" s="305"/>
      <c r="E85" s="306"/>
      <c r="F85" s="118"/>
      <c r="G85" s="118"/>
      <c r="H85" s="118"/>
      <c r="I85" s="118"/>
      <c r="J85" s="118"/>
      <c r="K85" s="317"/>
      <c r="L85" s="317"/>
      <c r="M85" s="317"/>
      <c r="N85" s="317"/>
      <c r="O85" s="307"/>
    </row>
    <row r="86" spans="1:15" outlineLevel="1">
      <c r="A86" s="303"/>
      <c r="B86" s="310"/>
      <c r="C86" s="304"/>
      <c r="D86" s="305" t="s">
        <v>268</v>
      </c>
      <c r="E86" s="315">
        <f>SUM(F86:O86)</f>
        <v>7515665</v>
      </c>
      <c r="F86" s="118">
        <f>F83*$B$38/12*F40</f>
        <v>626733.33333333326</v>
      </c>
      <c r="G86" s="118">
        <f t="shared" ref="G86:M86" si="32">G83*$B$38/12*G40</f>
        <v>1598169.9999999998</v>
      </c>
      <c r="H86" s="118">
        <f t="shared" si="32"/>
        <v>1615944.9999999998</v>
      </c>
      <c r="I86" s="118">
        <f t="shared" si="32"/>
        <v>1584542.5</v>
      </c>
      <c r="J86" s="118">
        <f t="shared" si="32"/>
        <v>1396127.4999999998</v>
      </c>
      <c r="K86" s="118">
        <f t="shared" si="32"/>
        <v>650762.49999999988</v>
      </c>
      <c r="L86" s="118">
        <f t="shared" si="32"/>
        <v>43384.166666666628</v>
      </c>
      <c r="M86" s="118">
        <f t="shared" si="32"/>
        <v>0</v>
      </c>
      <c r="N86" s="118">
        <f>N83*$B$40/12*N7</f>
        <v>0</v>
      </c>
      <c r="O86" s="316"/>
    </row>
    <row r="87" spans="1:15" outlineLevel="1">
      <c r="A87" s="303" t="s">
        <v>269</v>
      </c>
      <c r="B87" s="251">
        <f>E90*E47</f>
        <v>0</v>
      </c>
      <c r="C87" s="304"/>
      <c r="D87" s="305" t="s">
        <v>270</v>
      </c>
      <c r="E87" s="315">
        <f>SUM(F87:O87)</f>
        <v>43000000.000000007</v>
      </c>
      <c r="F87" s="118">
        <f t="shared" ref="F87:O87" si="33">+F43+F48+F53+F58+F63+F68+F73+F78</f>
        <v>1555555.5555555557</v>
      </c>
      <c r="G87" s="118">
        <f t="shared" si="33"/>
        <v>3933333.3333333335</v>
      </c>
      <c r="H87" s="118">
        <f t="shared" si="33"/>
        <v>5566666.666666667</v>
      </c>
      <c r="I87" s="118">
        <f t="shared" si="33"/>
        <v>7316666.666666667</v>
      </c>
      <c r="J87" s="118">
        <f t="shared" si="33"/>
        <v>9983333.333333334</v>
      </c>
      <c r="K87" s="118">
        <f t="shared" si="33"/>
        <v>10983333.333333334</v>
      </c>
      <c r="L87" s="118">
        <f t="shared" si="33"/>
        <v>3661111.1111111115</v>
      </c>
      <c r="M87" s="118">
        <f t="shared" si="33"/>
        <v>0</v>
      </c>
      <c r="N87" s="118">
        <f t="shared" si="33"/>
        <v>0</v>
      </c>
      <c r="O87" s="118">
        <f t="shared" si="33"/>
        <v>0</v>
      </c>
    </row>
    <row r="88" spans="1:15" outlineLevel="1">
      <c r="A88" s="303"/>
      <c r="B88" s="310"/>
      <c r="C88" s="304"/>
      <c r="D88" s="305"/>
      <c r="E88" s="306"/>
      <c r="F88" s="118"/>
      <c r="G88" s="118"/>
      <c r="H88" s="118"/>
      <c r="I88" s="118"/>
      <c r="J88" s="118"/>
      <c r="K88" s="317"/>
      <c r="L88" s="317"/>
      <c r="M88" s="317"/>
      <c r="N88" s="317"/>
      <c r="O88" s="307"/>
    </row>
    <row r="89" spans="1:15" outlineLevel="1">
      <c r="A89" s="303" t="s">
        <v>271</v>
      </c>
      <c r="B89" s="320">
        <f>IFERROR(+E90/B81,0)</f>
        <v>73.736884743387648</v>
      </c>
      <c r="C89" s="304"/>
      <c r="D89" s="305"/>
      <c r="E89" s="306"/>
      <c r="F89" s="118">
        <f t="shared" ref="F89:O89" si="34">SUM(F86:F88)</f>
        <v>2182288.888888889</v>
      </c>
      <c r="G89" s="118">
        <f t="shared" si="34"/>
        <v>5531503.333333333</v>
      </c>
      <c r="H89" s="118">
        <f t="shared" si="34"/>
        <v>7182611.666666667</v>
      </c>
      <c r="I89" s="118">
        <f t="shared" si="34"/>
        <v>8901209.1666666679</v>
      </c>
      <c r="J89" s="118">
        <f t="shared" si="34"/>
        <v>11379460.833333334</v>
      </c>
      <c r="K89" s="118">
        <f t="shared" si="34"/>
        <v>11634095.833333334</v>
      </c>
      <c r="L89" s="118">
        <f t="shared" si="34"/>
        <v>3704495.277777778</v>
      </c>
      <c r="M89" s="118">
        <f t="shared" si="34"/>
        <v>0</v>
      </c>
      <c r="N89" s="118">
        <f t="shared" si="34"/>
        <v>0</v>
      </c>
      <c r="O89" s="316">
        <f t="shared" si="34"/>
        <v>0</v>
      </c>
    </row>
    <row r="90" spans="1:15" ht="13" outlineLevel="1" thickBot="1">
      <c r="A90" s="321" t="s">
        <v>272</v>
      </c>
      <c r="B90" s="322">
        <f>IFERROR(+E90/B82,0)</f>
        <v>793.70382737782461</v>
      </c>
      <c r="C90" s="323"/>
      <c r="D90" s="324" t="s">
        <v>273</v>
      </c>
      <c r="E90" s="260">
        <f>IFERROR(SUM(F86:O87)/E40,0)</f>
        <v>701606.45833333349</v>
      </c>
      <c r="F90" s="169"/>
      <c r="G90" s="169"/>
      <c r="H90" s="169"/>
      <c r="I90" s="169"/>
      <c r="J90" s="169"/>
      <c r="K90" s="325"/>
      <c r="L90" s="325"/>
      <c r="M90" s="325"/>
      <c r="N90" s="325"/>
      <c r="O90" s="326"/>
    </row>
    <row r="91" spans="1:15" ht="13" outlineLevel="1" thickBot="1">
      <c r="E91" s="350"/>
      <c r="F91" s="178"/>
      <c r="G91" s="178"/>
      <c r="H91" s="178"/>
      <c r="I91" s="178"/>
    </row>
    <row r="92" spans="1:15" ht="16" thickBot="1">
      <c r="A92" s="705"/>
      <c r="B92" s="706"/>
      <c r="C92" s="706"/>
      <c r="D92" s="706"/>
      <c r="E92" s="706"/>
      <c r="F92" s="706"/>
      <c r="G92" s="706"/>
      <c r="H92" s="706"/>
      <c r="I92" s="706"/>
      <c r="J92" s="706"/>
      <c r="K92" s="706"/>
      <c r="L92" s="706"/>
      <c r="M92" s="706"/>
      <c r="N92" s="706"/>
      <c r="O92" s="707"/>
    </row>
    <row r="93" spans="1:15">
      <c r="A93" s="170"/>
      <c r="B93" s="264"/>
      <c r="C93" s="171"/>
      <c r="D93" s="171"/>
      <c r="E93" s="171"/>
      <c r="F93" s="172"/>
      <c r="G93" s="172"/>
      <c r="H93" s="172"/>
      <c r="I93" s="172"/>
      <c r="J93" s="172"/>
      <c r="K93" s="173"/>
      <c r="L93" s="173"/>
      <c r="M93" s="171"/>
      <c r="N93" s="171"/>
      <c r="O93" s="245"/>
    </row>
    <row r="94" spans="1:15">
      <c r="A94" s="162"/>
      <c r="B94" s="116"/>
      <c r="C94" s="115"/>
      <c r="D94" s="115"/>
      <c r="E94" s="115"/>
      <c r="F94" s="118"/>
      <c r="G94" s="118"/>
      <c r="H94" s="118"/>
      <c r="I94" s="118"/>
      <c r="J94" s="118"/>
      <c r="K94" s="115"/>
      <c r="L94" s="115"/>
      <c r="M94" s="115"/>
      <c r="N94" s="115"/>
      <c r="O94" s="164"/>
    </row>
    <row r="95" spans="1:15">
      <c r="A95" s="162" t="s">
        <v>275</v>
      </c>
      <c r="B95" s="116">
        <f>F95+G95+H95+I95+J95+K95</f>
        <v>2500000</v>
      </c>
      <c r="C95" s="115"/>
      <c r="D95" s="258"/>
      <c r="E95" s="115"/>
      <c r="F95" s="118">
        <v>1500000</v>
      </c>
      <c r="G95" s="118">
        <v>200000</v>
      </c>
      <c r="H95" s="118">
        <v>200000</v>
      </c>
      <c r="I95" s="118">
        <v>200000</v>
      </c>
      <c r="J95" s="118">
        <v>200000</v>
      </c>
      <c r="K95" s="118">
        <v>200000</v>
      </c>
      <c r="L95" s="504"/>
      <c r="M95" s="504"/>
      <c r="N95" s="504"/>
      <c r="O95" s="505"/>
    </row>
    <row r="96" spans="1:15">
      <c r="A96" s="162" t="s">
        <v>322</v>
      </c>
      <c r="B96" s="121">
        <f>((B95/B21))/E3</f>
        <v>3.6492088515209904</v>
      </c>
      <c r="C96" s="115"/>
      <c r="D96" s="115"/>
      <c r="E96" s="115"/>
      <c r="F96" s="118"/>
      <c r="G96" s="118"/>
      <c r="H96" s="118"/>
      <c r="I96" s="118"/>
      <c r="J96" s="118"/>
      <c r="K96" s="115"/>
      <c r="L96" s="115"/>
      <c r="M96" s="115"/>
      <c r="N96" s="115"/>
      <c r="O96" s="164"/>
    </row>
    <row r="97" spans="1:15" ht="13" thickBot="1">
      <c r="A97" s="167" t="s">
        <v>323</v>
      </c>
      <c r="B97" s="261">
        <f>B96*10.764</f>
        <v>39.280084077771939</v>
      </c>
      <c r="C97" s="168"/>
      <c r="D97" s="168"/>
      <c r="E97" s="260"/>
      <c r="F97" s="169"/>
      <c r="G97" s="169"/>
      <c r="H97" s="169"/>
      <c r="I97" s="169"/>
      <c r="J97" s="169"/>
      <c r="K97" s="169"/>
      <c r="L97" s="169"/>
      <c r="M97" s="169"/>
      <c r="N97" s="169"/>
      <c r="O97" s="263"/>
    </row>
    <row r="98" spans="1:15">
      <c r="B98" s="350"/>
      <c r="F98" s="296"/>
      <c r="G98" s="296"/>
      <c r="H98" s="296"/>
      <c r="I98" s="296"/>
      <c r="J98" s="294"/>
    </row>
    <row r="99" spans="1:15" ht="13">
      <c r="B99" s="283"/>
      <c r="E99" s="354"/>
      <c r="F99" s="349"/>
      <c r="G99" s="349"/>
      <c r="H99" s="349"/>
      <c r="I99" s="349"/>
    </row>
    <row r="100" spans="1:15">
      <c r="B100" s="287"/>
      <c r="D100" s="360"/>
      <c r="F100" s="349"/>
      <c r="G100" s="349"/>
      <c r="H100" s="349"/>
      <c r="I100" s="349"/>
    </row>
    <row r="101" spans="1:15">
      <c r="B101" s="287"/>
    </row>
    <row r="102" spans="1:15">
      <c r="B102" s="357"/>
      <c r="E102" s="287"/>
    </row>
    <row r="103" spans="1:15">
      <c r="B103" s="357"/>
      <c r="E103" s="287"/>
      <c r="F103" s="296"/>
      <c r="G103" s="296"/>
      <c r="H103" s="296"/>
      <c r="I103" s="296"/>
      <c r="J103" s="296"/>
    </row>
    <row r="105" spans="1:15">
      <c r="B105" s="287"/>
      <c r="E105" s="287"/>
    </row>
    <row r="107" spans="1:15">
      <c r="B107" s="360"/>
    </row>
    <row r="108" spans="1:15">
      <c r="B108" s="357"/>
    </row>
  </sheetData>
  <mergeCells count="3">
    <mergeCell ref="A1:N1"/>
    <mergeCell ref="A35:O35"/>
    <mergeCell ref="A92:O92"/>
  </mergeCells>
  <pageMargins left="0.7" right="0.7" top="0.75" bottom="0.75" header="0.3" footer="0.3"/>
  <pageSetup paperSize="9" scale="72"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topLeftCell="A4" workbookViewId="0">
      <selection activeCell="C17" sqref="C17"/>
    </sheetView>
  </sheetViews>
  <sheetFormatPr defaultColWidth="9.36328125" defaultRowHeight="12.5"/>
  <cols>
    <col min="1" max="1" width="25.54296875" style="177" bestFit="1" customWidth="1"/>
    <col min="2" max="2" width="21.453125" style="177" bestFit="1" customWidth="1"/>
    <col min="3" max="3" width="21.453125" style="177" customWidth="1"/>
    <col min="4" max="4" width="19.1796875" style="177" bestFit="1" customWidth="1"/>
    <col min="5" max="10" width="16" style="177" bestFit="1" customWidth="1"/>
    <col min="11" max="12" width="11.36328125" style="177" bestFit="1" customWidth="1"/>
    <col min="13" max="13" width="17" style="177" bestFit="1" customWidth="1"/>
    <col min="14" max="16384" width="9.36328125" style="177"/>
  </cols>
  <sheetData>
    <row r="2" spans="1:13" ht="13">
      <c r="C2" s="179"/>
    </row>
    <row r="5" spans="1:13">
      <c r="C5" s="181"/>
      <c r="M5" s="178"/>
    </row>
    <row r="7" spans="1:13">
      <c r="C7" s="178"/>
    </row>
    <row r="8" spans="1:13" ht="13">
      <c r="A8" s="534"/>
      <c r="B8" s="535" t="s">
        <v>36</v>
      </c>
      <c r="C8" s="536" t="s">
        <v>276</v>
      </c>
      <c r="D8" s="536" t="s">
        <v>277</v>
      </c>
    </row>
    <row r="9" spans="1:13">
      <c r="A9" s="277" t="s">
        <v>57</v>
      </c>
      <c r="B9" s="356">
        <v>0</v>
      </c>
      <c r="C9" s="356">
        <f>+B9*'Rent Calculation'!F28/12*33.5</f>
        <v>0</v>
      </c>
      <c r="D9" s="279"/>
      <c r="F9" s="358"/>
    </row>
    <row r="10" spans="1:13">
      <c r="A10" s="277" t="s">
        <v>278</v>
      </c>
      <c r="B10" s="356">
        <f>'Rent Calculation'!F67</f>
        <v>11418000</v>
      </c>
      <c r="C10" s="356">
        <f>+B10*'Rent Calculation'!F28/12*B16</f>
        <v>7193340</v>
      </c>
      <c r="D10" s="279"/>
      <c r="E10" s="358"/>
      <c r="F10" s="358"/>
    </row>
    <row r="11" spans="1:13">
      <c r="A11" s="277" t="s">
        <v>279</v>
      </c>
      <c r="B11" s="356">
        <f>'Rent Calculation'!F71</f>
        <v>0</v>
      </c>
      <c r="C11" s="356">
        <f>+B11*'Rent Calculation'!F28/12*B16</f>
        <v>0</v>
      </c>
      <c r="D11" s="279"/>
      <c r="E11" s="358"/>
      <c r="F11" s="285"/>
    </row>
    <row r="12" spans="1:13">
      <c r="A12" s="277" t="s">
        <v>297</v>
      </c>
      <c r="B12" s="356">
        <f>+'Rent Calculation'!F69</f>
        <v>500000</v>
      </c>
      <c r="C12" s="356">
        <f>+B12*'Rent Calculation'!F28*3</f>
        <v>157500</v>
      </c>
      <c r="D12" s="279"/>
      <c r="E12" s="358"/>
      <c r="F12" s="285"/>
    </row>
    <row r="13" spans="1:13" ht="13">
      <c r="A13" s="278" t="s">
        <v>29</v>
      </c>
      <c r="B13" s="281">
        <f>SUM(B9:B12)</f>
        <v>11918000</v>
      </c>
      <c r="C13" s="180">
        <f>SUM(C9:C12)</f>
        <v>7350840</v>
      </c>
      <c r="D13" s="286"/>
      <c r="E13" s="358"/>
      <c r="F13" s="285"/>
    </row>
    <row r="14" spans="1:13">
      <c r="A14" s="188" t="s">
        <v>280</v>
      </c>
      <c r="B14" s="188">
        <f>'Rent Calculation'!F21</f>
        <v>9515</v>
      </c>
      <c r="C14" s="188"/>
      <c r="D14" s="280"/>
      <c r="E14" s="358"/>
      <c r="F14" s="285"/>
    </row>
    <row r="15" spans="1:13">
      <c r="A15" s="188" t="s">
        <v>281</v>
      </c>
      <c r="B15" s="381">
        <f>'Rent Calculation'!F28</f>
        <v>0.105</v>
      </c>
      <c r="C15" s="188"/>
      <c r="D15" s="280"/>
      <c r="E15" s="358"/>
      <c r="F15" s="285"/>
    </row>
    <row r="16" spans="1:13">
      <c r="A16" s="188" t="s">
        <v>282</v>
      </c>
      <c r="B16" s="579">
        <f>'Rent Calculation'!F54</f>
        <v>72</v>
      </c>
      <c r="C16" s="188"/>
      <c r="D16" s="280"/>
      <c r="E16" s="358"/>
      <c r="F16" s="285"/>
    </row>
    <row r="17" spans="1:8" ht="13">
      <c r="A17" s="278" t="s">
        <v>283</v>
      </c>
      <c r="B17" s="278"/>
      <c r="C17" s="282">
        <f>C13/(B14*B16)</f>
        <v>10.729900157645822</v>
      </c>
      <c r="D17" s="280"/>
    </row>
    <row r="20" spans="1:8">
      <c r="B20" s="359"/>
    </row>
    <row r="21" spans="1:8">
      <c r="A21" s="410" t="s">
        <v>286</v>
      </c>
      <c r="B21" s="410" t="s">
        <v>287</v>
      </c>
      <c r="C21" s="410" t="s">
        <v>288</v>
      </c>
      <c r="D21" s="409"/>
    </row>
    <row r="22" spans="1:8">
      <c r="A22" s="410" t="s">
        <v>289</v>
      </c>
      <c r="B22" s="357">
        <f>'Rent Calculation'!F21</f>
        <v>9515</v>
      </c>
      <c r="C22" s="499">
        <f>'Rent Calculation'!G21</f>
        <v>883.96506874767749</v>
      </c>
      <c r="D22" s="410" t="s">
        <v>290</v>
      </c>
      <c r="G22" s="457"/>
    </row>
    <row r="23" spans="1:8" ht="25">
      <c r="A23" s="411" t="s">
        <v>291</v>
      </c>
      <c r="B23" s="408">
        <f>IF(B22&lt;50000,82.6,62.72)</f>
        <v>82.6</v>
      </c>
      <c r="C23" s="414">
        <f>B23*10.764</f>
        <v>889.10639999999989</v>
      </c>
      <c r="D23" s="358">
        <f>B22*B23</f>
        <v>785939</v>
      </c>
      <c r="F23" s="359"/>
      <c r="G23" s="457"/>
      <c r="H23" s="359"/>
    </row>
    <row r="24" spans="1:8">
      <c r="A24" s="409"/>
      <c r="B24" s="409"/>
      <c r="C24" s="409"/>
      <c r="D24" s="412">
        <f>D23/B16</f>
        <v>10915.819444444445</v>
      </c>
      <c r="G24" s="457"/>
      <c r="H24" s="359"/>
    </row>
    <row r="25" spans="1:8" ht="13">
      <c r="A25" s="409"/>
      <c r="B25" s="409"/>
      <c r="C25" s="409"/>
      <c r="D25" s="413">
        <f>D24/B22</f>
        <v>1.1472222222222224</v>
      </c>
      <c r="G25" s="457"/>
      <c r="H25" s="359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</vt:lpstr>
      <vt:lpstr>Rent Calculation</vt:lpstr>
      <vt:lpstr>Lease Size</vt:lpstr>
      <vt:lpstr>Lease Rent</vt:lpstr>
      <vt:lpstr>CAPEX and PM</vt:lpstr>
      <vt:lpstr>Security Deposit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cp:lastPrinted>2026-06-13T09:54:48Z</cp:lastPrinted>
  <dcterms:created xsi:type="dcterms:W3CDTF">2015-09-30T07:11:28Z</dcterms:created>
  <dcterms:modified xsi:type="dcterms:W3CDTF">2026-06-13T10:05:09Z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