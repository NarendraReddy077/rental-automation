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A5C3A8A9-88EB-4D95-BDA7-DB707B27E21A}" xr6:coauthVersionLast="47" xr6:coauthVersionMax="47" xr10:uidLastSave="{00000000-0000-0000-0000-000000000000}"/>
  <bookViews>
    <workbookView xWindow="28680" yWindow="-120" windowWidth="29040" windowHeight="15720" tabRatio="764" activeTab="1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7" i="2" l="1"/>
  <c r="G118" i="2" s="1"/>
  <c r="C11" i="4" l="1"/>
  <c r="C10" i="4"/>
  <c r="F152" i="2"/>
  <c r="F151" i="2"/>
  <c r="F149" i="2"/>
  <c r="F65" i="2" l="1"/>
  <c r="F119" i="2"/>
  <c r="F67" i="2"/>
  <c r="I97" i="2"/>
  <c r="F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6" i="1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D25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C17" i="4"/>
  <c r="F89" i="2" s="1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L24" i="1" l="1"/>
  <c r="G144" i="2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sharedStrings.xml><?xml version="1.0" encoding="utf-8"?>
<sst xmlns="http://schemas.openxmlformats.org/spreadsheetml/2006/main" count="554" uniqueCount="335">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</sst>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4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4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5" fillId="0" borderId="0" xfId="0" applyNumberFormat="1" applyFont="1"/>
    <xf numFmtId="167" fontId="52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2" fillId="0" borderId="41" xfId="0" applyFont="1" applyBorder="1" applyAlignment="1">
      <alignment horizontal="center" vertical="center"/>
    </xf>
    <xf numFmtId="0" fontId="102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3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2" fillId="49" borderId="23" xfId="0" applyFont="1" applyFill="1" applyBorder="1" applyAlignment="1">
      <alignment horizontal="center" vertical="center"/>
    </xf>
    <xf numFmtId="0" fontId="102" fillId="49" borderId="23" xfId="0" applyFont="1" applyFill="1" applyBorder="1" applyAlignment="1">
      <alignment horizontal="center" vertical="center" wrapText="1"/>
    </xf>
    <xf numFmtId="0" fontId="102" fillId="49" borderId="34" xfId="0" applyFont="1" applyFill="1" applyBorder="1" applyAlignment="1">
      <alignment horizontal="center" vertical="center" wrapText="1"/>
    </xf>
    <xf numFmtId="167" fontId="102" fillId="49" borderId="17" xfId="21" applyNumberFormat="1" applyFont="1" applyFill="1" applyBorder="1" applyAlignment="1">
      <alignment horizontal="center" vertical="center" wrapText="1"/>
    </xf>
    <xf numFmtId="167" fontId="102" fillId="49" borderId="44" xfId="21" applyNumberFormat="1" applyFont="1" applyFill="1" applyBorder="1" applyAlignment="1">
      <alignment horizontal="center" vertical="center" wrapText="1"/>
    </xf>
    <xf numFmtId="0" fontId="54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7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2" fillId="0" borderId="0" xfId="21" applyNumberFormat="1" applyFont="1" applyFill="1" applyBorder="1" applyAlignment="1">
      <alignment horizontal="center" vertical="center" wrapText="1"/>
    </xf>
    <xf numFmtId="167" fontId="102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2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77"/>
      <c r="B1" s="503" t="s">
        <v>306</v>
      </c>
      <c r="C1" s="503" t="s">
        <v>307</v>
      </c>
    </row>
    <row r="2" spans="1:3">
      <c r="A2" s="477" t="s">
        <v>304</v>
      </c>
      <c r="B2" s="477" t="s">
        <v>302</v>
      </c>
      <c r="C2" s="477"/>
    </row>
    <row r="3" spans="1:3">
      <c r="A3" s="477" t="s">
        <v>305</v>
      </c>
      <c r="B3" s="477">
        <v>9515</v>
      </c>
      <c r="C3" s="477">
        <f>B3/10.764</f>
        <v>883.96506874767749</v>
      </c>
    </row>
    <row r="4" spans="1:3">
      <c r="A4" s="477" t="s">
        <v>308</v>
      </c>
      <c r="B4" s="504">
        <v>46113</v>
      </c>
      <c r="C4" s="477"/>
    </row>
    <row r="5" spans="1:3">
      <c r="A5" s="477" t="s">
        <v>309</v>
      </c>
      <c r="B5" s="504">
        <v>47938</v>
      </c>
      <c r="C5" s="477"/>
    </row>
    <row r="6" spans="1:3">
      <c r="A6" s="477" t="s">
        <v>310</v>
      </c>
      <c r="B6" s="477">
        <f>(B5-B4)/365</f>
        <v>5</v>
      </c>
      <c r="C6" s="477"/>
    </row>
    <row r="7" spans="1:3">
      <c r="A7" s="477" t="s">
        <v>311</v>
      </c>
      <c r="B7" s="477">
        <v>120</v>
      </c>
      <c r="C7" s="477"/>
    </row>
    <row r="8" spans="1:3">
      <c r="A8" s="477" t="s">
        <v>312</v>
      </c>
      <c r="B8" s="477">
        <v>15.48</v>
      </c>
      <c r="C8" s="477"/>
    </row>
    <row r="9" spans="1:3">
      <c r="A9" s="477" t="s">
        <v>36</v>
      </c>
      <c r="B9" s="518">
        <v>11418000</v>
      </c>
      <c r="C9" s="477"/>
    </row>
    <row r="10" spans="1:3">
      <c r="A10" s="477" t="s">
        <v>40</v>
      </c>
      <c r="B10" s="519">
        <v>43000000</v>
      </c>
      <c r="C10" s="477"/>
    </row>
    <row r="11" spans="1:3">
      <c r="A11" s="477" t="s">
        <v>313</v>
      </c>
      <c r="B11" s="519">
        <v>2500000</v>
      </c>
      <c r="C11" s="477"/>
    </row>
    <row r="12" spans="1:3">
      <c r="A12" s="477" t="s">
        <v>314</v>
      </c>
      <c r="B12" s="515">
        <v>0.105</v>
      </c>
      <c r="C12" s="477"/>
    </row>
    <row r="13" spans="1:3">
      <c r="A13" s="477" t="s">
        <v>315</v>
      </c>
      <c r="B13" s="515">
        <v>7.1099999999999997E-2</v>
      </c>
      <c r="C13" s="477"/>
    </row>
    <row r="14" spans="1:3">
      <c r="A14" s="477" t="s">
        <v>316</v>
      </c>
      <c r="B14" s="517" t="s">
        <v>317</v>
      </c>
      <c r="C14" s="517"/>
    </row>
    <row r="15" spans="1:3">
      <c r="A15" s="512" t="s">
        <v>318</v>
      </c>
      <c r="B15" s="477" t="s">
        <v>319</v>
      </c>
      <c r="C15" s="516"/>
    </row>
    <row r="16" spans="1:3">
      <c r="A16" s="477" t="s">
        <v>331</v>
      </c>
      <c r="B16" s="477">
        <v>80</v>
      </c>
      <c r="C16" s="477"/>
    </row>
    <row r="17" spans="1:3">
      <c r="A17" s="477" t="s">
        <v>333</v>
      </c>
      <c r="B17" s="477">
        <v>1500</v>
      </c>
      <c r="C17" s="477"/>
    </row>
    <row r="18" spans="1:3">
      <c r="A18" s="477" t="s">
        <v>332</v>
      </c>
      <c r="B18" s="477">
        <v>50</v>
      </c>
      <c r="C18" s="477"/>
    </row>
    <row r="19" spans="1:3">
      <c r="A19" s="477" t="s">
        <v>334</v>
      </c>
      <c r="B19" s="477">
        <v>1000</v>
      </c>
      <c r="C19" s="477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abSelected="1" topLeftCell="A189" zoomScale="88" zoomScaleNormal="88" workbookViewId="0">
      <selection activeCell="F150" sqref="F150"/>
    </sheetView>
  </sheetViews>
  <sheetFormatPr defaultColWidth="8.90625" defaultRowHeight="12.5" outlineLevelCol="1"/>
  <cols>
    <col min="1" max="1" width="4.54296875" style="399" customWidth="1"/>
    <col min="2" max="2" width="8.90625" style="399"/>
    <col min="3" max="3" width="19.36328125" style="399" customWidth="1"/>
    <col min="4" max="4" width="40" style="399" customWidth="1"/>
    <col min="5" max="5" width="2.54296875" style="399" customWidth="1"/>
    <col min="6" max="7" width="15.453125" style="399" customWidth="1"/>
    <col min="8" max="8" width="1.6328125" style="399" customWidth="1"/>
    <col min="9" max="10" width="15.453125" style="399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9" bestFit="1" customWidth="1"/>
    <col min="20" max="20" width="16.6328125" style="399" bestFit="1" customWidth="1"/>
    <col min="21" max="21" width="19.08984375" style="399" bestFit="1" customWidth="1"/>
    <col min="22" max="22" width="14.08984375" style="399" bestFit="1" customWidth="1"/>
    <col min="23" max="23" width="10" style="399" bestFit="1" customWidth="1"/>
    <col min="24" max="25" width="14.08984375" style="399" bestFit="1" customWidth="1"/>
    <col min="26" max="26" width="14.90625" style="399" bestFit="1" customWidth="1"/>
    <col min="27" max="16384" width="8.90625" style="399"/>
  </cols>
  <sheetData>
    <row r="1" spans="1:10" ht="13.5" customHeight="1">
      <c r="A1" s="51"/>
      <c r="B1" s="637"/>
      <c r="C1" s="638"/>
      <c r="D1" s="638"/>
      <c r="E1" s="638"/>
      <c r="F1" s="638"/>
      <c r="G1" s="638"/>
      <c r="H1" s="638"/>
      <c r="I1" s="638"/>
      <c r="J1" s="639"/>
    </row>
    <row r="2" spans="1:10" ht="14.25" customHeight="1">
      <c r="A2" s="51"/>
      <c r="B2" s="640"/>
      <c r="C2" s="641"/>
      <c r="D2" s="641"/>
      <c r="E2" s="641"/>
      <c r="F2" s="641"/>
      <c r="G2" s="641"/>
      <c r="H2" s="641"/>
      <c r="I2" s="641"/>
      <c r="J2" s="642"/>
    </row>
    <row r="3" spans="1:10" ht="15" customHeight="1" thickBot="1">
      <c r="A3" s="51"/>
      <c r="B3" s="643"/>
      <c r="C3" s="644"/>
      <c r="D3" s="644"/>
      <c r="E3" s="644"/>
      <c r="F3" s="644"/>
      <c r="G3" s="644"/>
      <c r="H3" s="644"/>
      <c r="I3" s="641"/>
      <c r="J3" s="642"/>
    </row>
    <row r="4" spans="1:10" ht="13">
      <c r="A4" s="51"/>
      <c r="B4" s="664"/>
      <c r="C4" s="665"/>
      <c r="D4" s="665"/>
      <c r="E4" s="665"/>
      <c r="F4" s="665"/>
      <c r="G4" s="665"/>
      <c r="H4" s="401"/>
      <c r="I4" s="402"/>
      <c r="J4" s="403"/>
    </row>
    <row r="5" spans="1:10" ht="16">
      <c r="A5" s="51"/>
      <c r="B5" s="666" t="s">
        <v>70</v>
      </c>
      <c r="C5" s="667"/>
      <c r="D5" s="667"/>
      <c r="E5" s="667"/>
      <c r="F5" s="667"/>
      <c r="G5" s="668"/>
      <c r="H5" s="404"/>
      <c r="I5" s="481" t="s">
        <v>16</v>
      </c>
      <c r="J5" s="507">
        <v>105.02</v>
      </c>
    </row>
    <row r="6" spans="1:10" ht="13.5" thickBot="1">
      <c r="A6" s="51"/>
      <c r="B6" s="669"/>
      <c r="C6" s="670"/>
      <c r="D6" s="671"/>
      <c r="E6" s="52"/>
      <c r="F6" s="662">
        <v>10.763999999999999</v>
      </c>
      <c r="G6" s="663"/>
      <c r="H6" s="405"/>
      <c r="I6" s="650">
        <v>10.763999999999999</v>
      </c>
      <c r="J6" s="651"/>
    </row>
    <row r="7" spans="1:10" ht="26">
      <c r="A7" s="51"/>
      <c r="B7" s="482" t="s">
        <v>71</v>
      </c>
      <c r="C7" s="672" t="s">
        <v>72</v>
      </c>
      <c r="D7" s="673"/>
      <c r="E7" s="483"/>
      <c r="F7" s="483" t="s">
        <v>303</v>
      </c>
      <c r="G7" s="483" t="str">
        <f>+F7</f>
        <v>As on
 01/01/2026</v>
      </c>
      <c r="H7" s="401"/>
      <c r="I7" s="482" t="str">
        <f>F7</f>
        <v>As on
 01/01/2026</v>
      </c>
      <c r="J7" s="484" t="str">
        <f>I7</f>
        <v>As on
 01/01/2026</v>
      </c>
    </row>
    <row r="8" spans="1:10" ht="13">
      <c r="A8" s="51"/>
      <c r="B8" s="485"/>
      <c r="C8" s="486"/>
      <c r="D8" s="487"/>
      <c r="E8" s="488"/>
      <c r="F8" s="596" t="s">
        <v>73</v>
      </c>
      <c r="G8" s="630"/>
      <c r="H8" s="404"/>
      <c r="I8" s="631" t="s">
        <v>67</v>
      </c>
      <c r="J8" s="632"/>
    </row>
    <row r="9" spans="1:10" ht="13">
      <c r="A9" s="51"/>
      <c r="B9" s="631" t="s">
        <v>74</v>
      </c>
      <c r="C9" s="630"/>
      <c r="D9" s="597"/>
      <c r="E9" s="489"/>
      <c r="F9" s="376" t="s">
        <v>75</v>
      </c>
      <c r="G9" s="376" t="s">
        <v>76</v>
      </c>
      <c r="H9" s="404"/>
      <c r="I9" s="381" t="s">
        <v>75</v>
      </c>
      <c r="J9" s="248" t="s">
        <v>76</v>
      </c>
    </row>
    <row r="10" spans="1:10" ht="27" customHeight="1">
      <c r="A10" s="51"/>
      <c r="B10" s="490">
        <v>1</v>
      </c>
      <c r="C10" s="645" t="s">
        <v>77</v>
      </c>
      <c r="D10" s="604"/>
      <c r="E10" s="491"/>
      <c r="F10" s="656" t="s">
        <v>299</v>
      </c>
      <c r="G10" s="657"/>
      <c r="H10" s="404"/>
      <c r="I10" s="652" t="str">
        <f>+F10</f>
        <v>Chennai</v>
      </c>
      <c r="J10" s="653"/>
    </row>
    <row r="11" spans="1:10" ht="28.5" customHeight="1">
      <c r="A11" s="51"/>
      <c r="B11" s="162">
        <f>1+B10</f>
        <v>2</v>
      </c>
      <c r="C11" s="646" t="s">
        <v>78</v>
      </c>
      <c r="D11" s="647"/>
      <c r="E11" s="50"/>
      <c r="F11" s="656"/>
      <c r="G11" s="657"/>
      <c r="H11" s="404"/>
      <c r="I11" s="654">
        <f>+F11</f>
        <v>0</v>
      </c>
      <c r="J11" s="655"/>
    </row>
    <row r="12" spans="1:10" ht="27.75" customHeight="1">
      <c r="A12" s="51"/>
      <c r="B12" s="162">
        <f>1+B11</f>
        <v>3</v>
      </c>
      <c r="C12" s="590" t="s">
        <v>79</v>
      </c>
      <c r="D12" s="589"/>
      <c r="E12" s="492"/>
      <c r="F12" s="658"/>
      <c r="G12" s="659"/>
      <c r="H12" s="404"/>
      <c r="I12" s="674">
        <f>+F12</f>
        <v>0</v>
      </c>
      <c r="J12" s="675"/>
    </row>
    <row r="13" spans="1:10" ht="15.9" customHeight="1">
      <c r="A13" s="51"/>
      <c r="B13" s="162">
        <f t="shared" ref="B13:B30" si="0">1+B12</f>
        <v>4</v>
      </c>
      <c r="C13" s="590" t="s">
        <v>80</v>
      </c>
      <c r="D13" s="589"/>
      <c r="E13" s="50"/>
      <c r="F13" s="661"/>
      <c r="G13" s="659"/>
      <c r="H13" s="404"/>
      <c r="I13" s="674"/>
      <c r="J13" s="675"/>
    </row>
    <row r="14" spans="1:10" ht="48" customHeight="1">
      <c r="A14" s="51"/>
      <c r="B14" s="162">
        <f t="shared" si="0"/>
        <v>5</v>
      </c>
      <c r="C14" s="648" t="s">
        <v>81</v>
      </c>
      <c r="D14" s="649"/>
      <c r="E14" s="476"/>
      <c r="F14" s="658" t="s">
        <v>300</v>
      </c>
      <c r="G14" s="660"/>
      <c r="H14" s="404"/>
      <c r="I14" s="674" t="str">
        <f>+F14</f>
        <v>6th floor</v>
      </c>
      <c r="J14" s="675"/>
    </row>
    <row r="15" spans="1:10" ht="51.75" customHeight="1">
      <c r="A15" s="51"/>
      <c r="B15" s="162">
        <f t="shared" si="0"/>
        <v>6</v>
      </c>
      <c r="C15" s="590" t="s">
        <v>82</v>
      </c>
      <c r="D15" s="589"/>
      <c r="E15" s="58"/>
      <c r="F15" s="596"/>
      <c r="G15" s="630"/>
      <c r="H15" s="404"/>
      <c r="I15" s="631">
        <f>+F15</f>
        <v>0</v>
      </c>
      <c r="J15" s="632"/>
    </row>
    <row r="16" spans="1:10" ht="15.9" customHeight="1">
      <c r="A16" s="51"/>
      <c r="B16" s="162">
        <f t="shared" si="0"/>
        <v>7</v>
      </c>
      <c r="C16" s="590" t="s">
        <v>83</v>
      </c>
      <c r="D16" s="589"/>
      <c r="E16" s="58"/>
      <c r="F16" s="661"/>
      <c r="G16" s="659"/>
      <c r="H16" s="404"/>
      <c r="I16" s="674"/>
      <c r="J16" s="675"/>
    </row>
    <row r="17" spans="1:10" ht="15.9" customHeight="1">
      <c r="A17" s="51"/>
      <c r="B17" s="162">
        <f t="shared" si="0"/>
        <v>8</v>
      </c>
      <c r="C17" s="590" t="s">
        <v>84</v>
      </c>
      <c r="D17" s="589"/>
      <c r="E17" s="58"/>
      <c r="F17" s="658" t="s">
        <v>85</v>
      </c>
      <c r="G17" s="659"/>
      <c r="H17" s="404"/>
      <c r="I17" s="674" t="str">
        <f>+F17</f>
        <v>Warm Shell</v>
      </c>
      <c r="J17" s="675"/>
    </row>
    <row r="18" spans="1:10" ht="48" customHeight="1">
      <c r="A18" s="51"/>
      <c r="B18" s="162">
        <f t="shared" si="0"/>
        <v>9</v>
      </c>
      <c r="C18" s="590" t="s">
        <v>86</v>
      </c>
      <c r="D18" s="589"/>
      <c r="E18" s="163"/>
      <c r="F18" s="596">
        <f>F15</f>
        <v>0</v>
      </c>
      <c r="G18" s="630"/>
      <c r="H18" s="404"/>
      <c r="I18" s="631">
        <f>+F18</f>
        <v>0</v>
      </c>
      <c r="J18" s="632"/>
    </row>
    <row r="19" spans="1:10" ht="15.9" customHeight="1">
      <c r="A19" s="51"/>
      <c r="B19" s="162">
        <f t="shared" si="0"/>
        <v>10</v>
      </c>
      <c r="C19" s="590" t="s">
        <v>87</v>
      </c>
      <c r="D19" s="589"/>
      <c r="E19" s="163"/>
      <c r="F19" s="661"/>
      <c r="G19" s="659"/>
      <c r="H19" s="404"/>
      <c r="I19" s="674"/>
      <c r="J19" s="675"/>
    </row>
    <row r="20" spans="1:10" ht="15.9" customHeight="1">
      <c r="A20" s="51"/>
      <c r="B20" s="162">
        <f t="shared" si="0"/>
        <v>11</v>
      </c>
      <c r="C20" s="588" t="s">
        <v>88</v>
      </c>
      <c r="D20" s="589"/>
      <c r="E20" s="494"/>
      <c r="F20" s="56"/>
      <c r="G20" s="388"/>
      <c r="H20" s="404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590" t="s">
        <v>89</v>
      </c>
      <c r="D21" s="589"/>
      <c r="E21" s="494"/>
      <c r="F21" s="56">
        <f>Main!B3</f>
        <v>9515</v>
      </c>
      <c r="G21" s="388">
        <f>F21/F6</f>
        <v>883.96506874767749</v>
      </c>
      <c r="H21" s="404"/>
      <c r="I21" s="133">
        <f>+F21</f>
        <v>9515</v>
      </c>
      <c r="J21" s="57">
        <f>I21/I6</f>
        <v>883.96506874767749</v>
      </c>
    </row>
    <row r="22" spans="1:10" ht="15.9" customHeight="1">
      <c r="A22" s="495"/>
      <c r="B22" s="162">
        <f t="shared" si="0"/>
        <v>13</v>
      </c>
      <c r="C22" s="588" t="s">
        <v>90</v>
      </c>
      <c r="D22" s="589"/>
      <c r="E22" s="494"/>
      <c r="F22" s="56">
        <v>0</v>
      </c>
      <c r="G22" s="387">
        <v>0</v>
      </c>
      <c r="H22" s="404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590" t="s">
        <v>91</v>
      </c>
      <c r="D23" s="589"/>
      <c r="E23" s="494"/>
      <c r="F23" s="56">
        <f>+F21+F22</f>
        <v>9515</v>
      </c>
      <c r="G23" s="388">
        <f>+G21+G22</f>
        <v>883.96506874767749</v>
      </c>
      <c r="H23" s="404"/>
      <c r="I23" s="133">
        <f>+I21+I22</f>
        <v>9515</v>
      </c>
      <c r="J23" s="57">
        <f>+J21+J22</f>
        <v>883.96506874767749</v>
      </c>
    </row>
    <row r="24" spans="1:10" ht="15.9" customHeight="1">
      <c r="A24" s="496"/>
      <c r="B24" s="162">
        <f t="shared" si="0"/>
        <v>15</v>
      </c>
      <c r="C24" s="590" t="s">
        <v>92</v>
      </c>
      <c r="D24" s="589"/>
      <c r="E24" s="59"/>
      <c r="F24" s="56"/>
      <c r="G24" s="388">
        <f>F24</f>
        <v>0</v>
      </c>
      <c r="H24" s="404"/>
      <c r="I24" s="133">
        <f>+F24</f>
        <v>0</v>
      </c>
      <c r="J24" s="57">
        <f>I24</f>
        <v>0</v>
      </c>
    </row>
    <row r="25" spans="1:10" ht="15.9" customHeight="1">
      <c r="A25" s="496"/>
      <c r="B25" s="162">
        <f t="shared" si="0"/>
        <v>16</v>
      </c>
      <c r="C25" s="590" t="s">
        <v>93</v>
      </c>
      <c r="D25" s="589"/>
      <c r="E25" s="59"/>
      <c r="F25" s="56">
        <v>0</v>
      </c>
      <c r="G25" s="388">
        <f>+G23*G26</f>
        <v>0</v>
      </c>
      <c r="H25" s="404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590" t="s">
        <v>94</v>
      </c>
      <c r="D26" s="589"/>
      <c r="E26" s="60"/>
      <c r="F26" s="61">
        <f>F25/F23</f>
        <v>0</v>
      </c>
      <c r="G26" s="199">
        <f>+F26</f>
        <v>0</v>
      </c>
      <c r="H26" s="404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588" t="s">
        <v>95</v>
      </c>
      <c r="D27" s="589"/>
      <c r="E27" s="58"/>
      <c r="F27" s="293">
        <f>'CAPEX and PM'!E3</f>
        <v>72</v>
      </c>
      <c r="G27" s="293">
        <f>+F27</f>
        <v>72</v>
      </c>
      <c r="H27" s="404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588" t="s">
        <v>96</v>
      </c>
      <c r="D28" s="589"/>
      <c r="E28" s="64"/>
      <c r="F28" s="64">
        <f>Main!B12</f>
        <v>0.105</v>
      </c>
      <c r="G28" s="200">
        <f>SUM(F28)</f>
        <v>0.105</v>
      </c>
      <c r="H28" s="404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588" t="s">
        <v>97</v>
      </c>
      <c r="D29" s="589"/>
      <c r="E29" s="64"/>
      <c r="F29" s="60">
        <f>Main!B13</f>
        <v>7.1099999999999997E-2</v>
      </c>
      <c r="G29" s="201">
        <f>F29</f>
        <v>7.1099999999999997E-2</v>
      </c>
      <c r="H29" s="404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590" t="s">
        <v>98</v>
      </c>
      <c r="D30" s="589"/>
      <c r="E30" s="58"/>
      <c r="F30" s="56">
        <v>0</v>
      </c>
      <c r="G30" s="388">
        <f>F30</f>
        <v>0</v>
      </c>
      <c r="H30" s="404"/>
      <c r="I30" s="133">
        <f>+F30/J5</f>
        <v>0</v>
      </c>
      <c r="J30" s="57">
        <f>+G30/J5</f>
        <v>0</v>
      </c>
    </row>
    <row r="31" spans="1:10" ht="15.9" customHeight="1">
      <c r="A31" s="51"/>
      <c r="B31" s="676" t="s">
        <v>99</v>
      </c>
      <c r="C31" s="677"/>
      <c r="D31" s="678"/>
      <c r="E31" s="497"/>
      <c r="F31" s="376" t="s">
        <v>75</v>
      </c>
      <c r="G31" s="376" t="s">
        <v>76</v>
      </c>
      <c r="H31" s="404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588" t="s">
        <v>100</v>
      </c>
      <c r="D32" s="589"/>
      <c r="E32" s="59"/>
      <c r="F32" s="56">
        <f>Main!B9/(Main!B3*Main!B7)</f>
        <v>10</v>
      </c>
      <c r="G32" s="204">
        <f>+F32</f>
        <v>10</v>
      </c>
      <c r="H32" s="404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588" t="s">
        <v>101</v>
      </c>
      <c r="D33" s="589"/>
      <c r="E33" s="59"/>
      <c r="F33" s="56">
        <v>0</v>
      </c>
      <c r="G33" s="388">
        <f>+F33</f>
        <v>0</v>
      </c>
      <c r="H33" s="404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588" t="s">
        <v>102</v>
      </c>
      <c r="D34" s="589"/>
      <c r="E34" s="59"/>
      <c r="F34" s="56">
        <v>0</v>
      </c>
      <c r="G34" s="388">
        <f>F34</f>
        <v>0</v>
      </c>
      <c r="H34" s="404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590" t="s">
        <v>103</v>
      </c>
      <c r="D35" s="589"/>
      <c r="E35" s="498"/>
      <c r="F35" s="68">
        <v>0</v>
      </c>
      <c r="G35" s="203">
        <v>0</v>
      </c>
      <c r="H35" s="404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588" t="s">
        <v>104</v>
      </c>
      <c r="D36" s="589"/>
      <c r="E36" s="498"/>
      <c r="F36" s="70">
        <f>'Lease Rent'!H37</f>
        <v>120</v>
      </c>
      <c r="G36" s="388">
        <f>+F36*F6</f>
        <v>1291.6799999999998</v>
      </c>
      <c r="H36" s="404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588" t="s">
        <v>105</v>
      </c>
      <c r="D37" s="589"/>
      <c r="E37" s="498"/>
      <c r="F37" s="70"/>
      <c r="G37" s="204">
        <f>F37*F3</f>
        <v>0</v>
      </c>
      <c r="H37" s="404"/>
      <c r="I37" s="138"/>
      <c r="J37" s="57"/>
    </row>
    <row r="38" spans="1:10" ht="15.9" customHeight="1">
      <c r="A38" s="51"/>
      <c r="B38" s="162">
        <f t="shared" si="1"/>
        <v>7</v>
      </c>
      <c r="C38" s="588" t="s">
        <v>106</v>
      </c>
      <c r="D38" s="589"/>
      <c r="E38" s="71"/>
      <c r="F38" s="70">
        <f>'Lease Rent'!J31</f>
        <v>15.48</v>
      </c>
      <c r="G38" s="204">
        <f>F38*F6</f>
        <v>166.62672000000001</v>
      </c>
      <c r="H38" s="404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588" t="s">
        <v>107</v>
      </c>
      <c r="D39" s="589"/>
      <c r="E39" s="498"/>
      <c r="F39" s="70">
        <f>F36</f>
        <v>120</v>
      </c>
      <c r="G39" s="388">
        <f>F39*F6</f>
        <v>1291.6799999999998</v>
      </c>
      <c r="H39" s="404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588" t="s">
        <v>108</v>
      </c>
      <c r="D40" s="589"/>
      <c r="E40" s="498"/>
      <c r="F40" s="70">
        <v>0</v>
      </c>
      <c r="G40" s="204">
        <f>F40*F6</f>
        <v>0</v>
      </c>
      <c r="H40" s="404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588" t="s">
        <v>109</v>
      </c>
      <c r="D41" s="589"/>
      <c r="E41" s="58"/>
      <c r="F41" s="114">
        <f>F38</f>
        <v>15.48</v>
      </c>
      <c r="G41" s="204">
        <f>F41*F6</f>
        <v>166.62672000000001</v>
      </c>
      <c r="H41" s="404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590" t="s">
        <v>110</v>
      </c>
      <c r="D42" s="589"/>
      <c r="E42" s="59"/>
      <c r="F42" s="109">
        <v>0</v>
      </c>
      <c r="G42" s="388">
        <f>+F42</f>
        <v>0</v>
      </c>
      <c r="H42" s="404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590" t="s">
        <v>111</v>
      </c>
      <c r="D43" s="589"/>
      <c r="E43" s="73"/>
      <c r="F43" s="68">
        <v>0</v>
      </c>
      <c r="G43" s="203">
        <f>F43</f>
        <v>0</v>
      </c>
      <c r="H43" s="404"/>
      <c r="I43" s="137">
        <f>+F43</f>
        <v>0</v>
      </c>
      <c r="J43" s="69">
        <f>I43</f>
        <v>0</v>
      </c>
    </row>
    <row r="44" spans="1:10" ht="15.9" customHeight="1">
      <c r="A44" s="496"/>
      <c r="B44" s="162">
        <f t="shared" si="1"/>
        <v>13</v>
      </c>
      <c r="C44" s="590" t="s">
        <v>112</v>
      </c>
      <c r="D44" s="589"/>
      <c r="E44" s="59"/>
      <c r="F44" s="56">
        <f>'Lease Rent'!C22</f>
        <v>1500</v>
      </c>
      <c r="G44" s="388">
        <f>F44</f>
        <v>1500</v>
      </c>
      <c r="H44" s="404"/>
      <c r="I44" s="138">
        <f>+F44/$J$5</f>
        <v>14.282993715482766</v>
      </c>
      <c r="J44" s="69">
        <f>I44</f>
        <v>14.282993715482766</v>
      </c>
    </row>
    <row r="45" spans="1:10" ht="15.9" customHeight="1">
      <c r="A45" s="496"/>
      <c r="B45" s="162">
        <f t="shared" si="1"/>
        <v>14</v>
      </c>
      <c r="C45" s="588" t="s">
        <v>113</v>
      </c>
      <c r="D45" s="589"/>
      <c r="E45" s="59"/>
      <c r="F45" s="109">
        <v>0</v>
      </c>
      <c r="G45" s="388">
        <f>+F45</f>
        <v>0</v>
      </c>
      <c r="H45" s="404"/>
      <c r="I45" s="133"/>
      <c r="J45" s="57">
        <f>+I45</f>
        <v>0</v>
      </c>
    </row>
    <row r="46" spans="1:10" ht="15.9" customHeight="1">
      <c r="A46" s="496"/>
      <c r="B46" s="162">
        <f t="shared" si="1"/>
        <v>15</v>
      </c>
      <c r="C46" s="590" t="s">
        <v>111</v>
      </c>
      <c r="D46" s="589"/>
      <c r="E46" s="59"/>
      <c r="F46" s="56">
        <f>'Lease Rent'!D23</f>
        <v>50</v>
      </c>
      <c r="G46" s="388"/>
      <c r="H46" s="404"/>
      <c r="I46" s="133"/>
      <c r="J46" s="57"/>
    </row>
    <row r="47" spans="1:10" ht="15.9" customHeight="1">
      <c r="A47" s="496"/>
      <c r="B47" s="162">
        <f t="shared" si="1"/>
        <v>16</v>
      </c>
      <c r="C47" s="590" t="s">
        <v>112</v>
      </c>
      <c r="D47" s="589"/>
      <c r="E47" s="59"/>
      <c r="F47" s="56">
        <f>'Lease Rent'!C23</f>
        <v>1000</v>
      </c>
      <c r="G47" s="388"/>
      <c r="H47" s="404"/>
      <c r="I47" s="133"/>
      <c r="J47" s="57"/>
    </row>
    <row r="48" spans="1:10" ht="28.5" customHeight="1">
      <c r="A48" s="51"/>
      <c r="B48" s="635">
        <f>1+B47</f>
        <v>17</v>
      </c>
      <c r="C48" s="588" t="s">
        <v>114</v>
      </c>
      <c r="D48" s="589"/>
      <c r="E48" s="73"/>
      <c r="F48" s="681" t="str">
        <f>Main!B14</f>
        <v>15% every 3 years</v>
      </c>
      <c r="G48" s="682"/>
      <c r="H48" s="404"/>
      <c r="I48" s="674" t="str">
        <f>+F48</f>
        <v>15% every 3 years</v>
      </c>
      <c r="J48" s="675"/>
    </row>
    <row r="49" spans="1:18" ht="15.9" customHeight="1">
      <c r="A49" s="51"/>
      <c r="B49" s="636"/>
      <c r="C49" s="588" t="s">
        <v>115</v>
      </c>
      <c r="D49" s="589"/>
      <c r="E49" s="73"/>
      <c r="F49" s="681" t="str">
        <f>Main!B15</f>
        <v>5% every years</v>
      </c>
      <c r="G49" s="682"/>
      <c r="H49" s="404"/>
      <c r="I49" s="679" t="str">
        <f t="shared" ref="I49:I56" si="2">F49</f>
        <v>5% every years</v>
      </c>
      <c r="J49" s="680"/>
    </row>
    <row r="50" spans="1:18" ht="15.9" customHeight="1">
      <c r="A50" s="51"/>
      <c r="B50" s="162">
        <f>1+B48</f>
        <v>18</v>
      </c>
      <c r="C50" s="590" t="s">
        <v>116</v>
      </c>
      <c r="D50" s="589"/>
      <c r="E50" s="73"/>
      <c r="F50" s="626">
        <f>'Lease Rent'!B31</f>
        <v>46023</v>
      </c>
      <c r="G50" s="627"/>
      <c r="H50" s="404"/>
      <c r="I50" s="628">
        <f t="shared" si="2"/>
        <v>46023</v>
      </c>
      <c r="J50" s="629"/>
    </row>
    <row r="51" spans="1:18" ht="15.9" customHeight="1">
      <c r="A51" s="51"/>
      <c r="B51" s="162">
        <f t="shared" ref="B51:B57" si="3">1+B50</f>
        <v>19</v>
      </c>
      <c r="C51" s="588" t="s">
        <v>117</v>
      </c>
      <c r="D51" s="589"/>
      <c r="E51" s="73"/>
      <c r="F51" s="626">
        <f>'Lease Rent'!C102</f>
        <v>48213</v>
      </c>
      <c r="G51" s="627"/>
      <c r="H51" s="404"/>
      <c r="I51" s="628">
        <f>F51</f>
        <v>48213</v>
      </c>
      <c r="J51" s="629"/>
    </row>
    <row r="52" spans="1:18" ht="15.9" customHeight="1">
      <c r="A52" s="51"/>
      <c r="B52" s="162">
        <f t="shared" si="3"/>
        <v>20</v>
      </c>
      <c r="C52" s="588" t="s">
        <v>118</v>
      </c>
      <c r="D52" s="598"/>
      <c r="E52" s="73"/>
      <c r="F52" s="626">
        <f>F50</f>
        <v>46023</v>
      </c>
      <c r="G52" s="627"/>
      <c r="H52" s="404"/>
      <c r="I52" s="628">
        <f t="shared" si="2"/>
        <v>46023</v>
      </c>
      <c r="J52" s="629"/>
    </row>
    <row r="53" spans="1:18" ht="15.9" customHeight="1">
      <c r="A53" s="51"/>
      <c r="B53" s="162">
        <f t="shared" si="3"/>
        <v>21</v>
      </c>
      <c r="C53" s="588" t="s">
        <v>119</v>
      </c>
      <c r="D53" s="598"/>
      <c r="E53" s="73"/>
      <c r="F53" s="596">
        <v>0</v>
      </c>
      <c r="G53" s="630"/>
      <c r="H53" s="404"/>
      <c r="I53" s="631">
        <f>+F53</f>
        <v>0</v>
      </c>
      <c r="J53" s="632"/>
    </row>
    <row r="54" spans="1:18" ht="15.9" customHeight="1">
      <c r="A54" s="51"/>
      <c r="B54" s="162">
        <f t="shared" si="3"/>
        <v>22</v>
      </c>
      <c r="C54" s="590" t="s">
        <v>120</v>
      </c>
      <c r="D54" s="589"/>
      <c r="E54" s="58"/>
      <c r="F54" s="56">
        <f>(F51-F50)/365*12</f>
        <v>72</v>
      </c>
      <c r="G54" s="388">
        <f>F54</f>
        <v>72</v>
      </c>
      <c r="H54" s="404"/>
      <c r="I54" s="133">
        <f t="shared" si="2"/>
        <v>72</v>
      </c>
      <c r="J54" s="57">
        <f>I54</f>
        <v>72</v>
      </c>
      <c r="R54" s="546"/>
    </row>
    <row r="55" spans="1:18" ht="15.9" customHeight="1">
      <c r="A55" s="51"/>
      <c r="B55" s="162">
        <f t="shared" si="3"/>
        <v>23</v>
      </c>
      <c r="C55" s="590" t="s">
        <v>121</v>
      </c>
      <c r="D55" s="589"/>
      <c r="E55" s="71"/>
      <c r="F55" s="56">
        <v>0</v>
      </c>
      <c r="G55" s="388">
        <f>F55</f>
        <v>0</v>
      </c>
      <c r="H55" s="404"/>
      <c r="I55" s="133">
        <f t="shared" si="2"/>
        <v>0</v>
      </c>
      <c r="J55" s="57">
        <f>I55</f>
        <v>0</v>
      </c>
      <c r="R55" s="546"/>
    </row>
    <row r="56" spans="1:18" ht="15.9" customHeight="1">
      <c r="A56" s="51"/>
      <c r="B56" s="162">
        <f t="shared" si="3"/>
        <v>24</v>
      </c>
      <c r="C56" s="590" t="s">
        <v>122</v>
      </c>
      <c r="D56" s="589"/>
      <c r="E56" s="71"/>
      <c r="F56" s="302" t="s">
        <v>68</v>
      </c>
      <c r="G56" s="388" t="str">
        <f>+F56</f>
        <v xml:space="preserve"> </v>
      </c>
      <c r="H56" s="404"/>
      <c r="I56" s="133" t="str">
        <f t="shared" si="2"/>
        <v xml:space="preserve"> </v>
      </c>
      <c r="J56" s="57" t="str">
        <f>+I56</f>
        <v xml:space="preserve"> </v>
      </c>
      <c r="R56" s="546"/>
    </row>
    <row r="57" spans="1:18" ht="15.9" customHeight="1">
      <c r="A57" s="51"/>
      <c r="B57" s="162">
        <f t="shared" si="3"/>
        <v>25</v>
      </c>
      <c r="C57" s="590" t="s">
        <v>123</v>
      </c>
      <c r="D57" s="589"/>
      <c r="E57" s="71"/>
      <c r="F57" s="56"/>
      <c r="G57" s="388"/>
      <c r="H57" s="404"/>
      <c r="I57" s="133"/>
      <c r="J57" s="57"/>
      <c r="R57" s="546"/>
    </row>
    <row r="58" spans="1:18" ht="15.9" customHeight="1">
      <c r="A58" s="51"/>
      <c r="B58" s="381"/>
      <c r="C58" s="74"/>
      <c r="D58" s="74"/>
      <c r="E58" s="58"/>
      <c r="F58" s="596" t="s">
        <v>73</v>
      </c>
      <c r="G58" s="630"/>
      <c r="H58" s="404"/>
      <c r="I58" s="631" t="s">
        <v>67</v>
      </c>
      <c r="J58" s="632"/>
    </row>
    <row r="59" spans="1:18" ht="15.9" customHeight="1">
      <c r="A59" s="51"/>
      <c r="B59" s="633" t="s">
        <v>124</v>
      </c>
      <c r="C59" s="634"/>
      <c r="D59" s="634"/>
      <c r="E59" s="497"/>
      <c r="F59" s="376" t="s">
        <v>75</v>
      </c>
      <c r="G59" s="376" t="s">
        <v>76</v>
      </c>
      <c r="H59" s="404"/>
      <c r="I59" s="381" t="s">
        <v>75</v>
      </c>
      <c r="J59" s="248" t="s">
        <v>76</v>
      </c>
    </row>
    <row r="60" spans="1:18" ht="15.9" customHeight="1">
      <c r="A60" s="495"/>
      <c r="B60" s="162">
        <v>1</v>
      </c>
      <c r="C60" s="588" t="s">
        <v>125</v>
      </c>
      <c r="D60" s="589"/>
      <c r="E60" s="499"/>
      <c r="F60" s="70">
        <f>C220/F21/F54</f>
        <v>129</v>
      </c>
      <c r="G60" s="388">
        <f>+F60*F6</f>
        <v>1388.5559999999998</v>
      </c>
      <c r="H60" s="404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495"/>
      <c r="B61" s="162">
        <f>1+B60</f>
        <v>2</v>
      </c>
      <c r="C61" s="588" t="s">
        <v>126</v>
      </c>
      <c r="D61" s="589"/>
      <c r="E61" s="499"/>
      <c r="F61" s="70">
        <v>0</v>
      </c>
      <c r="G61" s="388">
        <v>0</v>
      </c>
      <c r="H61" s="404"/>
      <c r="I61" s="138">
        <f>+F61/$J$5</f>
        <v>0</v>
      </c>
      <c r="J61" s="57">
        <f>G61/J5</f>
        <v>0</v>
      </c>
    </row>
    <row r="62" spans="1:18" ht="15.9" customHeight="1">
      <c r="A62" s="500"/>
      <c r="B62" s="162">
        <f t="shared" ref="B62:B83" si="4">1+B61</f>
        <v>3</v>
      </c>
      <c r="C62" s="591" t="s">
        <v>127</v>
      </c>
      <c r="D62" s="592"/>
      <c r="E62" s="75"/>
      <c r="F62" s="76">
        <f>F60+F61</f>
        <v>129</v>
      </c>
      <c r="G62" s="206">
        <f>+G60+G61</f>
        <v>1388.5559999999998</v>
      </c>
      <c r="H62" s="404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588" t="s">
        <v>321</v>
      </c>
      <c r="D63" s="589"/>
      <c r="E63" s="56"/>
      <c r="F63" s="54">
        <f>F62*F21</f>
        <v>1227435</v>
      </c>
      <c r="G63" s="385">
        <f>+F63</f>
        <v>1227435</v>
      </c>
      <c r="H63" s="404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588" t="s">
        <v>128</v>
      </c>
      <c r="D64" s="589"/>
      <c r="E64" s="56"/>
      <c r="F64" s="70">
        <f>I220/F21/F54</f>
        <v>17.548935056250006</v>
      </c>
      <c r="G64" s="388">
        <f>+F64*F6</f>
        <v>188.89673694547506</v>
      </c>
      <c r="H64" s="404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01"/>
      <c r="B65" s="162">
        <f t="shared" si="4"/>
        <v>6</v>
      </c>
      <c r="C65" s="590" t="s">
        <v>322</v>
      </c>
      <c r="D65" s="589"/>
      <c r="E65" s="71"/>
      <c r="F65" s="54">
        <f>+F64*F21</f>
        <v>166978.11706021879</v>
      </c>
      <c r="G65" s="54">
        <f>+G64*G21*1.01</f>
        <v>168647.89823082101</v>
      </c>
      <c r="H65" s="404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590" t="s">
        <v>323</v>
      </c>
      <c r="D66" s="589"/>
      <c r="E66" s="59"/>
      <c r="F66" s="56">
        <f>(+G220/F54)</f>
        <v>182750</v>
      </c>
      <c r="G66" s="388">
        <f>+F66</f>
        <v>182750</v>
      </c>
      <c r="H66" s="404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590" t="s">
        <v>129</v>
      </c>
      <c r="D67" s="589"/>
      <c r="E67" s="56"/>
      <c r="F67" s="56">
        <f>Main!B9</f>
        <v>11418000</v>
      </c>
      <c r="G67" s="388">
        <f>F67</f>
        <v>11418000</v>
      </c>
      <c r="H67" s="404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590" t="s">
        <v>130</v>
      </c>
      <c r="D68" s="589"/>
      <c r="E68" s="56"/>
      <c r="F68" s="56">
        <v>0</v>
      </c>
      <c r="G68" s="388">
        <f>F68</f>
        <v>0</v>
      </c>
      <c r="H68" s="404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588" t="s">
        <v>131</v>
      </c>
      <c r="D69" s="589"/>
      <c r="E69" s="56"/>
      <c r="F69" s="56">
        <v>500000</v>
      </c>
      <c r="G69" s="388">
        <f>+F69</f>
        <v>500000</v>
      </c>
      <c r="H69" s="404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590" t="s">
        <v>132</v>
      </c>
      <c r="D70" s="589"/>
      <c r="E70" s="56"/>
      <c r="F70" s="54">
        <v>0</v>
      </c>
      <c r="G70" s="385"/>
      <c r="H70" s="404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590" t="s">
        <v>133</v>
      </c>
      <c r="D71" s="589"/>
      <c r="E71" s="56"/>
      <c r="F71" s="54">
        <f>F38*F23*F33</f>
        <v>0</v>
      </c>
      <c r="G71" s="205">
        <f>F71</f>
        <v>0</v>
      </c>
      <c r="H71" s="404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590" t="s">
        <v>134</v>
      </c>
      <c r="D72" s="589"/>
      <c r="E72" s="56"/>
      <c r="F72" s="56">
        <v>0</v>
      </c>
      <c r="G72" s="203">
        <f>+F72</f>
        <v>0</v>
      </c>
      <c r="H72" s="404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588" t="s">
        <v>135</v>
      </c>
      <c r="D73" s="589"/>
      <c r="E73" s="498"/>
      <c r="F73" s="68">
        <f>+F35*F63</f>
        <v>0</v>
      </c>
      <c r="G73" s="203">
        <f>G35*G63</f>
        <v>0</v>
      </c>
      <c r="H73" s="404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474" t="s">
        <v>136</v>
      </c>
      <c r="D74" s="475"/>
      <c r="E74" s="498"/>
      <c r="F74" s="356">
        <f>F119</f>
        <v>654</v>
      </c>
      <c r="G74" s="460">
        <v>0</v>
      </c>
      <c r="H74" s="404"/>
      <c r="I74" s="138">
        <f>+F74/J5</f>
        <v>6.227385259950486</v>
      </c>
      <c r="J74" s="57">
        <f t="shared" si="6"/>
        <v>67.031574938107028</v>
      </c>
    </row>
    <row r="75" spans="1:10" ht="15.9" customHeight="1">
      <c r="A75" s="51"/>
      <c r="B75" s="162">
        <f t="shared" si="4"/>
        <v>16</v>
      </c>
      <c r="C75" s="588" t="s">
        <v>137</v>
      </c>
      <c r="D75" s="589"/>
      <c r="E75" s="59"/>
      <c r="F75" s="56">
        <f>+F77/F23</f>
        <v>1471.3610089332633</v>
      </c>
      <c r="G75" s="203">
        <f>+G77/G23</f>
        <v>15837.729900157645</v>
      </c>
      <c r="H75" s="404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588" t="s">
        <v>138</v>
      </c>
      <c r="D76" s="589"/>
      <c r="E76" s="71"/>
      <c r="F76" s="51"/>
      <c r="G76" s="493"/>
      <c r="H76" s="404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588" t="s">
        <v>139</v>
      </c>
      <c r="D77" s="589"/>
      <c r="E77" s="71"/>
      <c r="F77" s="56">
        <f>'CAPEX and PM'!B6</f>
        <v>14000000</v>
      </c>
      <c r="G77" s="388">
        <f>F77</f>
        <v>14000000</v>
      </c>
      <c r="H77" s="404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588" t="s">
        <v>140</v>
      </c>
      <c r="D78" s="589"/>
      <c r="E78" s="71"/>
      <c r="F78" s="56">
        <f>'CAPEX and PM'!B37</f>
        <v>43000000</v>
      </c>
      <c r="G78" s="388">
        <f>+F78</f>
        <v>43000000</v>
      </c>
      <c r="H78" s="404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588" t="s">
        <v>141</v>
      </c>
      <c r="D79" s="589"/>
      <c r="E79" s="71"/>
      <c r="F79" s="56">
        <f>+'CAPEX and PM'!B95</f>
        <v>2500000</v>
      </c>
      <c r="G79" s="388">
        <f>F79</f>
        <v>2500000</v>
      </c>
      <c r="H79" s="404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588" t="s">
        <v>142</v>
      </c>
      <c r="D80" s="589"/>
      <c r="E80" s="71"/>
      <c r="F80" s="56"/>
      <c r="G80" s="388"/>
      <c r="H80" s="404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588" t="s">
        <v>143</v>
      </c>
      <c r="D81" s="598"/>
      <c r="E81" s="71"/>
      <c r="F81" s="56"/>
      <c r="G81" s="388"/>
      <c r="H81" s="404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588" t="s">
        <v>144</v>
      </c>
      <c r="D82" s="589"/>
      <c r="E82" s="59"/>
      <c r="F82" s="56">
        <f>+G207</f>
        <v>565315.30184775486</v>
      </c>
      <c r="G82" s="388">
        <f>+F82</f>
        <v>565315.30184775486</v>
      </c>
      <c r="H82" s="404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588" t="s">
        <v>324</v>
      </c>
      <c r="D83" s="589"/>
      <c r="E83" s="498"/>
      <c r="F83" s="56">
        <f>+F30</f>
        <v>0</v>
      </c>
      <c r="G83" s="388">
        <f>+F83</f>
        <v>0</v>
      </c>
      <c r="H83" s="404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04"/>
      <c r="I84" s="94"/>
      <c r="J84" s="81"/>
    </row>
    <row r="85" spans="1:24" ht="15.9" customHeight="1">
      <c r="A85" s="51"/>
      <c r="B85" s="610" t="s">
        <v>145</v>
      </c>
      <c r="C85" s="611"/>
      <c r="D85" s="612"/>
      <c r="E85" s="389"/>
      <c r="F85" s="161" t="s">
        <v>75</v>
      </c>
      <c r="G85" s="161" t="s">
        <v>76</v>
      </c>
      <c r="H85" s="404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588" t="s">
        <v>146</v>
      </c>
      <c r="D86" s="589"/>
      <c r="E86" s="71"/>
      <c r="F86" s="70">
        <f>+F62</f>
        <v>129</v>
      </c>
      <c r="G86" s="204">
        <f>+G62</f>
        <v>1388.5559999999998</v>
      </c>
      <c r="H86" s="404"/>
      <c r="I86" s="138">
        <f>+F86/J5</f>
        <v>1.228337459531518</v>
      </c>
      <c r="J86" s="72">
        <f>G86/J5</f>
        <v>13.221824414397256</v>
      </c>
      <c r="S86" s="400"/>
      <c r="T86" s="400"/>
      <c r="X86" s="406"/>
    </row>
    <row r="87" spans="1:24" ht="15.9" customHeight="1">
      <c r="A87" s="51"/>
      <c r="B87" s="162">
        <f>1+B86</f>
        <v>2</v>
      </c>
      <c r="C87" s="590" t="s">
        <v>147</v>
      </c>
      <c r="D87" s="589"/>
      <c r="E87" s="73"/>
      <c r="F87" s="56">
        <v>0</v>
      </c>
      <c r="G87" s="388">
        <v>0</v>
      </c>
      <c r="H87" s="404"/>
      <c r="I87" s="133">
        <v>0</v>
      </c>
      <c r="J87" s="57">
        <v>0</v>
      </c>
      <c r="T87" s="400"/>
    </row>
    <row r="88" spans="1:24" ht="15.9" customHeight="1">
      <c r="A88" s="51"/>
      <c r="B88" s="162">
        <f t="shared" ref="B88:B94" si="7">+B87+1</f>
        <v>3</v>
      </c>
      <c r="C88" s="590" t="s">
        <v>148</v>
      </c>
      <c r="D88" s="589"/>
      <c r="E88" s="73"/>
      <c r="F88" s="70">
        <f>(F66/F23)</f>
        <v>19.206516027325275</v>
      </c>
      <c r="G88" s="204">
        <f>+F88*F6</f>
        <v>206.73893851812926</v>
      </c>
      <c r="H88" s="404"/>
      <c r="I88" s="138">
        <f>+F88/J5</f>
        <v>0.1828843651430706</v>
      </c>
      <c r="J88" s="72">
        <f>+I88*I6</f>
        <v>1.9685673064000118</v>
      </c>
      <c r="S88" s="400"/>
      <c r="T88" s="400"/>
    </row>
    <row r="89" spans="1:24" ht="15.9" customHeight="1">
      <c r="A89" s="51"/>
      <c r="B89" s="162">
        <f t="shared" si="7"/>
        <v>4</v>
      </c>
      <c r="C89" s="590" t="s">
        <v>149</v>
      </c>
      <c r="D89" s="589"/>
      <c r="E89" s="73"/>
      <c r="F89" s="66">
        <f>'Security Deposit'!C17</f>
        <v>10.729900157645822</v>
      </c>
      <c r="G89" s="202">
        <f>F89*F6</f>
        <v>115.49664529689963</v>
      </c>
      <c r="H89" s="404"/>
      <c r="I89" s="138">
        <f>F89/$J$5</f>
        <v>0.10217006434627521</v>
      </c>
      <c r="J89" s="72">
        <f>I89*I6</f>
        <v>1.0997585726233063</v>
      </c>
      <c r="S89" s="400"/>
      <c r="T89" s="400"/>
    </row>
    <row r="90" spans="1:24" ht="15.9" customHeight="1">
      <c r="A90" s="51"/>
      <c r="B90" s="162">
        <f t="shared" si="7"/>
        <v>5</v>
      </c>
      <c r="C90" s="590" t="s">
        <v>289</v>
      </c>
      <c r="D90" s="589"/>
      <c r="E90" s="73"/>
      <c r="F90" s="202">
        <f>+F64</f>
        <v>17.548935056250006</v>
      </c>
      <c r="G90" s="388">
        <f>+F90*$F$6</f>
        <v>188.89673694547506</v>
      </c>
      <c r="H90" s="404"/>
      <c r="I90" s="138">
        <f>F90/$J$5</f>
        <v>0.16710088608122267</v>
      </c>
      <c r="J90" s="72">
        <f>I90*I6</f>
        <v>1.7986739377782808</v>
      </c>
      <c r="S90" s="400"/>
      <c r="T90" s="400"/>
    </row>
    <row r="91" spans="1:24" ht="15.9" customHeight="1">
      <c r="A91" s="165"/>
      <c r="B91" s="162">
        <f>+B89+1</f>
        <v>5</v>
      </c>
      <c r="C91" s="590" t="s">
        <v>150</v>
      </c>
      <c r="D91" s="589"/>
      <c r="E91" s="73"/>
      <c r="F91" s="66">
        <f>(+F83/F21/F54)</f>
        <v>0</v>
      </c>
      <c r="G91" s="202">
        <f>(+G83/G21/G54)</f>
        <v>0</v>
      </c>
      <c r="H91" s="404"/>
      <c r="I91" s="138">
        <f>F91/$J$5</f>
        <v>0</v>
      </c>
      <c r="J91" s="72">
        <f>+I91*$I$6</f>
        <v>0</v>
      </c>
      <c r="T91" s="400"/>
    </row>
    <row r="92" spans="1:24" ht="15.9" customHeight="1">
      <c r="A92" s="51"/>
      <c r="B92" s="162">
        <f t="shared" si="7"/>
        <v>6</v>
      </c>
      <c r="C92" s="590" t="s">
        <v>151</v>
      </c>
      <c r="D92" s="589"/>
      <c r="E92" s="73"/>
      <c r="F92" s="66">
        <f>F82/F21/F54</f>
        <v>0.82518144136123495</v>
      </c>
      <c r="G92" s="202">
        <f>G82/G21/G54</f>
        <v>8.882253034812333</v>
      </c>
      <c r="H92" s="404"/>
      <c r="I92" s="138">
        <f>+F92/J5</f>
        <v>7.8573742273970199E-3</v>
      </c>
      <c r="J92" s="72">
        <f>+I92*$I$6</f>
        <v>8.4576776183701519E-2</v>
      </c>
      <c r="S92" s="400"/>
      <c r="T92" s="400"/>
    </row>
    <row r="93" spans="1:24" ht="15.9" customHeight="1">
      <c r="A93" s="51"/>
      <c r="B93" s="162">
        <f t="shared" si="7"/>
        <v>7</v>
      </c>
      <c r="C93" s="588" t="s">
        <v>152</v>
      </c>
      <c r="D93" s="589"/>
      <c r="E93" s="71"/>
      <c r="F93" s="66">
        <f>+G93/F6</f>
        <v>26.005950294534241</v>
      </c>
      <c r="G93" s="202">
        <f>(+SUM(G86:G92)+G103)*7%</f>
        <v>279.92804897036655</v>
      </c>
      <c r="H93" s="404"/>
      <c r="I93" s="138">
        <f>+F93/J5</f>
        <v>0.24762854974799317</v>
      </c>
      <c r="J93" s="67">
        <f>I93*I6</f>
        <v>2.6654737094873981</v>
      </c>
      <c r="S93" s="400"/>
      <c r="T93" s="400"/>
    </row>
    <row r="94" spans="1:24" ht="15.9" customHeight="1">
      <c r="A94" s="51"/>
      <c r="B94" s="162">
        <f t="shared" si="7"/>
        <v>8</v>
      </c>
      <c r="C94" s="591" t="s">
        <v>69</v>
      </c>
      <c r="D94" s="592"/>
      <c r="E94" s="78"/>
      <c r="F94" s="213">
        <f>SUM(F86:F93)</f>
        <v>203.31648297711658</v>
      </c>
      <c r="G94" s="54">
        <f>SUM(G86:G93)</f>
        <v>2188.4986227656827</v>
      </c>
      <c r="H94" s="410"/>
      <c r="I94" s="191">
        <f>SUM(I86:I93)</f>
        <v>1.9359786990774766</v>
      </c>
      <c r="J94" s="192">
        <f>SUM(J86:J93)</f>
        <v>20.838874716869956</v>
      </c>
      <c r="S94" s="400"/>
      <c r="T94" s="400"/>
    </row>
    <row r="95" spans="1:24" ht="15.9" customHeight="1">
      <c r="A95" s="51"/>
      <c r="B95" s="381"/>
      <c r="C95" s="630"/>
      <c r="D95" s="630"/>
      <c r="E95" s="84"/>
      <c r="F95" s="85"/>
      <c r="G95" s="85"/>
      <c r="H95" s="404"/>
      <c r="I95" s="140"/>
      <c r="J95" s="86"/>
    </row>
    <row r="96" spans="1:24" ht="15.9" customHeight="1">
      <c r="A96" s="51"/>
      <c r="B96" s="593" t="s">
        <v>153</v>
      </c>
      <c r="C96" s="594"/>
      <c r="D96" s="594"/>
      <c r="E96" s="87"/>
      <c r="F96" s="161" t="s">
        <v>75</v>
      </c>
      <c r="G96" s="161" t="s">
        <v>76</v>
      </c>
      <c r="H96" s="404"/>
      <c r="I96" s="374" t="s">
        <v>75</v>
      </c>
      <c r="J96" s="53" t="s">
        <v>76</v>
      </c>
      <c r="W96" s="416"/>
    </row>
    <row r="97" spans="1:26" ht="15.9" customHeight="1">
      <c r="A97" s="51"/>
      <c r="B97" s="162">
        <v>1</v>
      </c>
      <c r="C97" s="590" t="str">
        <f>+C76</f>
        <v>Siemens Standard Fitout (Existing)</v>
      </c>
      <c r="D97" s="589"/>
      <c r="E97" s="88"/>
      <c r="F97" s="66">
        <f>'CAPEX and PM'!B29</f>
        <v>57.834863568245076</v>
      </c>
      <c r="G97" s="204">
        <f>+F97*F6</f>
        <v>622.53447144859001</v>
      </c>
      <c r="H97" s="404"/>
      <c r="I97" s="133">
        <f>F97/J5</f>
        <v>0.55070332858736504</v>
      </c>
      <c r="J97" s="57">
        <f>+I97*I6</f>
        <v>5.9277706289143968</v>
      </c>
      <c r="Z97" s="465"/>
    </row>
    <row r="98" spans="1:26" ht="15.9" customHeight="1">
      <c r="A98" s="51"/>
      <c r="B98" s="162">
        <f t="shared" ref="B98:B103" si="8">+B97+1</f>
        <v>2</v>
      </c>
      <c r="C98" s="590" t="str">
        <f>+C77</f>
        <v>Siemens Standard Fitout (New)</v>
      </c>
      <c r="D98" s="589"/>
      <c r="E98" s="71"/>
      <c r="F98" s="66">
        <f>'CAPEX and PM'!B29</f>
        <v>57.834863568245076</v>
      </c>
      <c r="G98" s="204">
        <f>+F98*F6</f>
        <v>622.53447144859001</v>
      </c>
      <c r="H98" s="404"/>
      <c r="I98" s="138">
        <f>+F98/$J$5</f>
        <v>0.55070332858736504</v>
      </c>
      <c r="J98" s="72">
        <f>+I98*$I$6</f>
        <v>5.9277706289143968</v>
      </c>
      <c r="S98" s="400"/>
      <c r="Z98" s="406"/>
    </row>
    <row r="99" spans="1:26" ht="15.9" customHeight="1">
      <c r="A99" s="51"/>
      <c r="B99" s="162">
        <f t="shared" si="8"/>
        <v>3</v>
      </c>
      <c r="C99" s="590" t="str">
        <f>+C78</f>
        <v>Capex over the period of lease period</v>
      </c>
      <c r="D99" s="589"/>
      <c r="E99" s="71"/>
      <c r="F99" s="66">
        <f>'CAPEX and PM'!B89</f>
        <v>73.736884743387648</v>
      </c>
      <c r="G99" s="204">
        <f>+F99*F6</f>
        <v>793.70382737782461</v>
      </c>
      <c r="H99" s="404"/>
      <c r="I99" s="138">
        <f>+F99/$J$5</f>
        <v>0.70212230759272187</v>
      </c>
      <c r="J99" s="72">
        <f>+I99*$I$6</f>
        <v>7.5576445189280577</v>
      </c>
      <c r="T99" s="400"/>
      <c r="W99" s="416"/>
    </row>
    <row r="100" spans="1:26" ht="15.9" customHeight="1">
      <c r="A100" s="51"/>
      <c r="B100" s="162">
        <f t="shared" si="8"/>
        <v>4</v>
      </c>
      <c r="C100" s="590" t="str">
        <f>+C79</f>
        <v>PM cost over the period of lease period</v>
      </c>
      <c r="D100" s="589"/>
      <c r="E100" s="71"/>
      <c r="F100" s="66">
        <f>+'CAPEX and PM'!B96</f>
        <v>3.6492088515209904</v>
      </c>
      <c r="G100" s="204">
        <f>+F100*F6</f>
        <v>39.280084077771939</v>
      </c>
      <c r="H100" s="404"/>
      <c r="I100" s="138">
        <f>+F100/$J$5</f>
        <v>3.4747751395172256E-2</v>
      </c>
      <c r="J100" s="72">
        <f>+I100*$I$6</f>
        <v>0.37402479601763416</v>
      </c>
      <c r="S100" s="400"/>
      <c r="T100" s="400"/>
    </row>
    <row r="101" spans="1:26" ht="15.9" customHeight="1">
      <c r="A101" s="51"/>
      <c r="B101" s="162">
        <f t="shared" si="8"/>
        <v>5</v>
      </c>
      <c r="C101" s="590" t="str">
        <f>+C80</f>
        <v>Asset Retirement Obligation ( Removal &amp; Restoration Obligation)</v>
      </c>
      <c r="D101" s="589"/>
      <c r="E101" s="71"/>
      <c r="F101" s="66">
        <f>'Security Deposit'!D25</f>
        <v>1.1472222222222224</v>
      </c>
      <c r="G101" s="204">
        <f>F101*10.764</f>
        <v>12.348700000000001</v>
      </c>
      <c r="H101" s="404"/>
      <c r="I101" s="136">
        <f>+F101/J5</f>
        <v>1.0923845193508117E-2</v>
      </c>
      <c r="J101" s="67">
        <f>+G101/J5</f>
        <v>0.11758426966292136</v>
      </c>
      <c r="S101" s="400"/>
      <c r="T101" s="400"/>
      <c r="V101" s="416"/>
      <c r="W101" s="473"/>
      <c r="Z101" s="465"/>
    </row>
    <row r="102" spans="1:26" ht="15.9" customHeight="1">
      <c r="A102" s="51"/>
      <c r="B102" s="162">
        <f t="shared" si="8"/>
        <v>6</v>
      </c>
      <c r="C102" s="588" t="s">
        <v>154</v>
      </c>
      <c r="D102" s="589"/>
      <c r="E102" s="73"/>
      <c r="F102" s="66">
        <f>+F81/F21/F27</f>
        <v>0</v>
      </c>
      <c r="G102" s="204">
        <f>+F102*F6</f>
        <v>0</v>
      </c>
      <c r="H102" s="404"/>
      <c r="I102" s="138">
        <f>+F102/J5</f>
        <v>0</v>
      </c>
      <c r="J102" s="72">
        <f>+I102*I6</f>
        <v>0</v>
      </c>
      <c r="U102" s="464"/>
      <c r="Z102" s="406"/>
    </row>
    <row r="103" spans="1:26" ht="15.9" customHeight="1">
      <c r="A103" s="51"/>
      <c r="B103" s="162">
        <f t="shared" si="8"/>
        <v>7</v>
      </c>
      <c r="C103" s="591" t="s">
        <v>155</v>
      </c>
      <c r="D103" s="592"/>
      <c r="E103" s="78"/>
      <c r="F103" s="54">
        <f>SUM(F97:F102)</f>
        <v>194.20304295362101</v>
      </c>
      <c r="G103" s="54">
        <f>SUM(G97:G102)</f>
        <v>2090.4015543527767</v>
      </c>
      <c r="H103" s="404"/>
      <c r="I103" s="139">
        <f>SUM(I97:I102)</f>
        <v>1.8492005613561322</v>
      </c>
      <c r="J103" s="139">
        <f>SUM(J97:J102)</f>
        <v>19.904794842437404</v>
      </c>
      <c r="S103" s="400"/>
      <c r="T103" s="400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04"/>
      <c r="I104" s="383"/>
      <c r="J104" s="384"/>
      <c r="S104" s="467"/>
    </row>
    <row r="105" spans="1:26" ht="15.9" customHeight="1">
      <c r="A105" s="51"/>
      <c r="B105" s="684" t="s">
        <v>156</v>
      </c>
      <c r="C105" s="605"/>
      <c r="D105" s="605"/>
      <c r="E105" s="87"/>
      <c r="F105" s="161" t="s">
        <v>75</v>
      </c>
      <c r="G105" s="161" t="s">
        <v>76</v>
      </c>
      <c r="H105" s="404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588" t="s">
        <v>69</v>
      </c>
      <c r="D106" s="589"/>
      <c r="E106" s="71"/>
      <c r="F106" s="56">
        <f>+F94</f>
        <v>203.31648297711658</v>
      </c>
      <c r="G106" s="56">
        <f>+G94</f>
        <v>2188.4986227656827</v>
      </c>
      <c r="H106" s="404"/>
      <c r="I106" s="136">
        <f>+I94</f>
        <v>1.9359786990774766</v>
      </c>
      <c r="J106" s="72">
        <f>+J94</f>
        <v>20.838874716869956</v>
      </c>
      <c r="S106" s="400"/>
      <c r="T106" s="400"/>
    </row>
    <row r="107" spans="1:26" ht="15.9" customHeight="1">
      <c r="A107" s="51"/>
      <c r="B107" s="162">
        <f>+B106+1</f>
        <v>2</v>
      </c>
      <c r="C107" s="588" t="s">
        <v>155</v>
      </c>
      <c r="D107" s="598"/>
      <c r="E107" s="71"/>
      <c r="F107" s="56">
        <f>+F103</f>
        <v>194.20304295362101</v>
      </c>
      <c r="G107" s="388">
        <f>+G103</f>
        <v>2090.4015543527767</v>
      </c>
      <c r="H107" s="404"/>
      <c r="I107" s="136">
        <f>+I103</f>
        <v>1.8492005613561322</v>
      </c>
      <c r="J107" s="72">
        <f>+J103</f>
        <v>19.904794842437404</v>
      </c>
      <c r="S107" s="400"/>
      <c r="W107" s="463"/>
    </row>
    <row r="108" spans="1:26" ht="15.9" customHeight="1">
      <c r="A108" s="77"/>
      <c r="B108" s="162">
        <f>+B107+1</f>
        <v>3</v>
      </c>
      <c r="C108" s="591" t="s">
        <v>157</v>
      </c>
      <c r="D108" s="592"/>
      <c r="E108" s="78"/>
      <c r="F108" s="54">
        <f>SUM(F106:F107)</f>
        <v>397.51952593073759</v>
      </c>
      <c r="G108" s="54">
        <f>SUM(G106:G107)</f>
        <v>4278.9001771184594</v>
      </c>
      <c r="H108" s="404"/>
      <c r="I108" s="191">
        <f>SUM(I106:I107)</f>
        <v>3.7851792604336087</v>
      </c>
      <c r="J108" s="82">
        <f>SUM(J106:J107)</f>
        <v>40.743669559307364</v>
      </c>
      <c r="S108" s="400"/>
      <c r="T108" s="400"/>
      <c r="U108" s="400"/>
      <c r="V108" s="406"/>
      <c r="W108" s="406"/>
      <c r="X108" s="406"/>
      <c r="Y108" s="400"/>
    </row>
    <row r="109" spans="1:26" ht="15.9" customHeight="1">
      <c r="A109" s="51"/>
      <c r="B109" s="593" t="s">
        <v>158</v>
      </c>
      <c r="C109" s="594"/>
      <c r="D109" s="594"/>
      <c r="E109" s="89"/>
      <c r="F109" s="161" t="s">
        <v>75</v>
      </c>
      <c r="G109" s="161" t="s">
        <v>76</v>
      </c>
      <c r="H109" s="404"/>
      <c r="I109" s="374" t="s">
        <v>75</v>
      </c>
      <c r="J109" s="53" t="s">
        <v>76</v>
      </c>
      <c r="U109" s="406"/>
    </row>
    <row r="110" spans="1:26" ht="15.9" customHeight="1">
      <c r="A110" s="51"/>
      <c r="B110" s="249">
        <v>1</v>
      </c>
      <c r="C110" s="588" t="s">
        <v>159</v>
      </c>
      <c r="D110" s="598"/>
      <c r="E110" s="83"/>
      <c r="F110" s="376"/>
      <c r="G110" s="376"/>
      <c r="H110" s="404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588" t="s">
        <v>160</v>
      </c>
      <c r="D111" s="598"/>
      <c r="E111" s="83"/>
      <c r="F111" s="376"/>
      <c r="G111" s="376"/>
      <c r="H111" s="404"/>
      <c r="I111" s="381"/>
      <c r="J111" s="248"/>
      <c r="X111" s="400"/>
      <c r="Y111" s="408"/>
    </row>
    <row r="112" spans="1:26" ht="15.9" customHeight="1">
      <c r="A112" s="51"/>
      <c r="B112" s="162">
        <f t="shared" si="9"/>
        <v>3</v>
      </c>
      <c r="C112" s="588" t="s">
        <v>161</v>
      </c>
      <c r="D112" s="598"/>
      <c r="E112" s="83"/>
      <c r="F112" s="388">
        <f>+F64*0</f>
        <v>0</v>
      </c>
      <c r="G112" s="207">
        <f>+F112*$F$6</f>
        <v>0</v>
      </c>
      <c r="H112" s="404"/>
      <c r="I112" s="156">
        <f>+F112/$J$5</f>
        <v>0</v>
      </c>
      <c r="J112" s="198">
        <f>+I112*$F$6</f>
        <v>0</v>
      </c>
      <c r="X112" s="400"/>
      <c r="Y112" s="400"/>
    </row>
    <row r="113" spans="1:26" ht="15.9" customHeight="1">
      <c r="A113" s="51"/>
      <c r="B113" s="162">
        <f t="shared" si="9"/>
        <v>4</v>
      </c>
      <c r="C113" s="588" t="s">
        <v>162</v>
      </c>
      <c r="D113" s="598"/>
      <c r="E113" s="83"/>
      <c r="F113" s="376"/>
      <c r="G113" s="376"/>
      <c r="H113" s="404"/>
      <c r="I113" s="381"/>
      <c r="J113" s="248"/>
    </row>
    <row r="114" spans="1:26" ht="15.9" customHeight="1">
      <c r="A114" s="51"/>
      <c r="B114" s="162">
        <f t="shared" si="9"/>
        <v>5</v>
      </c>
      <c r="C114" s="588" t="s">
        <v>163</v>
      </c>
      <c r="D114" s="598"/>
      <c r="E114" s="83"/>
      <c r="F114" s="376"/>
      <c r="G114" s="376"/>
      <c r="H114" s="404"/>
      <c r="I114" s="381"/>
      <c r="J114" s="248"/>
    </row>
    <row r="115" spans="1:26" ht="15.9" customHeight="1">
      <c r="A115" s="51"/>
      <c r="B115" s="162">
        <f t="shared" si="9"/>
        <v>6</v>
      </c>
      <c r="C115" s="588" t="s">
        <v>164</v>
      </c>
      <c r="D115" s="598"/>
      <c r="E115" s="83"/>
      <c r="F115" s="376"/>
      <c r="G115" s="376"/>
      <c r="H115" s="404"/>
      <c r="I115" s="381"/>
      <c r="J115" s="248"/>
    </row>
    <row r="116" spans="1:26" ht="15.9" customHeight="1">
      <c r="A116" s="51"/>
      <c r="B116" s="162">
        <f t="shared" si="9"/>
        <v>7</v>
      </c>
      <c r="C116" s="588" t="s">
        <v>165</v>
      </c>
      <c r="D116" s="598"/>
      <c r="E116" s="83"/>
      <c r="F116" s="376"/>
      <c r="G116" s="376"/>
      <c r="H116" s="404"/>
      <c r="I116" s="381"/>
      <c r="J116" s="248"/>
    </row>
    <row r="117" spans="1:26" ht="15.9" customHeight="1">
      <c r="A117" s="51"/>
      <c r="B117" s="162">
        <f t="shared" si="9"/>
        <v>8</v>
      </c>
      <c r="C117" s="588" t="s">
        <v>166</v>
      </c>
      <c r="D117" s="589"/>
      <c r="E117" s="252"/>
      <c r="F117" s="360">
        <v>654</v>
      </c>
      <c r="G117" s="207">
        <f>F117</f>
        <v>654</v>
      </c>
      <c r="H117" s="404"/>
      <c r="I117" s="156">
        <f>+F117/$J$5</f>
        <v>6.227385259950486</v>
      </c>
      <c r="J117" s="131">
        <f>+I117*I6</f>
        <v>67.031574938107028</v>
      </c>
      <c r="T117" s="409"/>
    </row>
    <row r="118" spans="1:26" ht="15.9" customHeight="1">
      <c r="A118" s="51"/>
      <c r="B118" s="162">
        <f t="shared" si="9"/>
        <v>9</v>
      </c>
      <c r="C118" s="588" t="s">
        <v>167</v>
      </c>
      <c r="D118" s="598"/>
      <c r="E118" s="252"/>
      <c r="F118" s="90"/>
      <c r="G118" s="90">
        <f>G117*7%</f>
        <v>45.78</v>
      </c>
      <c r="H118" s="404"/>
      <c r="I118" s="156">
        <f>+F118/$J$5</f>
        <v>0</v>
      </c>
      <c r="J118" s="131">
        <f>+I118*I6</f>
        <v>0</v>
      </c>
    </row>
    <row r="119" spans="1:26" ht="15.9" customHeight="1">
      <c r="A119" s="77"/>
      <c r="B119" s="162">
        <f t="shared" si="9"/>
        <v>10</v>
      </c>
      <c r="C119" s="591" t="s">
        <v>168</v>
      </c>
      <c r="D119" s="592"/>
      <c r="E119" s="253"/>
      <c r="F119" s="54">
        <f>SUM(F110:F118)</f>
        <v>654</v>
      </c>
      <c r="G119" s="385">
        <f>SUM(G110:G118)</f>
        <v>699.78</v>
      </c>
      <c r="H119" s="404"/>
      <c r="I119" s="191">
        <f>SUM(I110:I118)</f>
        <v>6.227385259950486</v>
      </c>
      <c r="J119" s="82">
        <f>G119/$J$5</f>
        <v>6.6633022281470193</v>
      </c>
      <c r="S119" s="400"/>
      <c r="T119" s="400"/>
      <c r="U119" s="400"/>
    </row>
    <row r="120" spans="1:26" ht="15.9" customHeight="1">
      <c r="A120" s="77"/>
      <c r="B120" s="162"/>
      <c r="C120" s="596"/>
      <c r="D120" s="597"/>
      <c r="E120" s="78"/>
      <c r="F120" s="54"/>
      <c r="G120" s="385"/>
      <c r="H120" s="404"/>
      <c r="I120" s="191"/>
      <c r="J120" s="82"/>
      <c r="U120" s="407"/>
      <c r="X120" s="406"/>
      <c r="Y120" s="406"/>
      <c r="Z120" s="406"/>
    </row>
    <row r="121" spans="1:26" ht="15.9" customHeight="1">
      <c r="A121" s="77"/>
      <c r="B121" s="593" t="s">
        <v>169</v>
      </c>
      <c r="C121" s="594"/>
      <c r="D121" s="594"/>
      <c r="E121" s="89"/>
      <c r="F121" s="161" t="s">
        <v>75</v>
      </c>
      <c r="G121" s="161" t="s">
        <v>76</v>
      </c>
      <c r="H121" s="404"/>
      <c r="I121" s="374" t="s">
        <v>75</v>
      </c>
      <c r="J121" s="53" t="s">
        <v>76</v>
      </c>
      <c r="T121" s="406"/>
      <c r="U121" s="406"/>
    </row>
    <row r="122" spans="1:26" ht="15.9" customHeight="1">
      <c r="A122" s="77"/>
      <c r="B122" s="251">
        <v>1</v>
      </c>
      <c r="C122" s="588" t="s">
        <v>170</v>
      </c>
      <c r="D122" s="598"/>
      <c r="E122" s="78"/>
      <c r="F122" s="54"/>
      <c r="G122" s="385"/>
      <c r="H122" s="404"/>
      <c r="I122" s="191"/>
      <c r="J122" s="82"/>
    </row>
    <row r="123" spans="1:26" ht="15.9" customHeight="1">
      <c r="A123" s="77"/>
      <c r="B123" s="162">
        <v>2</v>
      </c>
      <c r="C123" s="591" t="s">
        <v>171</v>
      </c>
      <c r="D123" s="592"/>
      <c r="E123" s="78"/>
      <c r="F123" s="54">
        <f>SUM(F122)</f>
        <v>0</v>
      </c>
      <c r="G123" s="385">
        <f>SUM(G122)</f>
        <v>0</v>
      </c>
      <c r="H123" s="404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596"/>
      <c r="D124" s="597"/>
      <c r="E124" s="63"/>
      <c r="F124" s="54"/>
      <c r="G124" s="385"/>
      <c r="H124" s="404"/>
      <c r="I124" s="132"/>
      <c r="J124" s="55"/>
    </row>
    <row r="125" spans="1:26" ht="15.9" customHeight="1">
      <c r="A125" s="77"/>
      <c r="B125" s="593" t="s">
        <v>172</v>
      </c>
      <c r="C125" s="594"/>
      <c r="D125" s="594"/>
      <c r="E125" s="89"/>
      <c r="F125" s="161" t="s">
        <v>75</v>
      </c>
      <c r="G125" s="161" t="s">
        <v>76</v>
      </c>
      <c r="H125" s="404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588" t="s">
        <v>173</v>
      </c>
      <c r="D126" s="598"/>
      <c r="E126" s="250"/>
      <c r="F126" s="385"/>
      <c r="G126" s="385"/>
      <c r="H126" s="404"/>
      <c r="I126" s="383"/>
      <c r="J126" s="55"/>
    </row>
    <row r="127" spans="1:26" ht="15.9" customHeight="1">
      <c r="A127" s="77"/>
      <c r="B127" s="251">
        <f>1+B126</f>
        <v>2</v>
      </c>
      <c r="C127" s="588" t="s">
        <v>174</v>
      </c>
      <c r="D127" s="598"/>
      <c r="E127" s="250"/>
      <c r="F127" s="385"/>
      <c r="G127" s="385"/>
      <c r="H127" s="404"/>
      <c r="I127" s="383"/>
      <c r="J127" s="55"/>
    </row>
    <row r="128" spans="1:26" ht="15.9" customHeight="1">
      <c r="A128" s="77"/>
      <c r="B128" s="251">
        <f>1+B127</f>
        <v>3</v>
      </c>
      <c r="C128" s="588" t="s">
        <v>175</v>
      </c>
      <c r="D128" s="598"/>
      <c r="E128" s="250"/>
      <c r="F128" s="385"/>
      <c r="G128" s="385"/>
      <c r="H128" s="404"/>
      <c r="I128" s="383"/>
      <c r="J128" s="55"/>
    </row>
    <row r="129" spans="1:20" ht="15.9" customHeight="1">
      <c r="A129" s="77"/>
      <c r="B129" s="251">
        <f>1+B128</f>
        <v>4</v>
      </c>
      <c r="C129" s="588" t="s">
        <v>176</v>
      </c>
      <c r="D129" s="598"/>
      <c r="E129" s="250"/>
      <c r="F129" s="385"/>
      <c r="G129" s="385"/>
      <c r="H129" s="404"/>
      <c r="I129" s="383"/>
      <c r="J129" s="55"/>
    </row>
    <row r="130" spans="1:20" ht="15.9" customHeight="1">
      <c r="A130" s="77"/>
      <c r="B130" s="251">
        <f>1+B129</f>
        <v>5</v>
      </c>
      <c r="C130" s="588" t="s">
        <v>177</v>
      </c>
      <c r="D130" s="598"/>
      <c r="E130" s="250"/>
      <c r="F130" s="385"/>
      <c r="G130" s="385"/>
      <c r="H130" s="404"/>
      <c r="I130" s="383"/>
      <c r="J130" s="55"/>
    </row>
    <row r="131" spans="1:20" ht="15.9" customHeight="1">
      <c r="A131" s="77"/>
      <c r="B131" s="251">
        <f>1+B130</f>
        <v>6</v>
      </c>
      <c r="C131" s="588" t="s">
        <v>178</v>
      </c>
      <c r="D131" s="598"/>
      <c r="E131" s="250"/>
      <c r="F131" s="385"/>
      <c r="G131" s="385"/>
      <c r="H131" s="404"/>
      <c r="I131" s="383"/>
      <c r="J131" s="55"/>
    </row>
    <row r="132" spans="1:20" ht="15.9" customHeight="1">
      <c r="A132" s="77"/>
      <c r="B132" s="381">
        <v>7</v>
      </c>
      <c r="C132" s="591" t="s">
        <v>179</v>
      </c>
      <c r="D132" s="592"/>
      <c r="E132" s="250"/>
      <c r="F132" s="385">
        <f>SUM(F126:F131)</f>
        <v>0</v>
      </c>
      <c r="G132" s="385">
        <f>SUM(G126:G131)</f>
        <v>0</v>
      </c>
      <c r="H132" s="404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630"/>
      <c r="D133" s="597"/>
      <c r="E133" s="250"/>
      <c r="F133" s="385"/>
      <c r="G133" s="385"/>
      <c r="H133" s="404"/>
      <c r="I133" s="383"/>
      <c r="J133" s="55"/>
    </row>
    <row r="134" spans="1:20" ht="15.9" customHeight="1">
      <c r="A134" s="51"/>
      <c r="B134" s="593" t="s">
        <v>180</v>
      </c>
      <c r="C134" s="594"/>
      <c r="D134" s="594"/>
      <c r="E134" s="89"/>
      <c r="F134" s="161" t="s">
        <v>75</v>
      </c>
      <c r="G134" s="161" t="s">
        <v>76</v>
      </c>
      <c r="H134" s="404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591" t="s">
        <v>181</v>
      </c>
      <c r="D135" s="592"/>
      <c r="E135" s="78"/>
      <c r="F135" s="54">
        <f>F119+F108+F123+F132</f>
        <v>1051.5195259307375</v>
      </c>
      <c r="G135" s="385">
        <f>G119+G108+G123+G132</f>
        <v>4978.6801771184591</v>
      </c>
      <c r="H135" s="404"/>
      <c r="I135" s="191">
        <f>I119+I108+I123+I132</f>
        <v>10.012564520384094</v>
      </c>
      <c r="J135" s="192">
        <f>J119+J108+J123+J132</f>
        <v>47.406971787454381</v>
      </c>
      <c r="S135" s="408"/>
      <c r="T135" s="406"/>
    </row>
    <row r="136" spans="1:20" ht="15.9" customHeight="1">
      <c r="A136" s="77"/>
      <c r="B136" s="162"/>
      <c r="C136" s="596"/>
      <c r="D136" s="597"/>
      <c r="E136" s="78"/>
      <c r="F136" s="54"/>
      <c r="G136" s="385"/>
      <c r="H136" s="404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596" t="s">
        <v>73</v>
      </c>
      <c r="G137" s="630"/>
      <c r="H137" s="404"/>
      <c r="I137" s="631" t="s">
        <v>67</v>
      </c>
      <c r="J137" s="632"/>
    </row>
    <row r="138" spans="1:20" ht="15.9" hidden="1" customHeight="1">
      <c r="A138" s="51"/>
      <c r="B138" s="593" t="s">
        <v>182</v>
      </c>
      <c r="C138" s="594"/>
      <c r="D138" s="595"/>
      <c r="E138" s="161"/>
      <c r="F138" s="161" t="s">
        <v>75</v>
      </c>
      <c r="G138" s="161" t="s">
        <v>76</v>
      </c>
      <c r="H138" s="404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599"/>
      <c r="D139" s="600"/>
      <c r="E139" s="163"/>
      <c r="F139" s="54"/>
      <c r="G139" s="385"/>
      <c r="H139" s="404"/>
      <c r="I139" s="132"/>
      <c r="J139" s="55"/>
    </row>
    <row r="140" spans="1:20" ht="15.9" hidden="1" customHeight="1">
      <c r="A140" s="51"/>
      <c r="B140" s="91"/>
      <c r="C140" s="588" t="s">
        <v>183</v>
      </c>
      <c r="D140" s="589"/>
      <c r="E140" s="58"/>
      <c r="F140" s="243">
        <f>F21</f>
        <v>9515</v>
      </c>
      <c r="G140" s="244">
        <f>F140/F6</f>
        <v>883.96506874767749</v>
      </c>
      <c r="H140" s="411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590" t="s">
        <v>184</v>
      </c>
      <c r="D141" s="589"/>
      <c r="E141" s="59"/>
      <c r="F141" s="56">
        <f>F24</f>
        <v>0</v>
      </c>
      <c r="G141" s="388">
        <f>G24</f>
        <v>0</v>
      </c>
      <c r="H141" s="404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590" t="s">
        <v>185</v>
      </c>
      <c r="D142" s="589"/>
      <c r="E142" s="73"/>
      <c r="F142" s="56" t="e">
        <f>+#REF!</f>
        <v>#REF!</v>
      </c>
      <c r="G142" s="388" t="e">
        <f>+#REF!</f>
        <v>#REF!</v>
      </c>
      <c r="H142" s="404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588" t="s">
        <v>186</v>
      </c>
      <c r="D143" s="589"/>
      <c r="E143" s="73"/>
      <c r="F143" s="56">
        <f>F108</f>
        <v>397.51952593073759</v>
      </c>
      <c r="G143" s="388">
        <f>+G108</f>
        <v>4278.9001771184594</v>
      </c>
      <c r="H143" s="404"/>
      <c r="I143" s="133">
        <f>I108</f>
        <v>3.7851792604336087</v>
      </c>
      <c r="J143" s="72">
        <f>+J108</f>
        <v>40.743669559307364</v>
      </c>
    </row>
    <row r="144" spans="1:20" ht="15.9" hidden="1" customHeight="1">
      <c r="A144" s="51"/>
      <c r="B144" s="91"/>
      <c r="C144" s="618" t="s">
        <v>187</v>
      </c>
      <c r="D144" s="619"/>
      <c r="E144" s="92"/>
      <c r="F144" s="93">
        <f>F119</f>
        <v>654</v>
      </c>
      <c r="G144" s="208">
        <f>G119</f>
        <v>699.78</v>
      </c>
      <c r="H144" s="404"/>
      <c r="I144" s="141">
        <f>I119</f>
        <v>6.227385259950486</v>
      </c>
      <c r="J144" s="130">
        <f>J119</f>
        <v>6.6633022281470193</v>
      </c>
    </row>
    <row r="145" spans="1:10" ht="15.9" hidden="1" customHeight="1">
      <c r="A145" s="77"/>
      <c r="B145" s="162"/>
      <c r="C145" s="591" t="s">
        <v>188</v>
      </c>
      <c r="D145" s="592"/>
      <c r="E145" s="78"/>
      <c r="F145" s="245" t="e">
        <f>F135*#REF!</f>
        <v>#REF!</v>
      </c>
      <c r="G145" s="246" t="e">
        <f>G135*#REF!</f>
        <v>#REF!</v>
      </c>
      <c r="H145" s="404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04"/>
      <c r="I146" s="142"/>
      <c r="J146" s="98"/>
    </row>
    <row r="147" spans="1:10" ht="15.9" customHeight="1">
      <c r="A147" s="77"/>
      <c r="B147" s="593" t="s">
        <v>189</v>
      </c>
      <c r="C147" s="594"/>
      <c r="D147" s="595"/>
      <c r="E147" s="379"/>
      <c r="F147" s="379" t="s">
        <v>190</v>
      </c>
      <c r="G147" s="161" t="s">
        <v>190</v>
      </c>
      <c r="H147" s="404"/>
      <c r="I147" s="382" t="s">
        <v>67</v>
      </c>
      <c r="J147" s="53" t="s">
        <v>67</v>
      </c>
    </row>
    <row r="148" spans="1:10" ht="15.9" customHeight="1">
      <c r="A148" s="51"/>
      <c r="B148" s="99"/>
      <c r="C148" s="599"/>
      <c r="D148" s="600"/>
      <c r="E148" s="100"/>
      <c r="F148" s="101"/>
      <c r="G148" s="209"/>
      <c r="H148" s="404"/>
      <c r="I148" s="143"/>
      <c r="J148" s="102"/>
    </row>
    <row r="149" spans="1:10" ht="15.9" customHeight="1">
      <c r="A149" s="51"/>
      <c r="B149" s="99"/>
      <c r="C149" s="590" t="s">
        <v>191</v>
      </c>
      <c r="D149" s="589"/>
      <c r="E149" s="100"/>
      <c r="F149" s="101">
        <f>(+F63)*115%</f>
        <v>1411550.25</v>
      </c>
      <c r="G149" s="101">
        <f>+F149</f>
        <v>1411550.25</v>
      </c>
      <c r="H149" s="404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590" t="s">
        <v>192</v>
      </c>
      <c r="D150" s="589"/>
      <c r="E150" s="100"/>
      <c r="F150" s="101">
        <v>0</v>
      </c>
      <c r="G150" s="209">
        <v>0</v>
      </c>
      <c r="H150" s="404"/>
      <c r="I150" s="143">
        <v>0</v>
      </c>
      <c r="J150" s="102">
        <v>0</v>
      </c>
    </row>
    <row r="151" spans="1:10" ht="15.9" customHeight="1">
      <c r="A151" s="51"/>
      <c r="B151" s="99"/>
      <c r="C151" s="590" t="s">
        <v>193</v>
      </c>
      <c r="D151" s="589"/>
      <c r="E151" s="100"/>
      <c r="F151" s="101">
        <f>(+F65)*115%</f>
        <v>192024.8346192516</v>
      </c>
      <c r="G151" s="209">
        <f>+F151</f>
        <v>192024.8346192516</v>
      </c>
      <c r="H151" s="404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590" t="s">
        <v>194</v>
      </c>
      <c r="D152" s="589"/>
      <c r="E152" s="100"/>
      <c r="F152" s="101">
        <f>(+F66)*115%</f>
        <v>210162.49999999997</v>
      </c>
      <c r="G152" s="209">
        <f>+F152</f>
        <v>210162.49999999997</v>
      </c>
      <c r="H152" s="404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588" t="s">
        <v>195</v>
      </c>
      <c r="D153" s="589"/>
      <c r="E153" s="103"/>
      <c r="F153" s="104">
        <f>SUM(F149:F152)</f>
        <v>1813737.5846192515</v>
      </c>
      <c r="G153" s="210">
        <f>SUM(G149:G152)</f>
        <v>1813737.5846192515</v>
      </c>
      <c r="H153" s="404"/>
      <c r="I153" s="461">
        <f>SUM(I149:I152)</f>
        <v>17270.401681767777</v>
      </c>
      <c r="J153" s="462">
        <f>SUM(J149:J152)</f>
        <v>17270.401681767777</v>
      </c>
    </row>
    <row r="154" spans="1:10" ht="15.9" customHeight="1">
      <c r="A154" s="51"/>
      <c r="B154" s="99"/>
      <c r="C154" s="588" t="s">
        <v>196</v>
      </c>
      <c r="D154" s="589"/>
      <c r="E154" s="105"/>
      <c r="F154" s="101">
        <f>+F153*12</f>
        <v>21764851.015431017</v>
      </c>
      <c r="G154" s="209">
        <f>+G153*12</f>
        <v>21764851.015431017</v>
      </c>
      <c r="H154" s="404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599"/>
      <c r="D155" s="600"/>
      <c r="E155" s="105"/>
      <c r="F155" s="101"/>
      <c r="G155" s="209"/>
      <c r="H155" s="404"/>
      <c r="I155" s="143"/>
      <c r="J155" s="102"/>
    </row>
    <row r="156" spans="1:10" ht="15.9" customHeight="1">
      <c r="A156" s="51"/>
      <c r="B156" s="593" t="s">
        <v>197</v>
      </c>
      <c r="C156" s="594"/>
      <c r="D156" s="595"/>
      <c r="E156" s="375"/>
      <c r="F156" s="379" t="s">
        <v>190</v>
      </c>
      <c r="G156" s="161" t="s">
        <v>190</v>
      </c>
      <c r="H156" s="404"/>
      <c r="I156" s="382" t="s">
        <v>67</v>
      </c>
      <c r="J156" s="53" t="s">
        <v>67</v>
      </c>
    </row>
    <row r="157" spans="1:10" ht="15.9" customHeight="1">
      <c r="A157" s="51"/>
      <c r="B157" s="99"/>
      <c r="C157" s="599"/>
      <c r="D157" s="600"/>
      <c r="E157" s="105"/>
      <c r="F157" s="101"/>
      <c r="G157" s="209"/>
      <c r="H157" s="404"/>
      <c r="I157" s="143"/>
      <c r="J157" s="102"/>
    </row>
    <row r="158" spans="1:10" ht="15.9" customHeight="1">
      <c r="A158" s="51"/>
      <c r="B158" s="99"/>
      <c r="C158" s="616" t="s">
        <v>198</v>
      </c>
      <c r="D158" s="617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588" t="s">
        <v>199</v>
      </c>
      <c r="D159" s="598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588" t="s">
        <v>200</v>
      </c>
      <c r="D160" s="598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591" t="s">
        <v>29</v>
      </c>
      <c r="D161" s="592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599"/>
      <c r="D162" s="600"/>
      <c r="E162" s="105"/>
      <c r="F162" s="101"/>
      <c r="G162" s="209"/>
      <c r="H162" s="404"/>
      <c r="I162" s="143"/>
      <c r="J162" s="102"/>
    </row>
    <row r="163" spans="1:22" ht="15.9" customHeight="1">
      <c r="A163" s="106"/>
      <c r="B163" s="610" t="s">
        <v>201</v>
      </c>
      <c r="C163" s="611"/>
      <c r="D163" s="612"/>
      <c r="E163" s="683"/>
      <c r="F163" s="161" t="s">
        <v>75</v>
      </c>
      <c r="G163" s="161" t="s">
        <v>76</v>
      </c>
      <c r="H163" s="404"/>
      <c r="I163" s="374" t="s">
        <v>75</v>
      </c>
      <c r="J163" s="53" t="s">
        <v>76</v>
      </c>
    </row>
    <row r="164" spans="1:22" ht="15.9" customHeight="1">
      <c r="A164" s="106"/>
      <c r="B164" s="613"/>
      <c r="C164" s="614"/>
      <c r="D164" s="615"/>
      <c r="E164" s="603"/>
      <c r="F164" s="161" t="s">
        <v>73</v>
      </c>
      <c r="G164" s="161" t="s">
        <v>73</v>
      </c>
      <c r="H164" s="404"/>
      <c r="I164" s="374" t="s">
        <v>67</v>
      </c>
      <c r="J164" s="53" t="s">
        <v>67</v>
      </c>
    </row>
    <row r="165" spans="1:22" ht="15.9" customHeight="1">
      <c r="A165" s="107"/>
      <c r="B165" s="99"/>
      <c r="C165" s="599"/>
      <c r="D165" s="600"/>
      <c r="E165" s="59"/>
      <c r="F165" s="56"/>
      <c r="G165" s="388"/>
      <c r="H165" s="404"/>
      <c r="I165" s="133"/>
      <c r="J165" s="57"/>
    </row>
    <row r="166" spans="1:22" ht="15.9" customHeight="1">
      <c r="A166" s="107"/>
      <c r="B166" s="99"/>
      <c r="C166" s="601" t="str">
        <f>+C106</f>
        <v>Net Rent I</v>
      </c>
      <c r="D166" s="602"/>
      <c r="E166" s="59"/>
      <c r="F166" s="56">
        <f>+F106</f>
        <v>203.31648297711658</v>
      </c>
      <c r="G166" s="388">
        <f>+G106</f>
        <v>2188.4986227656827</v>
      </c>
      <c r="H166" s="404"/>
      <c r="I166" s="136">
        <f>+I106</f>
        <v>1.9359786990774766</v>
      </c>
      <c r="J166" s="67">
        <f>+J106</f>
        <v>20.838874716869956</v>
      </c>
      <c r="T166" s="409"/>
    </row>
    <row r="167" spans="1:22" ht="15.9" customHeight="1">
      <c r="A167" s="107"/>
      <c r="B167" s="99"/>
      <c r="C167" s="601" t="str">
        <f>+C107</f>
        <v>Net Rent II</v>
      </c>
      <c r="D167" s="602"/>
      <c r="E167" s="59"/>
      <c r="F167" s="56">
        <f>+F107</f>
        <v>194.20304295362101</v>
      </c>
      <c r="G167" s="388">
        <f>+G107</f>
        <v>2090.4015543527767</v>
      </c>
      <c r="H167" s="404"/>
      <c r="I167" s="136">
        <f>+I107</f>
        <v>1.8492005613561322</v>
      </c>
      <c r="J167" s="67">
        <f>+J107</f>
        <v>19.904794842437404</v>
      </c>
      <c r="T167" s="409"/>
    </row>
    <row r="168" spans="1:22" ht="15.9" customHeight="1">
      <c r="A168" s="107"/>
      <c r="B168" s="147"/>
      <c r="C168" s="606" t="s">
        <v>202</v>
      </c>
      <c r="D168" s="607"/>
      <c r="E168" s="148"/>
      <c r="F168" s="149">
        <f>SUM(F166:F167)</f>
        <v>397.51952593073759</v>
      </c>
      <c r="G168" s="211">
        <f>SUM(G166:G167)</f>
        <v>4278.9001771184594</v>
      </c>
      <c r="H168" s="212"/>
      <c r="I168" s="234">
        <f>SUM(I166:I167)</f>
        <v>3.7851792604336087</v>
      </c>
      <c r="J168" s="214">
        <f>SUM(J166:J167)</f>
        <v>40.743669559307364</v>
      </c>
      <c r="T168" s="409"/>
      <c r="V168" s="409"/>
    </row>
    <row r="169" spans="1:22" ht="15.9" customHeight="1">
      <c r="A169" s="107"/>
      <c r="B169" s="162"/>
      <c r="C169" s="608"/>
      <c r="D169" s="609"/>
      <c r="E169" s="75"/>
      <c r="F169" s="54"/>
      <c r="G169" s="385"/>
      <c r="H169" s="279"/>
      <c r="I169" s="191"/>
      <c r="J169" s="192"/>
      <c r="U169" s="409"/>
      <c r="V169" s="400"/>
    </row>
    <row r="170" spans="1:22" ht="15.9" customHeight="1">
      <c r="A170" s="107"/>
      <c r="B170" s="99"/>
      <c r="C170" s="601" t="str">
        <f>+C119</f>
        <v xml:space="preserve">OpEx I </v>
      </c>
      <c r="D170" s="602"/>
      <c r="E170" s="59"/>
      <c r="F170" s="56">
        <f>+F119</f>
        <v>654</v>
      </c>
      <c r="G170" s="56">
        <f>+G119</f>
        <v>699.78</v>
      </c>
      <c r="H170" s="404"/>
      <c r="I170" s="136">
        <f>F170/J5</f>
        <v>6.227385259950486</v>
      </c>
      <c r="J170" s="67">
        <f>G170/J5</f>
        <v>6.6633022281470193</v>
      </c>
      <c r="T170" s="409"/>
    </row>
    <row r="171" spans="1:22" ht="15.9" customHeight="1">
      <c r="A171" s="107"/>
      <c r="B171" s="99"/>
      <c r="C171" s="601" t="str">
        <f>+C123</f>
        <v xml:space="preserve">OpEx II </v>
      </c>
      <c r="D171" s="602"/>
      <c r="E171" s="59"/>
      <c r="F171" s="56">
        <f>+F123</f>
        <v>0</v>
      </c>
      <c r="G171" s="388">
        <f>+G123</f>
        <v>0</v>
      </c>
      <c r="H171" s="404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06" t="s">
        <v>203</v>
      </c>
      <c r="D172" s="607"/>
      <c r="E172" s="151"/>
      <c r="F172" s="152">
        <f>SUM(F170:F171)</f>
        <v>654</v>
      </c>
      <c r="G172" s="278">
        <f>SUM(G170:G171)</f>
        <v>699.78</v>
      </c>
      <c r="H172" s="413"/>
      <c r="I172" s="153">
        <f>SUM(I170:I171)</f>
        <v>6.227385259950486</v>
      </c>
      <c r="J172" s="247">
        <f>SUM(J170:J171)</f>
        <v>6.6633022281470193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14"/>
      <c r="I173" s="276"/>
      <c r="J173" s="277"/>
    </row>
    <row r="174" spans="1:22" ht="15.9" customHeight="1">
      <c r="A174" s="107"/>
      <c r="B174" s="99"/>
      <c r="C174" s="601" t="str">
        <f>+C132</f>
        <v xml:space="preserve">Services </v>
      </c>
      <c r="D174" s="602"/>
      <c r="E174" s="59"/>
      <c r="F174" s="56">
        <f>+F132</f>
        <v>0</v>
      </c>
      <c r="G174" s="388">
        <f>+G132</f>
        <v>0</v>
      </c>
      <c r="H174" s="404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06" t="s">
        <v>204</v>
      </c>
      <c r="D175" s="607"/>
      <c r="E175" s="151"/>
      <c r="F175" s="152">
        <f>SUM(F174)</f>
        <v>0</v>
      </c>
      <c r="G175" s="278">
        <f>SUM(G174)</f>
        <v>0</v>
      </c>
      <c r="H175" s="413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599"/>
      <c r="D176" s="600"/>
      <c r="E176" s="59"/>
      <c r="F176" s="56"/>
      <c r="G176" s="388"/>
      <c r="H176" s="404"/>
      <c r="I176" s="138"/>
      <c r="J176" s="72"/>
    </row>
    <row r="177" spans="1:19" ht="15.9" customHeight="1">
      <c r="A177" s="107"/>
      <c r="B177" s="150"/>
      <c r="C177" s="606" t="s">
        <v>205</v>
      </c>
      <c r="D177" s="607"/>
      <c r="E177" s="154"/>
      <c r="F177" s="149">
        <f>+F168+F172+F175</f>
        <v>1051.5195259307375</v>
      </c>
      <c r="G177" s="211">
        <f>+G168+G172+G175</f>
        <v>4978.6801771184591</v>
      </c>
      <c r="H177" s="415"/>
      <c r="I177" s="234">
        <f>+I168+I172+I175</f>
        <v>10.012564520384094</v>
      </c>
      <c r="J177" s="214">
        <f>+J168+J172+J175</f>
        <v>47.406971787454381</v>
      </c>
      <c r="S177" s="408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04"/>
      <c r="I178" s="133"/>
      <c r="J178" s="57"/>
    </row>
    <row r="179" spans="1:19" ht="15.9" customHeight="1">
      <c r="A179" s="107"/>
      <c r="B179" s="593" t="s">
        <v>206</v>
      </c>
      <c r="C179" s="594"/>
      <c r="D179" s="595"/>
      <c r="E179" s="379"/>
      <c r="F179" s="379" t="s">
        <v>190</v>
      </c>
      <c r="G179" s="161" t="s">
        <v>190</v>
      </c>
      <c r="H179" s="404"/>
      <c r="I179" s="382" t="s">
        <v>67</v>
      </c>
      <c r="J179" s="53" t="s">
        <v>67</v>
      </c>
    </row>
    <row r="180" spans="1:19" ht="15.9" customHeight="1">
      <c r="A180" s="107"/>
      <c r="B180" s="99"/>
      <c r="C180" s="599"/>
      <c r="D180" s="600"/>
      <c r="E180" s="59"/>
      <c r="F180" s="56"/>
      <c r="G180" s="388"/>
      <c r="H180" s="404"/>
      <c r="I180" s="133"/>
      <c r="J180" s="57"/>
    </row>
    <row r="181" spans="1:19" ht="15.9" customHeight="1">
      <c r="A181" s="107"/>
      <c r="B181" s="99"/>
      <c r="C181" s="590" t="s">
        <v>207</v>
      </c>
      <c r="D181" s="589"/>
      <c r="E181" s="100"/>
      <c r="F181" s="101"/>
      <c r="G181" s="209">
        <f>+G168*G21</f>
        <v>3782398.2892309683</v>
      </c>
      <c r="H181" s="404"/>
      <c r="I181" s="143"/>
      <c r="J181" s="102">
        <f>+G181/$J$5</f>
        <v>36015.980663025788</v>
      </c>
    </row>
    <row r="182" spans="1:19" ht="15.9" customHeight="1">
      <c r="A182" s="107"/>
      <c r="B182" s="99"/>
      <c r="C182" s="588" t="s">
        <v>208</v>
      </c>
      <c r="D182" s="589"/>
      <c r="E182" s="100"/>
      <c r="F182" s="101"/>
      <c r="G182" s="209">
        <f>+G172*G21</f>
        <v>618581.07580824976</v>
      </c>
      <c r="H182" s="404"/>
      <c r="I182" s="143"/>
      <c r="J182" s="102">
        <f>+G182/$J$5</f>
        <v>5890.1264121905333</v>
      </c>
    </row>
    <row r="183" spans="1:19" ht="15.9" customHeight="1">
      <c r="A183" s="107"/>
      <c r="B183" s="99"/>
      <c r="C183" s="588" t="s">
        <v>209</v>
      </c>
      <c r="D183" s="598"/>
      <c r="E183" s="100"/>
      <c r="F183" s="101"/>
      <c r="G183" s="209">
        <f>+G175*G21</f>
        <v>0</v>
      </c>
      <c r="H183" s="404"/>
      <c r="I183" s="143"/>
      <c r="J183" s="102"/>
    </row>
    <row r="184" spans="1:19" ht="15.9" customHeight="1">
      <c r="A184" s="107"/>
      <c r="B184" s="99"/>
      <c r="C184" s="588" t="s">
        <v>210</v>
      </c>
      <c r="D184" s="589"/>
      <c r="E184" s="100"/>
      <c r="F184" s="101"/>
      <c r="G184" s="209">
        <f>SUM(G181:G183)</f>
        <v>4400979.3650392182</v>
      </c>
      <c r="H184" s="404"/>
      <c r="I184" s="143"/>
      <c r="J184" s="102">
        <f>SUM(J181:J183)</f>
        <v>41906.107075216321</v>
      </c>
    </row>
    <row r="185" spans="1:19" ht="15.9" customHeight="1">
      <c r="A185" s="107"/>
      <c r="B185" s="99"/>
      <c r="C185" s="588" t="s">
        <v>211</v>
      </c>
      <c r="D185" s="589"/>
      <c r="E185" s="100"/>
      <c r="F185" s="101"/>
      <c r="G185" s="209">
        <f>+G184*12</f>
        <v>52811752.380470619</v>
      </c>
      <c r="H185" s="404"/>
      <c r="I185" s="143"/>
      <c r="J185" s="102">
        <f>+J184*12</f>
        <v>502873.28490259586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05"/>
      <c r="I186" s="235"/>
      <c r="J186" s="236"/>
    </row>
    <row r="187" spans="1:19" ht="15.9" customHeight="1" thickBot="1">
      <c r="A187" s="107"/>
      <c r="B187" s="623" t="s">
        <v>212</v>
      </c>
      <c r="C187" s="624"/>
      <c r="D187" s="624"/>
      <c r="E187" s="624"/>
      <c r="F187" s="624"/>
      <c r="G187" s="624"/>
      <c r="H187" s="624"/>
      <c r="I187" s="624"/>
      <c r="J187" s="625"/>
    </row>
    <row r="188" spans="1:19" ht="15.9" customHeight="1">
      <c r="A188" s="51"/>
      <c r="B188" s="164"/>
      <c r="C188" s="603" t="s">
        <v>213</v>
      </c>
      <c r="D188" s="603"/>
      <c r="E188" s="378"/>
      <c r="F188" s="378" t="s">
        <v>190</v>
      </c>
      <c r="G188" s="168" t="s">
        <v>190</v>
      </c>
      <c r="H188" s="620"/>
      <c r="I188" s="229" t="s">
        <v>67</v>
      </c>
      <c r="J188" s="230" t="s">
        <v>67</v>
      </c>
    </row>
    <row r="189" spans="1:19" ht="15.9" customHeight="1">
      <c r="A189" s="51"/>
      <c r="B189" s="162"/>
      <c r="C189" s="590" t="s">
        <v>214</v>
      </c>
      <c r="D189" s="589"/>
      <c r="E189" s="163"/>
      <c r="F189" s="163"/>
      <c r="G189" s="102">
        <f>+G20</f>
        <v>0</v>
      </c>
      <c r="H189" s="621"/>
      <c r="I189" s="162"/>
      <c r="J189" s="102">
        <f>+G189/J5</f>
        <v>0</v>
      </c>
    </row>
    <row r="190" spans="1:19" ht="15.9" customHeight="1">
      <c r="A190" s="51"/>
      <c r="B190" s="162"/>
      <c r="C190" s="590" t="s">
        <v>215</v>
      </c>
      <c r="D190" s="589"/>
      <c r="E190" s="163"/>
      <c r="F190" s="163"/>
      <c r="G190" s="102">
        <f>+G189*G23</f>
        <v>0</v>
      </c>
      <c r="H190" s="621"/>
      <c r="I190" s="162"/>
      <c r="J190" s="102">
        <f>+J189*J23</f>
        <v>0</v>
      </c>
    </row>
    <row r="191" spans="1:19" ht="15.9" customHeight="1">
      <c r="A191" s="51"/>
      <c r="B191" s="162"/>
      <c r="C191" s="604" t="s">
        <v>216</v>
      </c>
      <c r="D191" s="604"/>
      <c r="E191" s="163"/>
      <c r="F191" s="163"/>
      <c r="G191" s="102">
        <f>+G190*25%</f>
        <v>0</v>
      </c>
      <c r="H191" s="621"/>
      <c r="I191" s="162"/>
      <c r="J191" s="102">
        <f>+J190*25%</f>
        <v>0</v>
      </c>
    </row>
    <row r="192" spans="1:19" ht="15.9" customHeight="1">
      <c r="A192" s="51"/>
      <c r="B192" s="162"/>
      <c r="C192" s="588" t="s">
        <v>217</v>
      </c>
      <c r="D192" s="589"/>
      <c r="E192" s="163"/>
      <c r="F192" s="163"/>
      <c r="G192" s="102">
        <f>+G191*1%</f>
        <v>0</v>
      </c>
      <c r="H192" s="621"/>
      <c r="I192" s="162"/>
      <c r="J192" s="102">
        <f>G192/J5</f>
        <v>0</v>
      </c>
    </row>
    <row r="193" spans="1:20" ht="15.9" customHeight="1">
      <c r="A193" s="51"/>
      <c r="B193" s="162"/>
      <c r="C193" s="588" t="s">
        <v>218</v>
      </c>
      <c r="D193" s="589"/>
      <c r="E193" s="163"/>
      <c r="F193" s="163"/>
      <c r="G193" s="102">
        <f>G192*0.5</f>
        <v>0</v>
      </c>
      <c r="H193" s="621"/>
      <c r="I193" s="162"/>
      <c r="J193" s="102">
        <f>G193/J5</f>
        <v>0</v>
      </c>
    </row>
    <row r="194" spans="1:20" ht="15.9" customHeight="1" thickBot="1">
      <c r="A194" s="51"/>
      <c r="B194" s="162"/>
      <c r="C194" s="604" t="s">
        <v>219</v>
      </c>
      <c r="D194" s="604"/>
      <c r="E194" s="163"/>
      <c r="F194" s="163"/>
      <c r="G194" s="110">
        <f>G82</f>
        <v>565315.30184775486</v>
      </c>
      <c r="H194" s="621"/>
      <c r="I194" s="162"/>
      <c r="J194" s="110">
        <f>+J192+J193</f>
        <v>0</v>
      </c>
    </row>
    <row r="195" spans="1:20" ht="15.9" customHeight="1">
      <c r="A195" s="166"/>
      <c r="B195" s="382"/>
      <c r="C195" s="605"/>
      <c r="D195" s="605"/>
      <c r="E195" s="379"/>
      <c r="F195" s="379" t="s">
        <v>190</v>
      </c>
      <c r="G195" s="53" t="s">
        <v>190</v>
      </c>
      <c r="H195" s="621"/>
      <c r="I195" s="229" t="s">
        <v>67</v>
      </c>
      <c r="J195" s="230" t="s">
        <v>67</v>
      </c>
    </row>
    <row r="196" spans="1:20" ht="15.9" customHeight="1">
      <c r="A196" s="74"/>
      <c r="B196" s="99"/>
      <c r="C196" s="590" t="s">
        <v>220</v>
      </c>
      <c r="D196" s="589"/>
      <c r="E196" s="58"/>
      <c r="F196" s="50"/>
      <c r="G196" s="102">
        <f>+G54</f>
        <v>72</v>
      </c>
      <c r="H196" s="621"/>
      <c r="I196" s="91"/>
      <c r="J196" s="102">
        <f>+J54</f>
        <v>72</v>
      </c>
    </row>
    <row r="197" spans="1:20" ht="15.9" customHeight="1">
      <c r="A197" s="74"/>
      <c r="B197" s="99"/>
      <c r="C197" s="590" t="s">
        <v>221</v>
      </c>
      <c r="D197" s="589"/>
      <c r="E197" s="58"/>
      <c r="F197" s="50"/>
      <c r="G197" s="102">
        <f>F140</f>
        <v>9515</v>
      </c>
      <c r="H197" s="621"/>
      <c r="I197" s="91"/>
      <c r="J197" s="102">
        <f>I140</f>
        <v>9515</v>
      </c>
    </row>
    <row r="198" spans="1:20" ht="15.9" customHeight="1">
      <c r="A198" s="120"/>
      <c r="B198" s="99"/>
      <c r="C198" s="590" t="s">
        <v>222</v>
      </c>
      <c r="D198" s="589"/>
      <c r="E198" s="58"/>
      <c r="F198" s="50"/>
      <c r="G198" s="111">
        <f>+F60</f>
        <v>129</v>
      </c>
      <c r="H198" s="621"/>
      <c r="I198" s="91"/>
      <c r="J198" s="111">
        <f>+I60</f>
        <v>1.228337459531518</v>
      </c>
    </row>
    <row r="199" spans="1:20" ht="15.9" customHeight="1">
      <c r="A199" s="74"/>
      <c r="B199" s="99"/>
      <c r="C199" s="590" t="s">
        <v>222</v>
      </c>
      <c r="D199" s="589"/>
      <c r="E199" s="58"/>
      <c r="F199" s="50"/>
      <c r="G199" s="102">
        <f>(G197*G198*G196)</f>
        <v>88375320</v>
      </c>
      <c r="H199" s="621"/>
      <c r="I199" s="91"/>
      <c r="J199" s="102">
        <f>+G199/$J$5</f>
        <v>841509.42677585222</v>
      </c>
    </row>
    <row r="200" spans="1:20" ht="15.9" customHeight="1">
      <c r="A200" s="74"/>
      <c r="B200" s="99"/>
      <c r="C200" s="590" t="s">
        <v>223</v>
      </c>
      <c r="D200" s="589"/>
      <c r="E200" s="58"/>
      <c r="F200" s="50"/>
      <c r="G200" s="102">
        <f>G199/G196*12</f>
        <v>14729220</v>
      </c>
      <c r="H200" s="621"/>
      <c r="I200" s="91"/>
      <c r="J200" s="102">
        <f>+G200/$J$5</f>
        <v>140251.57112930872</v>
      </c>
    </row>
    <row r="201" spans="1:20" ht="15.9" customHeight="1">
      <c r="A201" s="74"/>
      <c r="B201" s="99"/>
      <c r="C201" s="590" t="s">
        <v>224</v>
      </c>
      <c r="D201" s="589"/>
      <c r="E201" s="58"/>
      <c r="F201" s="50"/>
      <c r="G201" s="102">
        <f>(+G220*115%)/5</f>
        <v>3026339.9999999995</v>
      </c>
      <c r="H201" s="621"/>
      <c r="I201" s="91"/>
      <c r="J201" s="102">
        <f>+G201/$J$5</f>
        <v>28816.796800609405</v>
      </c>
    </row>
    <row r="202" spans="1:20" ht="15.9" customHeight="1">
      <c r="A202" s="74"/>
      <c r="B202" s="99"/>
      <c r="C202" s="590" t="s">
        <v>225</v>
      </c>
      <c r="D202" s="589"/>
      <c r="E202" s="58"/>
      <c r="F202" s="50"/>
      <c r="G202" s="102">
        <f>(+I220*115%)/5</f>
        <v>2765157.6185172233</v>
      </c>
      <c r="H202" s="621"/>
      <c r="I202" s="91"/>
      <c r="J202" s="102">
        <f>+G202/$J$5</f>
        <v>26329.819258400526</v>
      </c>
    </row>
    <row r="203" spans="1:20" ht="15.9" customHeight="1">
      <c r="A203" s="74"/>
      <c r="B203" s="99"/>
      <c r="C203" s="590" t="s">
        <v>36</v>
      </c>
      <c r="D203" s="589"/>
      <c r="E203" s="58"/>
      <c r="F203" s="50"/>
      <c r="G203" s="102">
        <f>+G67</f>
        <v>11418000</v>
      </c>
      <c r="H203" s="621"/>
      <c r="I203" s="91"/>
      <c r="J203" s="102">
        <f>+G203/$J$5</f>
        <v>108722.14816225482</v>
      </c>
    </row>
    <row r="204" spans="1:20" ht="15.9" customHeight="1">
      <c r="A204" s="74"/>
      <c r="B204" s="99"/>
      <c r="C204" s="588" t="s">
        <v>226</v>
      </c>
      <c r="D204" s="589"/>
      <c r="E204" s="58"/>
      <c r="F204" s="50"/>
      <c r="G204" s="102">
        <f>(G200+G201+G202+G203)*1.18</f>
        <v>37687686.789850324</v>
      </c>
      <c r="H204" s="621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588" t="s">
        <v>227</v>
      </c>
      <c r="D205" s="589"/>
      <c r="E205" s="58"/>
      <c r="F205" s="50"/>
      <c r="G205" s="102">
        <f>G204*1%</f>
        <v>376876.86789850326</v>
      </c>
      <c r="H205" s="621"/>
      <c r="I205" s="91"/>
      <c r="J205" s="102">
        <f>J204*1%</f>
        <v>3041.2033535057349</v>
      </c>
    </row>
    <row r="206" spans="1:20" ht="15.9" customHeight="1">
      <c r="A206" s="74"/>
      <c r="B206" s="99"/>
      <c r="C206" s="590" t="s">
        <v>228</v>
      </c>
      <c r="D206" s="589"/>
      <c r="E206" s="58"/>
      <c r="F206" s="50"/>
      <c r="G206" s="102">
        <f>G204*0.5%</f>
        <v>188438.43394925163</v>
      </c>
      <c r="H206" s="621"/>
      <c r="I206" s="91"/>
      <c r="J206" s="102">
        <f>J204*0.5%</f>
        <v>1520.6016767528674</v>
      </c>
    </row>
    <row r="207" spans="1:20" ht="15.9" customHeight="1">
      <c r="A207" s="74"/>
      <c r="B207" s="99"/>
      <c r="C207" s="591" t="s">
        <v>219</v>
      </c>
      <c r="D207" s="592"/>
      <c r="E207" s="58"/>
      <c r="F207" s="50"/>
      <c r="G207" s="102">
        <f>G205+G206</f>
        <v>565315.30184775486</v>
      </c>
      <c r="H207" s="621"/>
      <c r="I207" s="91"/>
      <c r="J207" s="102">
        <v>0</v>
      </c>
      <c r="T207" s="407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21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21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21"/>
      <c r="I210" s="101">
        <f>'Lease Rent'!O39</f>
        <v>1178337.5999999999</v>
      </c>
      <c r="J210" s="102"/>
      <c r="S210" s="407"/>
      <c r="T210" s="406"/>
      <c r="U210" s="407"/>
      <c r="V210" s="406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21"/>
      <c r="I211" s="101">
        <f>'Lease Rent'!O51</f>
        <v>1826423.2800000005</v>
      </c>
      <c r="J211" s="102"/>
      <c r="S211" s="407"/>
      <c r="T211" s="406"/>
      <c r="U211" s="407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21"/>
      <c r="I212" s="101">
        <f>'Lease Rent'!O63</f>
        <v>1917744.4440000001</v>
      </c>
      <c r="J212" s="102"/>
      <c r="S212" s="407"/>
      <c r="T212" s="406"/>
      <c r="U212" s="407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21"/>
      <c r="I213" s="101">
        <f>'Lease Rent'!O75</f>
        <v>2013631.6662000006</v>
      </c>
      <c r="J213" s="102"/>
      <c r="S213" s="407"/>
      <c r="T213" s="406"/>
      <c r="U213" s="407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21"/>
      <c r="I214" s="101">
        <f>'Lease Rent'!O87</f>
        <v>2114313.2495100005</v>
      </c>
      <c r="J214" s="102"/>
      <c r="S214" s="407"/>
      <c r="T214" s="406"/>
      <c r="U214" s="407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113">
        <f>'Lease Rent'!P99</f>
        <v>2345999.9999999995</v>
      </c>
      <c r="H215" s="621"/>
      <c r="I215" s="101">
        <f>'Lease Rent'!O99</f>
        <v>2220028.9119855007</v>
      </c>
      <c r="J215" s="102"/>
      <c r="T215" s="406"/>
      <c r="U215" s="407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113">
        <f>'Lease Rent'!P103</f>
        <v>781999.99999999988</v>
      </c>
      <c r="H216" s="621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21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21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21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22"/>
      <c r="I220" s="283">
        <f>SUM(I210:I219)</f>
        <v>12022424.428335754</v>
      </c>
      <c r="J220" s="283">
        <f>SUM(J210:J219)</f>
        <v>0</v>
      </c>
      <c r="S220" s="408"/>
      <c r="X220" s="408"/>
    </row>
    <row r="221" spans="1:24">
      <c r="S221" s="406"/>
    </row>
    <row r="222" spans="1:24">
      <c r="C222" s="408"/>
      <c r="D222" s="400"/>
      <c r="G222" s="408"/>
      <c r="I222" s="408"/>
    </row>
    <row r="223" spans="1:24">
      <c r="C223" s="406"/>
      <c r="D223" s="406"/>
      <c r="F223" s="407"/>
      <c r="I223" s="407"/>
    </row>
    <row r="224" spans="1:24">
      <c r="C224" s="406"/>
      <c r="D224" s="412"/>
      <c r="I224" s="406"/>
      <c r="J224" s="412"/>
    </row>
    <row r="225" spans="3:10">
      <c r="C225" s="406"/>
      <c r="I225" s="406"/>
    </row>
    <row r="226" spans="3:10">
      <c r="C226" s="408"/>
      <c r="D226" s="406"/>
      <c r="I226" s="408"/>
      <c r="J226" s="406"/>
    </row>
    <row r="227" spans="3:10">
      <c r="C227" s="406"/>
    </row>
    <row r="228" spans="3:10">
      <c r="C228" s="406"/>
    </row>
    <row r="229" spans="3:10">
      <c r="C229" s="406"/>
    </row>
    <row r="230" spans="3:10">
      <c r="C230" s="406"/>
    </row>
    <row r="231" spans="3:10">
      <c r="C231" s="406"/>
      <c r="D231" s="406"/>
      <c r="F231" s="406"/>
      <c r="I231" s="406"/>
    </row>
    <row r="232" spans="3:10">
      <c r="I232" s="406"/>
    </row>
    <row r="233" spans="3:10">
      <c r="I233" s="406"/>
      <c r="J233" s="406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zoomScale="112" zoomScaleNormal="112" workbookViewId="0">
      <selection activeCell="D15" sqref="D15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64"/>
      <c r="B2" s="665"/>
      <c r="C2" s="665"/>
      <c r="D2" s="665"/>
      <c r="E2" s="665"/>
      <c r="F2" s="665"/>
      <c r="G2" s="665"/>
      <c r="H2" s="665"/>
      <c r="I2" s="665"/>
      <c r="J2" s="665"/>
      <c r="K2" s="665"/>
      <c r="L2" s="665"/>
      <c r="M2" s="665"/>
      <c r="N2" s="665"/>
      <c r="O2" s="665"/>
      <c r="P2" s="665"/>
      <c r="Q2" s="665"/>
      <c r="R2" s="665"/>
      <c r="S2" s="665"/>
      <c r="T2" s="665"/>
      <c r="U2" s="665"/>
      <c r="V2" s="665"/>
      <c r="W2" s="665"/>
      <c r="X2" s="665"/>
      <c r="Y2" s="665"/>
      <c r="Z2" s="665"/>
      <c r="AA2" s="689"/>
    </row>
    <row r="3" spans="1:27" ht="11.25" customHeight="1">
      <c r="A3" s="690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1"/>
      <c r="Z3" s="691"/>
      <c r="AA3" s="692"/>
    </row>
    <row r="4" spans="1:27" ht="12" customHeight="1" thickBot="1">
      <c r="A4" s="693"/>
      <c r="B4" s="694"/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4"/>
      <c r="Z4" s="694"/>
      <c r="AA4" s="695"/>
    </row>
    <row r="5" spans="1:27" ht="12.75" customHeight="1">
      <c r="A5" s="664" t="s">
        <v>0</v>
      </c>
      <c r="B5" s="665"/>
      <c r="C5" s="665"/>
      <c r="D5" s="665"/>
      <c r="E5" s="665"/>
      <c r="F5" s="665"/>
      <c r="G5" s="665"/>
      <c r="H5" s="665"/>
      <c r="I5" s="665"/>
      <c r="J5" s="665"/>
      <c r="K5" s="665"/>
      <c r="L5" s="665"/>
      <c r="M5" s="665"/>
      <c r="N5" s="665"/>
      <c r="O5" s="665"/>
      <c r="P5" s="665"/>
      <c r="Q5" s="665"/>
      <c r="R5" s="665"/>
      <c r="S5" s="665"/>
      <c r="T5" s="665"/>
      <c r="U5" s="665"/>
      <c r="V5" s="665"/>
      <c r="W5" s="665"/>
      <c r="X5" s="665"/>
      <c r="Y5" s="665"/>
      <c r="Z5" s="665"/>
      <c r="AA5" s="689"/>
    </row>
    <row r="6" spans="1:27" ht="13.5" customHeight="1">
      <c r="A6" s="696"/>
      <c r="B6" s="697"/>
      <c r="C6" s="697"/>
      <c r="D6" s="697"/>
      <c r="E6" s="697"/>
      <c r="F6" s="697"/>
      <c r="G6" s="697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  <c r="AA6" s="698"/>
    </row>
    <row r="7" spans="1:27" ht="13.5" customHeight="1" thickBot="1">
      <c r="A7" s="699" t="s">
        <v>296</v>
      </c>
      <c r="B7" s="700"/>
      <c r="C7" s="700"/>
      <c r="D7" s="700"/>
      <c r="E7" s="700"/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  <c r="AA7" s="702"/>
    </row>
    <row r="8" spans="1:27" ht="12.75" customHeight="1" thickBot="1">
      <c r="A8" s="703" t="s">
        <v>1</v>
      </c>
      <c r="B8" s="704"/>
      <c r="C8" s="704"/>
      <c r="D8" s="704"/>
      <c r="E8" s="704"/>
      <c r="F8" s="704"/>
      <c r="G8" s="704"/>
      <c r="H8" s="704"/>
      <c r="I8" s="704"/>
      <c r="J8" s="704"/>
      <c r="K8" s="704"/>
      <c r="L8" s="704"/>
      <c r="M8" s="704"/>
      <c r="N8" s="705"/>
      <c r="O8" s="6"/>
      <c r="P8" s="703" t="s">
        <v>2</v>
      </c>
      <c r="Q8" s="704"/>
      <c r="R8" s="704"/>
      <c r="S8" s="704"/>
      <c r="T8" s="704"/>
      <c r="U8" s="704"/>
      <c r="V8" s="704"/>
      <c r="W8" s="704"/>
      <c r="X8" s="704"/>
      <c r="Y8" s="704"/>
      <c r="Z8" s="704"/>
      <c r="AA8" s="706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298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433250.80936964368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578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1.8436589195408826</v>
      </c>
      <c r="I32" s="157"/>
      <c r="J32" s="157"/>
      <c r="K32" s="157"/>
      <c r="L32" s="157"/>
      <c r="M32" s="36"/>
      <c r="N32" s="157">
        <f>+N31/1000000</f>
        <v>1.4601854336242732</v>
      </c>
      <c r="P32" s="28"/>
      <c r="Q32" s="29" t="s">
        <v>47</v>
      </c>
      <c r="R32" s="30" t="s">
        <v>52</v>
      </c>
      <c r="T32" s="686" t="s">
        <v>53</v>
      </c>
      <c r="U32" s="687"/>
      <c r="V32" s="688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1.8436589195408826</v>
      </c>
      <c r="I36" s="160"/>
      <c r="J36" s="160"/>
      <c r="K36" s="160"/>
      <c r="L36" s="160"/>
      <c r="M36" s="3"/>
      <c r="N36" s="160">
        <f>+N32+N34</f>
        <v>1.4601854336242732</v>
      </c>
      <c r="P36" s="685"/>
      <c r="Q36" s="685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577"/>
      <c r="Q37" s="577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547"/>
      <c r="Q44" s="547"/>
      <c r="R44" s="547"/>
    </row>
    <row r="45" spans="1:27" ht="10.5">
      <c r="R45" s="548"/>
      <c r="S45" s="548"/>
      <c r="T45" s="548"/>
      <c r="U45" s="548"/>
      <c r="V45" s="548"/>
      <c r="W45" s="548"/>
      <c r="X45" s="548"/>
      <c r="Y45" s="548"/>
      <c r="Z45" s="548"/>
    </row>
    <row r="46" spans="1:27" ht="13">
      <c r="A46" s="576"/>
      <c r="B46" s="549"/>
      <c r="C46" s="550"/>
      <c r="D46" s="550"/>
      <c r="E46" s="550"/>
      <c r="F46" s="549"/>
      <c r="G46" s="549"/>
      <c r="H46" s="551"/>
      <c r="I46" s="549"/>
      <c r="J46" s="549"/>
      <c r="K46" s="549"/>
      <c r="L46" s="551"/>
      <c r="M46" s="549"/>
      <c r="N46" s="550"/>
      <c r="P46" s="552"/>
      <c r="Q46" s="553"/>
      <c r="R46" s="548"/>
      <c r="S46" s="548"/>
      <c r="T46" s="548"/>
      <c r="U46" s="548"/>
      <c r="V46" s="548"/>
      <c r="W46" s="548"/>
      <c r="X46" s="548"/>
      <c r="Y46" s="548"/>
      <c r="Z46" s="548"/>
      <c r="AA46" s="554"/>
    </row>
    <row r="47" spans="1:27" ht="12.5">
      <c r="A47" s="555"/>
      <c r="B47" s="556"/>
      <c r="C47" s="556"/>
      <c r="D47" s="556"/>
      <c r="E47" s="556"/>
      <c r="F47" s="556"/>
      <c r="G47" s="557"/>
      <c r="H47" s="1"/>
      <c r="I47" s="1"/>
      <c r="J47" s="1"/>
      <c r="K47" s="1"/>
      <c r="L47" s="1"/>
      <c r="M47" s="1"/>
      <c r="P47" s="547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</row>
    <row r="48" spans="1:27" ht="12.5">
      <c r="A48" s="555"/>
      <c r="B48" s="2"/>
      <c r="C48" s="2"/>
      <c r="D48" s="2"/>
      <c r="E48" s="2"/>
      <c r="F48" s="2"/>
      <c r="G48" s="557"/>
      <c r="H48" s="1"/>
      <c r="I48" s="1"/>
      <c r="J48" s="1"/>
      <c r="K48" s="1"/>
      <c r="L48" s="1"/>
      <c r="O48" s="558"/>
      <c r="P48" s="559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</row>
    <row r="49" spans="1:28" ht="12.5">
      <c r="B49" s="2"/>
      <c r="C49" s="2"/>
      <c r="D49" s="2"/>
      <c r="E49" s="2"/>
      <c r="F49" s="2"/>
      <c r="G49" s="557"/>
      <c r="H49" s="1"/>
      <c r="K49" s="1"/>
      <c r="L49" s="1"/>
      <c r="O49" s="558"/>
      <c r="Q49" s="560"/>
      <c r="R49" s="560"/>
      <c r="S49" s="560"/>
      <c r="T49" s="560"/>
      <c r="U49" s="560"/>
      <c r="V49" s="560"/>
      <c r="W49" s="560"/>
      <c r="X49" s="560"/>
      <c r="Y49" s="560"/>
      <c r="Z49" s="560"/>
      <c r="AA49" s="430"/>
    </row>
    <row r="50" spans="1:28" ht="13">
      <c r="B50" s="576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S50" s="430"/>
      <c r="T50" s="430"/>
      <c r="U50" s="430"/>
      <c r="V50" s="430"/>
      <c r="W50" s="430"/>
      <c r="X50" s="430"/>
      <c r="Y50" s="2"/>
      <c r="Z50" s="2"/>
      <c r="AA50" s="430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30"/>
      <c r="AA51" s="430"/>
    </row>
    <row r="52" spans="1:28" ht="12.5">
      <c r="B52" s="2"/>
      <c r="C52" s="2"/>
      <c r="D52" s="2"/>
      <c r="E52" s="2"/>
      <c r="F52" s="2"/>
      <c r="G52" s="547"/>
      <c r="H52" s="561"/>
      <c r="I52" s="561"/>
      <c r="J52" s="561"/>
      <c r="K52" s="561"/>
      <c r="L52" s="561"/>
      <c r="M52" s="1"/>
      <c r="N52" s="547"/>
      <c r="P52" s="1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</row>
    <row r="53" spans="1:28" ht="12.5">
      <c r="B53" s="2"/>
      <c r="C53" s="2"/>
      <c r="D53" s="2"/>
      <c r="E53" s="2"/>
      <c r="F53" s="2"/>
      <c r="G53" s="562"/>
      <c r="H53" s="562"/>
      <c r="I53" s="562"/>
      <c r="J53" s="562"/>
      <c r="K53" s="562"/>
      <c r="L53" s="562"/>
      <c r="M53" s="1"/>
      <c r="N53" s="547"/>
      <c r="P53" s="547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47"/>
      <c r="H55" s="561"/>
      <c r="I55" s="561"/>
      <c r="J55" s="561"/>
      <c r="K55" s="561"/>
      <c r="L55" s="561"/>
      <c r="M55" s="1"/>
      <c r="N55" s="547"/>
      <c r="P55" s="1"/>
      <c r="Q55" s="1"/>
      <c r="R55" s="1"/>
      <c r="S55" s="1"/>
      <c r="AB55" s="575"/>
    </row>
    <row r="56" spans="1:28" ht="13">
      <c r="B56" s="2"/>
      <c r="C56" s="2"/>
      <c r="D56" s="2"/>
      <c r="E56" s="2"/>
      <c r="F56" s="2"/>
      <c r="H56" s="576"/>
      <c r="I56" s="576"/>
      <c r="J56" s="576"/>
      <c r="K56" s="576"/>
      <c r="L56" s="576"/>
      <c r="M56" s="576"/>
      <c r="N56" s="576"/>
      <c r="P56" s="547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4"/>
    </row>
    <row r="57" spans="1:28" ht="12.5">
      <c r="B57" s="2"/>
      <c r="C57" s="2"/>
      <c r="D57" s="2"/>
      <c r="E57" s="2"/>
      <c r="F57" s="2"/>
      <c r="G57" s="565"/>
      <c r="H57" s="1"/>
      <c r="I57" s="1"/>
      <c r="J57" s="1"/>
      <c r="K57" s="1"/>
      <c r="L57" s="1"/>
      <c r="M57" s="1"/>
      <c r="N57" s="565"/>
      <c r="P57" s="547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564"/>
      <c r="AB57" s="566"/>
    </row>
    <row r="58" spans="1:28" ht="10.5">
      <c r="A58" s="559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58"/>
      <c r="R58" s="558"/>
      <c r="S58" s="558"/>
      <c r="T58" s="558"/>
      <c r="AA58" s="566"/>
    </row>
    <row r="59" spans="1:28">
      <c r="A59" s="557"/>
      <c r="B59" s="567"/>
      <c r="C59" s="567"/>
      <c r="D59" s="567"/>
      <c r="E59" s="567"/>
      <c r="F59" s="2"/>
      <c r="G59" s="2"/>
      <c r="H59" s="1"/>
      <c r="I59" s="1"/>
      <c r="J59" s="1"/>
      <c r="K59" s="1"/>
      <c r="L59" s="1"/>
      <c r="M59" s="1"/>
      <c r="T59" s="2"/>
      <c r="X59" s="228"/>
      <c r="AA59" s="568"/>
      <c r="AB59" s="182"/>
    </row>
    <row r="60" spans="1:28">
      <c r="A60" s="569"/>
      <c r="B60" s="570"/>
      <c r="C60" s="570"/>
      <c r="D60" s="570"/>
      <c r="E60" s="570"/>
      <c r="H60" s="1"/>
      <c r="I60" s="1"/>
      <c r="J60" s="1"/>
      <c r="K60" s="1"/>
      <c r="L60" s="1"/>
      <c r="M60" s="1"/>
      <c r="T60" s="2"/>
      <c r="X60" s="228"/>
      <c r="AA60" s="568"/>
      <c r="AB60" s="182"/>
    </row>
    <row r="61" spans="1:28" ht="10.5">
      <c r="A61" s="568"/>
      <c r="B61" s="570"/>
      <c r="C61" s="570"/>
      <c r="D61" s="570"/>
      <c r="E61" s="570"/>
      <c r="H61" s="1"/>
      <c r="I61" s="1"/>
      <c r="J61" s="1"/>
      <c r="K61" s="1"/>
      <c r="L61" s="1"/>
      <c r="M61" s="1"/>
      <c r="P61" s="547"/>
      <c r="Q61" s="1"/>
      <c r="T61" s="2"/>
      <c r="X61" s="228"/>
      <c r="AA61" s="571"/>
    </row>
    <row r="62" spans="1:28">
      <c r="A62" s="568"/>
      <c r="B62" s="570"/>
      <c r="C62" s="570"/>
      <c r="D62" s="570"/>
      <c r="E62" s="570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68"/>
      <c r="B63" s="570"/>
      <c r="C63" s="570"/>
      <c r="D63" s="570"/>
      <c r="E63" s="570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68"/>
      <c r="B64" s="570"/>
      <c r="C64" s="570"/>
      <c r="D64" s="570"/>
      <c r="E64" s="570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72"/>
      <c r="B65" s="570"/>
      <c r="C65" s="570"/>
      <c r="D65" s="570"/>
      <c r="E65" s="570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68"/>
      <c r="B66" s="570"/>
      <c r="C66" s="570"/>
      <c r="D66" s="570"/>
      <c r="E66" s="570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73"/>
      <c r="B67" s="570"/>
      <c r="C67" s="51"/>
      <c r="M67" s="1"/>
    </row>
    <row r="68" spans="1:19" ht="12.75" customHeight="1">
      <c r="A68" s="574"/>
      <c r="B68" s="570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K31" sqref="K31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28" bestFit="1" customWidth="1"/>
    <col min="15" max="15" width="15.08984375" style="428" bestFit="1" customWidth="1"/>
    <col min="16" max="16" width="14.08984375" style="42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237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238</v>
      </c>
      <c r="C2" s="343" t="s">
        <v>239</v>
      </c>
      <c r="D2" s="343" t="s">
        <v>240</v>
      </c>
      <c r="E2" s="343" t="s">
        <v>242</v>
      </c>
      <c r="F2" s="343" t="s">
        <v>241</v>
      </c>
      <c r="G2" s="343" t="s">
        <v>243</v>
      </c>
      <c r="H2" s="343" t="s">
        <v>244</v>
      </c>
      <c r="I2" s="344" t="s">
        <v>245</v>
      </c>
      <c r="J2" s="343" t="s">
        <v>66</v>
      </c>
      <c r="K2" s="344" t="s">
        <v>246</v>
      </c>
      <c r="L2" s="344" t="s">
        <v>247</v>
      </c>
      <c r="M2" s="344" t="s">
        <v>248</v>
      </c>
      <c r="N2" s="452" t="s">
        <v>249</v>
      </c>
      <c r="O2" s="453"/>
      <c r="P2" s="452" t="s">
        <v>236</v>
      </c>
      <c r="Q2" s="343" t="s">
        <v>65</v>
      </c>
      <c r="R2" s="343" t="s">
        <v>288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54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31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24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54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54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54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54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24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54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24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54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24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54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07" t="s">
        <v>29</v>
      </c>
      <c r="C11" s="707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55"/>
      <c r="P11" s="456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32"/>
      <c r="J13" s="470"/>
      <c r="K13" s="470"/>
      <c r="L13" s="339"/>
      <c r="M13" s="339"/>
      <c r="N13" s="471"/>
      <c r="O13" s="471"/>
      <c r="P13" s="471"/>
      <c r="Q13" s="471"/>
      <c r="R13" s="471"/>
      <c r="S13" s="351"/>
      <c r="T13" s="353"/>
    </row>
    <row r="14" spans="2:21" hidden="1">
      <c r="F14" s="339"/>
      <c r="G14" s="432"/>
      <c r="H14" s="432"/>
      <c r="L14" s="472"/>
      <c r="M14" s="472"/>
      <c r="N14" s="471"/>
      <c r="O14" s="471"/>
      <c r="P14" s="471"/>
      <c r="Q14" s="459"/>
      <c r="R14" s="339"/>
      <c r="S14" s="339"/>
      <c r="T14" s="339"/>
    </row>
    <row r="15" spans="2:21" hidden="1">
      <c r="F15" s="339"/>
      <c r="G15" s="432"/>
      <c r="H15" s="432"/>
      <c r="L15" s="472"/>
      <c r="M15" s="472"/>
      <c r="N15" s="471"/>
      <c r="O15" s="471"/>
      <c r="P15" s="471"/>
      <c r="Q15" s="459"/>
      <c r="R15" s="339"/>
      <c r="S15" s="339"/>
      <c r="T15" s="339"/>
    </row>
    <row r="16" spans="2:21" hidden="1">
      <c r="F16" s="354"/>
      <c r="G16" s="432"/>
      <c r="H16" s="432"/>
      <c r="L16" s="472"/>
      <c r="M16" s="472"/>
      <c r="N16" s="471"/>
      <c r="O16" s="471"/>
      <c r="P16" s="471"/>
      <c r="Q16" s="339"/>
      <c r="R16" s="339"/>
      <c r="S16" s="339"/>
      <c r="T16" s="339"/>
    </row>
    <row r="17" spans="1:20" ht="13">
      <c r="F17" s="354"/>
      <c r="G17" s="478" t="s">
        <v>297</v>
      </c>
      <c r="H17" s="432"/>
      <c r="L17" s="472"/>
      <c r="M17" s="472"/>
      <c r="N17" s="471"/>
      <c r="O17" s="471"/>
      <c r="P17" s="471"/>
      <c r="Q17" s="339"/>
      <c r="R17" s="339"/>
      <c r="S17" s="339"/>
      <c r="T17" s="339"/>
    </row>
    <row r="18" spans="1:20">
      <c r="F18" s="355"/>
      <c r="G18" s="520" t="s">
        <v>229</v>
      </c>
      <c r="H18" s="520" t="s">
        <v>240</v>
      </c>
      <c r="I18" s="520" t="s">
        <v>297</v>
      </c>
      <c r="J18" s="521" t="s">
        <v>66</v>
      </c>
      <c r="K18" s="521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77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77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28" t="s">
        <v>250</v>
      </c>
      <c r="C21" s="528" t="s">
        <v>251</v>
      </c>
      <c r="D21" s="528" t="s">
        <v>252</v>
      </c>
      <c r="E21" s="528" t="s">
        <v>253</v>
      </c>
      <c r="F21" s="355"/>
      <c r="G21" s="477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254</v>
      </c>
      <c r="C22" s="352">
        <v>1500</v>
      </c>
      <c r="D22" s="395">
        <v>80</v>
      </c>
      <c r="E22" s="352">
        <f>C22*D22</f>
        <v>120000</v>
      </c>
      <c r="F22" s="355"/>
      <c r="G22" s="477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255</v>
      </c>
      <c r="C23" s="352">
        <v>1000</v>
      </c>
      <c r="D23" s="395">
        <v>50</v>
      </c>
      <c r="E23" s="352">
        <f>C23*D23</f>
        <v>50000</v>
      </c>
      <c r="F23" s="355"/>
      <c r="G23" s="477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477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477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477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02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10"/>
      <c r="N29" s="511"/>
      <c r="O29" s="511"/>
      <c r="P29" s="511"/>
    </row>
    <row r="30" spans="1:20" ht="26.5" thickBot="1">
      <c r="A30" s="522" t="s">
        <v>229</v>
      </c>
      <c r="B30" s="523" t="s">
        <v>238</v>
      </c>
      <c r="C30" s="523" t="s">
        <v>239</v>
      </c>
      <c r="D30" s="523" t="s">
        <v>240</v>
      </c>
      <c r="E30" s="523" t="s">
        <v>242</v>
      </c>
      <c r="F30" s="523" t="s">
        <v>241</v>
      </c>
      <c r="G30" s="523" t="s">
        <v>243</v>
      </c>
      <c r="H30" s="523" t="s">
        <v>244</v>
      </c>
      <c r="I30" s="524" t="s">
        <v>245</v>
      </c>
      <c r="J30" s="523" t="s">
        <v>66</v>
      </c>
      <c r="K30" s="524" t="s">
        <v>328</v>
      </c>
      <c r="L30" s="524" t="s">
        <v>329</v>
      </c>
      <c r="M30" s="525" t="s">
        <v>29</v>
      </c>
      <c r="N30" s="526" t="s">
        <v>297</v>
      </c>
      <c r="O30" s="527" t="s">
        <v>66</v>
      </c>
      <c r="P30" s="586" t="s">
        <v>330</v>
      </c>
      <c r="Q30" s="587"/>
    </row>
    <row r="31" spans="1:20" ht="13">
      <c r="A31" s="435">
        <v>2026</v>
      </c>
      <c r="B31" s="436">
        <v>46023</v>
      </c>
      <c r="C31" s="436">
        <f>B31+30</f>
        <v>46053</v>
      </c>
      <c r="D31" s="437">
        <v>1</v>
      </c>
      <c r="E31" s="438">
        <f>'Rent Calculation'!$F$23</f>
        <v>9515</v>
      </c>
      <c r="F31" s="438">
        <f>'Rent Calculation'!G23</f>
        <v>883.96506874767749</v>
      </c>
      <c r="G31" s="479"/>
      <c r="H31" s="439">
        <f>Main!B7</f>
        <v>120</v>
      </c>
      <c r="I31" s="438">
        <f>E24</f>
        <v>170000</v>
      </c>
      <c r="J31" s="440">
        <f>15.48</f>
        <v>15.48</v>
      </c>
      <c r="K31" s="438">
        <f t="shared" ref="K31:K62" si="26">H31*E31</f>
        <v>1141800</v>
      </c>
      <c r="L31" s="439">
        <f>J31*E31</f>
        <v>147292.20000000001</v>
      </c>
      <c r="M31" s="441">
        <f t="shared" ref="M31:M36" si="27">I31+K31+L31</f>
        <v>1459092.2</v>
      </c>
      <c r="N31" s="457"/>
      <c r="O31" s="580"/>
      <c r="P31" s="581"/>
    </row>
    <row r="32" spans="1:20" ht="13">
      <c r="A32" s="442">
        <f>A31</f>
        <v>2026</v>
      </c>
      <c r="B32" s="432">
        <f>C31+1</f>
        <v>46054</v>
      </c>
      <c r="C32" s="432">
        <f>B32+30-3</f>
        <v>46081</v>
      </c>
      <c r="D32">
        <v>1</v>
      </c>
      <c r="E32" s="443">
        <v>9515</v>
      </c>
      <c r="F32" s="443">
        <v>883.96506874767749</v>
      </c>
      <c r="G32" s="480"/>
      <c r="H32" s="444">
        <f>H31</f>
        <v>120</v>
      </c>
      <c r="I32" s="443">
        <f>I31</f>
        <v>170000</v>
      </c>
      <c r="J32" s="433">
        <v>15.48</v>
      </c>
      <c r="K32" s="443">
        <f t="shared" si="26"/>
        <v>1141800</v>
      </c>
      <c r="L32" s="444">
        <f t="shared" ref="L32:L62" si="28">J32*E32</f>
        <v>147292.20000000001</v>
      </c>
      <c r="M32" s="431">
        <f t="shared" si="27"/>
        <v>1459092.2</v>
      </c>
      <c r="N32" s="429"/>
      <c r="O32" s="579"/>
      <c r="P32" s="582"/>
    </row>
    <row r="33" spans="1:16" ht="13">
      <c r="A33" s="442">
        <f t="shared" ref="A33:A38" si="29">A32</f>
        <v>2026</v>
      </c>
      <c r="B33" s="432">
        <f>C32+1</f>
        <v>46082</v>
      </c>
      <c r="C33" s="432">
        <f>B33+30</f>
        <v>46112</v>
      </c>
      <c r="D33">
        <v>1</v>
      </c>
      <c r="E33" s="443">
        <f t="shared" ref="E33:E96" si="30">E32</f>
        <v>9515</v>
      </c>
      <c r="F33" s="443">
        <f t="shared" ref="F33:F96" si="31">F32</f>
        <v>883.96506874767749</v>
      </c>
      <c r="G33" s="480"/>
      <c r="H33" s="444">
        <f>H32</f>
        <v>120</v>
      </c>
      <c r="I33" s="443">
        <f>I32</f>
        <v>170000</v>
      </c>
      <c r="J33" s="433">
        <f t="shared" ref="J33:J42" si="32">J32</f>
        <v>15.48</v>
      </c>
      <c r="K33" s="443">
        <f t="shared" si="26"/>
        <v>1141800</v>
      </c>
      <c r="L33" s="444">
        <f t="shared" si="28"/>
        <v>147292.20000000001</v>
      </c>
      <c r="M33" s="431">
        <f t="shared" si="27"/>
        <v>1459092.2</v>
      </c>
      <c r="N33" s="429"/>
      <c r="O33" s="579"/>
      <c r="P33" s="582"/>
    </row>
    <row r="34" spans="1:16" ht="13">
      <c r="A34" s="442">
        <f t="shared" si="29"/>
        <v>2026</v>
      </c>
      <c r="B34" s="432">
        <f>C33+1</f>
        <v>46113</v>
      </c>
      <c r="C34" s="432">
        <f>B34+30-1</f>
        <v>46142</v>
      </c>
      <c r="D34">
        <v>1</v>
      </c>
      <c r="E34" s="443">
        <f t="shared" si="30"/>
        <v>9515</v>
      </c>
      <c r="F34" s="443">
        <f t="shared" si="31"/>
        <v>883.96506874767749</v>
      </c>
      <c r="G34" s="480"/>
      <c r="H34" s="444">
        <f>H33</f>
        <v>120</v>
      </c>
      <c r="I34" s="443">
        <f t="shared" ref="I34:I97" si="33">I33</f>
        <v>170000</v>
      </c>
      <c r="J34" s="433">
        <f t="shared" si="32"/>
        <v>15.48</v>
      </c>
      <c r="K34" s="443">
        <f t="shared" si="26"/>
        <v>1141800</v>
      </c>
      <c r="L34" s="444">
        <f t="shared" si="28"/>
        <v>147292.20000000001</v>
      </c>
      <c r="M34" s="431">
        <f t="shared" si="27"/>
        <v>1459092.2</v>
      </c>
      <c r="N34" s="429"/>
      <c r="O34" s="579"/>
      <c r="P34" s="582"/>
    </row>
    <row r="35" spans="1:16" ht="13">
      <c r="A35" s="442">
        <f t="shared" si="29"/>
        <v>2026</v>
      </c>
      <c r="B35" s="432">
        <f t="shared" ref="B35:B36" si="34">C34+1</f>
        <v>46143</v>
      </c>
      <c r="C35" s="432">
        <f>B35+30</f>
        <v>46173</v>
      </c>
      <c r="D35">
        <v>1</v>
      </c>
      <c r="E35" s="443">
        <f t="shared" si="30"/>
        <v>9515</v>
      </c>
      <c r="F35" s="443">
        <f t="shared" si="31"/>
        <v>883.96506874767749</v>
      </c>
      <c r="G35" s="480"/>
      <c r="H35" s="444">
        <f t="shared" ref="H35:H65" si="35">H34</f>
        <v>120</v>
      </c>
      <c r="I35" s="443">
        <f t="shared" si="33"/>
        <v>170000</v>
      </c>
      <c r="J35" s="433">
        <f t="shared" si="32"/>
        <v>15.48</v>
      </c>
      <c r="K35" s="443">
        <f t="shared" si="26"/>
        <v>1141800</v>
      </c>
      <c r="L35" s="444">
        <f t="shared" si="28"/>
        <v>147292.20000000001</v>
      </c>
      <c r="M35" s="431">
        <f t="shared" si="27"/>
        <v>1459092.2</v>
      </c>
      <c r="N35" s="429"/>
      <c r="O35" s="579"/>
      <c r="P35" s="582"/>
    </row>
    <row r="36" spans="1:16" ht="13">
      <c r="A36" s="442">
        <f t="shared" si="29"/>
        <v>2026</v>
      </c>
      <c r="B36" s="432">
        <f t="shared" si="34"/>
        <v>46174</v>
      </c>
      <c r="C36" s="432">
        <f>B36+30-1</f>
        <v>46203</v>
      </c>
      <c r="D36">
        <v>1</v>
      </c>
      <c r="E36" s="443">
        <f t="shared" si="30"/>
        <v>9515</v>
      </c>
      <c r="F36" s="443">
        <f t="shared" si="31"/>
        <v>883.96506874767749</v>
      </c>
      <c r="G36" s="480"/>
      <c r="H36" s="444">
        <f t="shared" si="35"/>
        <v>120</v>
      </c>
      <c r="I36" s="443">
        <f t="shared" si="33"/>
        <v>170000</v>
      </c>
      <c r="J36" s="433">
        <f t="shared" si="32"/>
        <v>15.48</v>
      </c>
      <c r="K36" s="443">
        <f t="shared" si="26"/>
        <v>1141800</v>
      </c>
      <c r="L36" s="444">
        <f t="shared" si="28"/>
        <v>147292.20000000001</v>
      </c>
      <c r="M36" s="431">
        <f t="shared" si="27"/>
        <v>1459092.2</v>
      </c>
      <c r="N36" s="429"/>
      <c r="O36" s="579"/>
      <c r="P36" s="582"/>
    </row>
    <row r="37" spans="1:16">
      <c r="A37" s="442">
        <f t="shared" si="29"/>
        <v>2026</v>
      </c>
      <c r="B37" s="432">
        <f>C36+1</f>
        <v>46204</v>
      </c>
      <c r="C37" s="432">
        <f>B37+30-1</f>
        <v>46233</v>
      </c>
      <c r="D37">
        <v>1</v>
      </c>
      <c r="E37" s="443">
        <f t="shared" si="30"/>
        <v>9515</v>
      </c>
      <c r="F37" s="443">
        <f t="shared" si="31"/>
        <v>883.96506874767749</v>
      </c>
      <c r="H37" s="444">
        <f t="shared" si="35"/>
        <v>120</v>
      </c>
      <c r="I37" s="443">
        <f t="shared" si="33"/>
        <v>170000</v>
      </c>
      <c r="J37" s="433">
        <f t="shared" si="32"/>
        <v>15.48</v>
      </c>
      <c r="K37" s="443">
        <f t="shared" si="26"/>
        <v>1141800</v>
      </c>
      <c r="L37" s="444">
        <f t="shared" si="28"/>
        <v>147292.20000000001</v>
      </c>
      <c r="M37" s="431">
        <f>I37+K37+L37</f>
        <v>1459092.2</v>
      </c>
      <c r="N37" s="443"/>
      <c r="O37" s="443"/>
      <c r="P37" s="509"/>
    </row>
    <row r="38" spans="1:16" ht="13" thickBot="1">
      <c r="A38" s="445">
        <f t="shared" si="29"/>
        <v>2026</v>
      </c>
      <c r="B38" s="446">
        <f>C37+1</f>
        <v>46234</v>
      </c>
      <c r="C38" s="446">
        <f>B38+30</f>
        <v>46264</v>
      </c>
      <c r="D38" s="447">
        <v>1</v>
      </c>
      <c r="E38" s="448">
        <f t="shared" si="30"/>
        <v>9515</v>
      </c>
      <c r="F38" s="448">
        <f t="shared" si="31"/>
        <v>883.96506874767749</v>
      </c>
      <c r="G38" s="447"/>
      <c r="H38" s="449">
        <f t="shared" si="35"/>
        <v>120</v>
      </c>
      <c r="I38" s="448">
        <f t="shared" si="33"/>
        <v>170000</v>
      </c>
      <c r="J38" s="450">
        <f t="shared" si="32"/>
        <v>15.48</v>
      </c>
      <c r="K38" s="448">
        <f t="shared" si="26"/>
        <v>1141800</v>
      </c>
      <c r="L38" s="449">
        <f t="shared" si="28"/>
        <v>147292.20000000001</v>
      </c>
      <c r="M38" s="451">
        <f t="shared" ref="M38:M84" si="36">I38+K38+L38</f>
        <v>1459092.2</v>
      </c>
      <c r="N38" s="448"/>
      <c r="O38" s="448"/>
      <c r="P38" s="583"/>
    </row>
    <row r="39" spans="1:16">
      <c r="A39" s="442">
        <f>A38+1</f>
        <v>2027</v>
      </c>
      <c r="B39" s="432">
        <f t="shared" ref="B39:B84" si="37">C38+1</f>
        <v>46265</v>
      </c>
      <c r="C39" s="432">
        <f>B39+30</f>
        <v>46295</v>
      </c>
      <c r="D39">
        <v>1</v>
      </c>
      <c r="E39" s="443">
        <f t="shared" si="30"/>
        <v>9515</v>
      </c>
      <c r="F39" s="443">
        <f t="shared" si="31"/>
        <v>883.96506874767749</v>
      </c>
      <c r="H39" s="444">
        <f t="shared" si="35"/>
        <v>120</v>
      </c>
      <c r="I39" s="443">
        <f t="shared" si="33"/>
        <v>170000</v>
      </c>
      <c r="J39" s="433">
        <f t="shared" si="32"/>
        <v>15.48</v>
      </c>
      <c r="K39" s="443">
        <f t="shared" si="26"/>
        <v>1141800</v>
      </c>
      <c r="L39" s="444">
        <f t="shared" si="28"/>
        <v>147292.20000000001</v>
      </c>
      <c r="M39" s="431">
        <f t="shared" si="36"/>
        <v>1459092.2</v>
      </c>
      <c r="N39" s="443">
        <f>SUM(K31:K38)</f>
        <v>9134400</v>
      </c>
      <c r="O39" s="443">
        <f>SUM(L31:L38)</f>
        <v>1178337.5999999999</v>
      </c>
      <c r="P39" s="581">
        <f>SUM(I31:I38)</f>
        <v>1360000</v>
      </c>
    </row>
    <row r="40" spans="1:16">
      <c r="A40">
        <f>A39</f>
        <v>2027</v>
      </c>
      <c r="B40" s="432">
        <f t="shared" si="37"/>
        <v>46296</v>
      </c>
      <c r="C40" s="432">
        <f>B40+30</f>
        <v>46326</v>
      </c>
      <c r="D40">
        <v>1</v>
      </c>
      <c r="E40" s="443">
        <f t="shared" si="30"/>
        <v>9515</v>
      </c>
      <c r="F40" s="443">
        <f t="shared" si="31"/>
        <v>883.96506874767749</v>
      </c>
      <c r="H40" s="444">
        <f t="shared" si="35"/>
        <v>120</v>
      </c>
      <c r="I40" s="443">
        <f t="shared" si="33"/>
        <v>170000</v>
      </c>
      <c r="J40" s="433">
        <f t="shared" si="32"/>
        <v>15.48</v>
      </c>
      <c r="K40" s="443">
        <f t="shared" si="26"/>
        <v>1141800</v>
      </c>
      <c r="L40" s="444">
        <f t="shared" si="28"/>
        <v>147292.20000000001</v>
      </c>
      <c r="M40" s="431">
        <f t="shared" si="36"/>
        <v>1459092.2</v>
      </c>
      <c r="N40" s="443"/>
      <c r="O40" s="443"/>
      <c r="P40" s="582"/>
    </row>
    <row r="41" spans="1:16">
      <c r="A41" s="442">
        <f>A40</f>
        <v>2027</v>
      </c>
      <c r="B41" s="432">
        <f t="shared" si="37"/>
        <v>46327</v>
      </c>
      <c r="C41" s="432">
        <f>B41+30-1</f>
        <v>46356</v>
      </c>
      <c r="D41">
        <v>1</v>
      </c>
      <c r="E41" s="443">
        <f t="shared" si="30"/>
        <v>9515</v>
      </c>
      <c r="F41" s="443">
        <f t="shared" si="31"/>
        <v>883.96506874767749</v>
      </c>
      <c r="H41" s="444">
        <f t="shared" si="35"/>
        <v>120</v>
      </c>
      <c r="I41" s="443">
        <f t="shared" si="33"/>
        <v>170000</v>
      </c>
      <c r="J41" s="433">
        <f t="shared" si="32"/>
        <v>15.48</v>
      </c>
      <c r="K41" s="443">
        <f t="shared" si="26"/>
        <v>1141800</v>
      </c>
      <c r="L41" s="444">
        <f t="shared" si="28"/>
        <v>147292.20000000001</v>
      </c>
      <c r="M41" s="431">
        <f t="shared" si="36"/>
        <v>1459092.2</v>
      </c>
      <c r="N41" s="443"/>
      <c r="O41" s="443"/>
      <c r="P41" s="582"/>
    </row>
    <row r="42" spans="1:16">
      <c r="A42" s="442">
        <f>A41</f>
        <v>2027</v>
      </c>
      <c r="B42" s="432">
        <f t="shared" si="37"/>
        <v>46357</v>
      </c>
      <c r="C42" s="432">
        <f>B42+30</f>
        <v>46387</v>
      </c>
      <c r="D42">
        <v>1</v>
      </c>
      <c r="E42" s="443">
        <f t="shared" si="30"/>
        <v>9515</v>
      </c>
      <c r="F42" s="443">
        <f t="shared" si="31"/>
        <v>883.96506874767749</v>
      </c>
      <c r="H42" s="444">
        <f t="shared" si="35"/>
        <v>120</v>
      </c>
      <c r="I42" s="443">
        <f t="shared" si="33"/>
        <v>170000</v>
      </c>
      <c r="J42" s="433">
        <f t="shared" si="32"/>
        <v>15.48</v>
      </c>
      <c r="K42" s="443">
        <f t="shared" si="26"/>
        <v>1141800</v>
      </c>
      <c r="L42" s="444">
        <f t="shared" si="28"/>
        <v>147292.20000000001</v>
      </c>
      <c r="M42" s="431">
        <f t="shared" si="36"/>
        <v>1459092.2</v>
      </c>
      <c r="N42" s="443"/>
      <c r="O42" s="443"/>
      <c r="P42" s="582"/>
    </row>
    <row r="43" spans="1:16">
      <c r="A43" s="442">
        <f>A42</f>
        <v>2027</v>
      </c>
      <c r="B43" s="432">
        <f t="shared" si="37"/>
        <v>46388</v>
      </c>
      <c r="C43" s="432">
        <f>B43+30</f>
        <v>46418</v>
      </c>
      <c r="D43">
        <v>1</v>
      </c>
      <c r="E43" s="443">
        <f t="shared" si="30"/>
        <v>9515</v>
      </c>
      <c r="F43" s="443">
        <f t="shared" si="31"/>
        <v>883.96506874767749</v>
      </c>
      <c r="H43" s="444">
        <f t="shared" si="35"/>
        <v>120</v>
      </c>
      <c r="I43" s="443">
        <f t="shared" si="33"/>
        <v>170000</v>
      </c>
      <c r="J43" s="433">
        <f>J42*1.05</f>
        <v>16.254000000000001</v>
      </c>
      <c r="K43" s="443">
        <f t="shared" si="26"/>
        <v>1141800</v>
      </c>
      <c r="L43" s="444">
        <f t="shared" si="28"/>
        <v>154656.81000000003</v>
      </c>
      <c r="M43" s="431">
        <f t="shared" si="36"/>
        <v>1466456.81</v>
      </c>
      <c r="N43" s="443"/>
      <c r="O43" s="443"/>
      <c r="P43" s="582"/>
    </row>
    <row r="44" spans="1:16">
      <c r="A44" s="442">
        <f>A43</f>
        <v>2027</v>
      </c>
      <c r="B44" s="432">
        <f t="shared" si="37"/>
        <v>46419</v>
      </c>
      <c r="C44" s="432">
        <f>B44+30-3</f>
        <v>46446</v>
      </c>
      <c r="D44">
        <v>1</v>
      </c>
      <c r="E44" s="443">
        <f t="shared" si="30"/>
        <v>9515</v>
      </c>
      <c r="F44" s="443">
        <f t="shared" si="31"/>
        <v>883.96506874767749</v>
      </c>
      <c r="H44" s="444">
        <f t="shared" si="35"/>
        <v>120</v>
      </c>
      <c r="I44" s="443">
        <f t="shared" si="33"/>
        <v>170000</v>
      </c>
      <c r="J44" s="433">
        <f>J43</f>
        <v>16.254000000000001</v>
      </c>
      <c r="K44" s="443">
        <f t="shared" si="26"/>
        <v>1141800</v>
      </c>
      <c r="L44" s="444">
        <f t="shared" si="28"/>
        <v>154656.81000000003</v>
      </c>
      <c r="M44" s="431">
        <f t="shared" si="36"/>
        <v>1466456.81</v>
      </c>
      <c r="N44" s="443"/>
      <c r="O44" s="443"/>
      <c r="P44" s="582"/>
    </row>
    <row r="45" spans="1:16">
      <c r="A45" s="442">
        <f t="shared" ref="A45:A50" si="38">A44</f>
        <v>2027</v>
      </c>
      <c r="B45" s="432">
        <f t="shared" si="37"/>
        <v>46447</v>
      </c>
      <c r="C45" s="432">
        <f>B45+30</f>
        <v>46477</v>
      </c>
      <c r="D45">
        <v>1</v>
      </c>
      <c r="E45" s="443">
        <f t="shared" si="30"/>
        <v>9515</v>
      </c>
      <c r="F45" s="443">
        <f t="shared" si="31"/>
        <v>883.96506874767749</v>
      </c>
      <c r="H45" s="444">
        <f t="shared" si="35"/>
        <v>120</v>
      </c>
      <c r="I45" s="443">
        <f t="shared" si="33"/>
        <v>170000</v>
      </c>
      <c r="J45" s="433">
        <f t="shared" ref="J45:J54" si="39">J44</f>
        <v>16.254000000000001</v>
      </c>
      <c r="K45" s="443">
        <f t="shared" si="26"/>
        <v>1141800</v>
      </c>
      <c r="L45" s="444">
        <f t="shared" si="28"/>
        <v>154656.81000000003</v>
      </c>
      <c r="M45" s="431">
        <f t="shared" si="36"/>
        <v>1466456.81</v>
      </c>
      <c r="N45" s="443"/>
      <c r="O45" s="443"/>
      <c r="P45" s="582"/>
    </row>
    <row r="46" spans="1:16">
      <c r="A46" s="442">
        <f t="shared" si="38"/>
        <v>2027</v>
      </c>
      <c r="B46" s="432">
        <f t="shared" si="37"/>
        <v>46478</v>
      </c>
      <c r="C46" s="432">
        <f>B46+30-1</f>
        <v>46507</v>
      </c>
      <c r="D46">
        <v>1</v>
      </c>
      <c r="E46" s="443">
        <f t="shared" si="30"/>
        <v>9515</v>
      </c>
      <c r="F46" s="443">
        <f t="shared" si="31"/>
        <v>883.96506874767749</v>
      </c>
      <c r="H46" s="444">
        <f t="shared" si="35"/>
        <v>120</v>
      </c>
      <c r="I46" s="443">
        <f t="shared" si="33"/>
        <v>170000</v>
      </c>
      <c r="J46" s="433">
        <f t="shared" si="39"/>
        <v>16.254000000000001</v>
      </c>
      <c r="K46" s="443">
        <f t="shared" si="26"/>
        <v>1141800</v>
      </c>
      <c r="L46" s="444">
        <f t="shared" si="28"/>
        <v>154656.81000000003</v>
      </c>
      <c r="M46" s="431">
        <f t="shared" si="36"/>
        <v>1466456.81</v>
      </c>
      <c r="N46" s="443"/>
      <c r="O46" s="443"/>
      <c r="P46" s="582"/>
    </row>
    <row r="47" spans="1:16">
      <c r="A47" s="442">
        <f t="shared" si="38"/>
        <v>2027</v>
      </c>
      <c r="B47" s="432">
        <f t="shared" si="37"/>
        <v>46508</v>
      </c>
      <c r="C47" s="432">
        <f>B47+30</f>
        <v>46538</v>
      </c>
      <c r="D47">
        <v>1</v>
      </c>
      <c r="E47" s="443">
        <f t="shared" si="30"/>
        <v>9515</v>
      </c>
      <c r="F47" s="443">
        <f t="shared" si="31"/>
        <v>883.96506874767749</v>
      </c>
      <c r="H47" s="444">
        <f t="shared" si="35"/>
        <v>120</v>
      </c>
      <c r="I47" s="443">
        <f t="shared" si="33"/>
        <v>170000</v>
      </c>
      <c r="J47" s="433">
        <f t="shared" si="39"/>
        <v>16.254000000000001</v>
      </c>
      <c r="K47" s="443">
        <f t="shared" si="26"/>
        <v>1141800</v>
      </c>
      <c r="L47" s="444">
        <f t="shared" si="28"/>
        <v>154656.81000000003</v>
      </c>
      <c r="M47" s="431">
        <f t="shared" si="36"/>
        <v>1466456.81</v>
      </c>
      <c r="N47" s="443"/>
      <c r="O47" s="443"/>
      <c r="P47" s="582"/>
    </row>
    <row r="48" spans="1:16">
      <c r="A48" s="442">
        <f t="shared" si="38"/>
        <v>2027</v>
      </c>
      <c r="B48" s="432">
        <f t="shared" si="37"/>
        <v>46539</v>
      </c>
      <c r="C48" s="432">
        <f>B48+30-1</f>
        <v>46568</v>
      </c>
      <c r="D48">
        <v>1</v>
      </c>
      <c r="E48" s="443">
        <f t="shared" si="30"/>
        <v>9515</v>
      </c>
      <c r="F48" s="443">
        <f t="shared" si="31"/>
        <v>883.96506874767749</v>
      </c>
      <c r="H48" s="444">
        <f t="shared" si="35"/>
        <v>120</v>
      </c>
      <c r="I48" s="443">
        <f t="shared" si="33"/>
        <v>170000</v>
      </c>
      <c r="J48" s="433">
        <f t="shared" si="39"/>
        <v>16.254000000000001</v>
      </c>
      <c r="K48" s="443">
        <f t="shared" si="26"/>
        <v>1141800</v>
      </c>
      <c r="L48" s="444">
        <f t="shared" si="28"/>
        <v>154656.81000000003</v>
      </c>
      <c r="M48" s="431">
        <f t="shared" si="36"/>
        <v>1466456.81</v>
      </c>
      <c r="N48" s="443"/>
      <c r="O48" s="443"/>
      <c r="P48" s="582"/>
    </row>
    <row r="49" spans="1:16">
      <c r="A49" s="442">
        <f t="shared" si="38"/>
        <v>2027</v>
      </c>
      <c r="B49" s="432">
        <f t="shared" si="37"/>
        <v>46569</v>
      </c>
      <c r="C49" s="432">
        <f>B49+30</f>
        <v>46599</v>
      </c>
      <c r="D49">
        <v>1</v>
      </c>
      <c r="E49" s="443">
        <f t="shared" si="30"/>
        <v>9515</v>
      </c>
      <c r="F49" s="443">
        <f t="shared" si="31"/>
        <v>883.96506874767749</v>
      </c>
      <c r="H49" s="444">
        <f t="shared" si="35"/>
        <v>120</v>
      </c>
      <c r="I49" s="443">
        <f t="shared" si="33"/>
        <v>170000</v>
      </c>
      <c r="J49" s="433">
        <f t="shared" si="39"/>
        <v>16.254000000000001</v>
      </c>
      <c r="K49" s="443">
        <f t="shared" si="26"/>
        <v>1141800</v>
      </c>
      <c r="L49" s="444">
        <f t="shared" si="28"/>
        <v>154656.81000000003</v>
      </c>
      <c r="M49" s="431">
        <f t="shared" si="36"/>
        <v>1466456.81</v>
      </c>
      <c r="N49" s="443"/>
      <c r="O49" s="443"/>
      <c r="P49" s="582"/>
    </row>
    <row r="50" spans="1:16" ht="13" thickBot="1">
      <c r="A50" s="445">
        <f t="shared" si="38"/>
        <v>2027</v>
      </c>
      <c r="B50" s="446">
        <f t="shared" si="37"/>
        <v>46600</v>
      </c>
      <c r="C50" s="446">
        <f>B50+30</f>
        <v>46630</v>
      </c>
      <c r="D50" s="447">
        <v>1</v>
      </c>
      <c r="E50" s="448">
        <f t="shared" si="30"/>
        <v>9515</v>
      </c>
      <c r="F50" s="448">
        <f t="shared" si="31"/>
        <v>883.96506874767749</v>
      </c>
      <c r="G50" s="447"/>
      <c r="H50" s="449">
        <f t="shared" si="35"/>
        <v>120</v>
      </c>
      <c r="I50" s="448">
        <f t="shared" si="33"/>
        <v>170000</v>
      </c>
      <c r="J50" s="450">
        <f t="shared" si="39"/>
        <v>16.254000000000001</v>
      </c>
      <c r="K50" s="448">
        <f t="shared" si="26"/>
        <v>1141800</v>
      </c>
      <c r="L50" s="449">
        <f t="shared" si="28"/>
        <v>154656.81000000003</v>
      </c>
      <c r="M50" s="451">
        <f t="shared" si="36"/>
        <v>1466456.81</v>
      </c>
      <c r="N50" s="448"/>
      <c r="O50" s="448"/>
      <c r="P50" s="583"/>
    </row>
    <row r="51" spans="1:16">
      <c r="A51" s="442">
        <f>A50+1</f>
        <v>2028</v>
      </c>
      <c r="B51" s="432">
        <f t="shared" si="37"/>
        <v>46631</v>
      </c>
      <c r="C51" s="432">
        <f>B51+30-1</f>
        <v>46660</v>
      </c>
      <c r="D51">
        <v>1</v>
      </c>
      <c r="E51" s="443">
        <f t="shared" si="30"/>
        <v>9515</v>
      </c>
      <c r="F51" s="443">
        <f t="shared" si="31"/>
        <v>883.96506874767749</v>
      </c>
      <c r="H51" s="444">
        <f t="shared" si="35"/>
        <v>120</v>
      </c>
      <c r="I51" s="443">
        <f t="shared" si="33"/>
        <v>170000</v>
      </c>
      <c r="J51" s="433">
        <f t="shared" si="39"/>
        <v>16.254000000000001</v>
      </c>
      <c r="K51" s="443">
        <f t="shared" si="26"/>
        <v>1141800</v>
      </c>
      <c r="L51" s="444">
        <f t="shared" si="28"/>
        <v>154656.81000000003</v>
      </c>
      <c r="M51" s="431">
        <f t="shared" si="36"/>
        <v>1466456.81</v>
      </c>
      <c r="N51" s="443">
        <f>SUM(K39:K50)</f>
        <v>13701600</v>
      </c>
      <c r="O51" s="443">
        <f>SUM(L39:L50)</f>
        <v>1826423.2800000005</v>
      </c>
      <c r="P51" s="581">
        <f>SUM(I39:I50)</f>
        <v>2040000</v>
      </c>
    </row>
    <row r="52" spans="1:16">
      <c r="A52" s="442">
        <f>A51</f>
        <v>2028</v>
      </c>
      <c r="B52" s="432">
        <f t="shared" si="37"/>
        <v>46661</v>
      </c>
      <c r="C52" s="432">
        <f>B52+30</f>
        <v>46691</v>
      </c>
      <c r="D52">
        <v>1</v>
      </c>
      <c r="E52" s="443">
        <f t="shared" si="30"/>
        <v>9515</v>
      </c>
      <c r="F52" s="443">
        <f t="shared" si="31"/>
        <v>883.96506874767749</v>
      </c>
      <c r="H52" s="444">
        <f t="shared" si="35"/>
        <v>120</v>
      </c>
      <c r="I52" s="443">
        <f t="shared" si="33"/>
        <v>170000</v>
      </c>
      <c r="J52" s="433">
        <f t="shared" si="39"/>
        <v>16.254000000000001</v>
      </c>
      <c r="K52" s="443">
        <f t="shared" si="26"/>
        <v>1141800</v>
      </c>
      <c r="L52" s="444">
        <f t="shared" si="28"/>
        <v>154656.81000000003</v>
      </c>
      <c r="M52" s="431">
        <f t="shared" si="36"/>
        <v>1466456.81</v>
      </c>
      <c r="N52" s="443"/>
      <c r="O52" s="443"/>
      <c r="P52" s="582"/>
    </row>
    <row r="53" spans="1:16">
      <c r="A53" s="442">
        <f>A52</f>
        <v>2028</v>
      </c>
      <c r="B53" s="432">
        <f t="shared" si="37"/>
        <v>46692</v>
      </c>
      <c r="C53" s="432">
        <f>B53+30-1</f>
        <v>46721</v>
      </c>
      <c r="D53">
        <v>1</v>
      </c>
      <c r="E53" s="443">
        <f t="shared" si="30"/>
        <v>9515</v>
      </c>
      <c r="F53" s="443">
        <f t="shared" si="31"/>
        <v>883.96506874767749</v>
      </c>
      <c r="H53" s="444">
        <f t="shared" si="35"/>
        <v>120</v>
      </c>
      <c r="I53" s="443">
        <f t="shared" si="33"/>
        <v>170000</v>
      </c>
      <c r="J53" s="433">
        <f t="shared" si="39"/>
        <v>16.254000000000001</v>
      </c>
      <c r="K53" s="443">
        <f t="shared" si="26"/>
        <v>1141800</v>
      </c>
      <c r="L53" s="444">
        <f t="shared" si="28"/>
        <v>154656.81000000003</v>
      </c>
      <c r="M53" s="431">
        <f t="shared" si="36"/>
        <v>1466456.81</v>
      </c>
      <c r="N53" s="443"/>
      <c r="O53" s="443"/>
      <c r="P53" s="582"/>
    </row>
    <row r="54" spans="1:16">
      <c r="A54" s="442">
        <f t="shared" ref="A54:A62" si="40">A53</f>
        <v>2028</v>
      </c>
      <c r="B54" s="432">
        <f t="shared" si="37"/>
        <v>46722</v>
      </c>
      <c r="C54" s="432">
        <f>B54+30</f>
        <v>46752</v>
      </c>
      <c r="D54">
        <v>1</v>
      </c>
      <c r="E54" s="443">
        <f t="shared" si="30"/>
        <v>9515</v>
      </c>
      <c r="F54" s="443">
        <f t="shared" si="31"/>
        <v>883.96506874767749</v>
      </c>
      <c r="H54" s="444">
        <f>H53</f>
        <v>120</v>
      </c>
      <c r="I54" s="443">
        <f t="shared" si="33"/>
        <v>170000</v>
      </c>
      <c r="J54" s="433">
        <f t="shared" si="39"/>
        <v>16.254000000000001</v>
      </c>
      <c r="K54" s="443">
        <f t="shared" si="26"/>
        <v>1141800</v>
      </c>
      <c r="L54" s="444">
        <f t="shared" si="28"/>
        <v>154656.81000000003</v>
      </c>
      <c r="M54" s="431">
        <f t="shared" si="36"/>
        <v>1466456.81</v>
      </c>
      <c r="N54" s="443"/>
      <c r="O54" s="443"/>
      <c r="P54" s="582"/>
    </row>
    <row r="55" spans="1:16">
      <c r="A55" s="442">
        <f t="shared" si="40"/>
        <v>2028</v>
      </c>
      <c r="B55" s="432">
        <f t="shared" si="37"/>
        <v>46753</v>
      </c>
      <c r="C55" s="432">
        <f>B55+30</f>
        <v>46783</v>
      </c>
      <c r="D55">
        <v>1</v>
      </c>
      <c r="E55" s="443">
        <f t="shared" si="30"/>
        <v>9515</v>
      </c>
      <c r="F55" s="443">
        <f t="shared" si="31"/>
        <v>883.96506874767749</v>
      </c>
      <c r="H55" s="444">
        <f t="shared" si="35"/>
        <v>120</v>
      </c>
      <c r="I55" s="443">
        <f t="shared" si="33"/>
        <v>170000</v>
      </c>
      <c r="J55" s="433">
        <f>J54*1.05</f>
        <v>17.066700000000001</v>
      </c>
      <c r="K55" s="443">
        <f t="shared" si="26"/>
        <v>1141800</v>
      </c>
      <c r="L55" s="444">
        <f t="shared" si="28"/>
        <v>162389.65050000002</v>
      </c>
      <c r="M55" s="431">
        <f t="shared" si="36"/>
        <v>1474189.6505</v>
      </c>
      <c r="N55" s="443"/>
      <c r="O55" s="443"/>
      <c r="P55" s="582"/>
    </row>
    <row r="56" spans="1:16">
      <c r="A56" s="442">
        <f t="shared" si="40"/>
        <v>2028</v>
      </c>
      <c r="B56" s="432">
        <f t="shared" si="37"/>
        <v>46784</v>
      </c>
      <c r="C56" s="432">
        <f>B56+30-2</f>
        <v>46812</v>
      </c>
      <c r="D56">
        <v>1</v>
      </c>
      <c r="E56" s="443">
        <f t="shared" si="30"/>
        <v>9515</v>
      </c>
      <c r="F56" s="443">
        <f t="shared" si="31"/>
        <v>883.96506874767749</v>
      </c>
      <c r="H56" s="444">
        <f t="shared" si="35"/>
        <v>120</v>
      </c>
      <c r="I56" s="443">
        <f t="shared" si="33"/>
        <v>170000</v>
      </c>
      <c r="J56" s="433">
        <f>J55</f>
        <v>17.066700000000001</v>
      </c>
      <c r="K56" s="443">
        <f t="shared" si="26"/>
        <v>1141800</v>
      </c>
      <c r="L56" s="444">
        <f t="shared" si="28"/>
        <v>162389.65050000002</v>
      </c>
      <c r="M56" s="431">
        <f t="shared" si="36"/>
        <v>1474189.6505</v>
      </c>
      <c r="N56" s="443"/>
      <c r="O56" s="443"/>
      <c r="P56" s="582"/>
    </row>
    <row r="57" spans="1:16">
      <c r="A57" s="442">
        <f t="shared" si="40"/>
        <v>2028</v>
      </c>
      <c r="B57" s="432">
        <f t="shared" si="37"/>
        <v>46813</v>
      </c>
      <c r="C57" s="432">
        <f>B57+30</f>
        <v>46843</v>
      </c>
      <c r="D57">
        <v>1</v>
      </c>
      <c r="E57" s="443">
        <f t="shared" si="30"/>
        <v>9515</v>
      </c>
      <c r="F57" s="443">
        <f t="shared" si="31"/>
        <v>883.96506874767749</v>
      </c>
      <c r="H57" s="444">
        <f t="shared" si="35"/>
        <v>120</v>
      </c>
      <c r="I57" s="443">
        <f t="shared" si="33"/>
        <v>170000</v>
      </c>
      <c r="J57" s="433">
        <f t="shared" ref="J57:J59" si="41">J56</f>
        <v>17.066700000000001</v>
      </c>
      <c r="K57" s="443">
        <f t="shared" si="26"/>
        <v>1141800</v>
      </c>
      <c r="L57" s="444">
        <f t="shared" si="28"/>
        <v>162389.65050000002</v>
      </c>
      <c r="M57" s="431">
        <f t="shared" si="36"/>
        <v>1474189.6505</v>
      </c>
      <c r="N57" s="443"/>
      <c r="O57" s="443"/>
      <c r="P57" s="582"/>
    </row>
    <row r="58" spans="1:16">
      <c r="A58" s="442">
        <f t="shared" si="40"/>
        <v>2028</v>
      </c>
      <c r="B58" s="432">
        <f t="shared" si="37"/>
        <v>46844</v>
      </c>
      <c r="C58" s="432">
        <f>B58+30-1</f>
        <v>46873</v>
      </c>
      <c r="D58">
        <v>1</v>
      </c>
      <c r="E58" s="443">
        <f t="shared" si="30"/>
        <v>9515</v>
      </c>
      <c r="F58" s="443">
        <f t="shared" si="31"/>
        <v>883.96506874767749</v>
      </c>
      <c r="H58" s="444">
        <f t="shared" si="35"/>
        <v>120</v>
      </c>
      <c r="I58" s="443">
        <f t="shared" si="33"/>
        <v>170000</v>
      </c>
      <c r="J58" s="433">
        <f t="shared" si="41"/>
        <v>17.066700000000001</v>
      </c>
      <c r="K58" s="443">
        <f t="shared" si="26"/>
        <v>1141800</v>
      </c>
      <c r="L58" s="444">
        <f t="shared" si="28"/>
        <v>162389.65050000002</v>
      </c>
      <c r="M58" s="431">
        <f t="shared" si="36"/>
        <v>1474189.6505</v>
      </c>
      <c r="N58" s="443"/>
      <c r="O58" s="443"/>
      <c r="P58" s="582"/>
    </row>
    <row r="59" spans="1:16">
      <c r="A59" s="442">
        <f t="shared" si="40"/>
        <v>2028</v>
      </c>
      <c r="B59" s="432">
        <f t="shared" si="37"/>
        <v>46874</v>
      </c>
      <c r="C59" s="432">
        <f>B59+30</f>
        <v>46904</v>
      </c>
      <c r="D59">
        <v>1</v>
      </c>
      <c r="E59" s="443">
        <f t="shared" si="30"/>
        <v>9515</v>
      </c>
      <c r="F59" s="443">
        <f t="shared" si="31"/>
        <v>883.96506874767749</v>
      </c>
      <c r="H59" s="444">
        <f t="shared" si="35"/>
        <v>120</v>
      </c>
      <c r="I59" s="443">
        <f t="shared" si="33"/>
        <v>170000</v>
      </c>
      <c r="J59" s="433">
        <f t="shared" si="41"/>
        <v>17.066700000000001</v>
      </c>
      <c r="K59" s="443">
        <f t="shared" si="26"/>
        <v>1141800</v>
      </c>
      <c r="L59" s="444">
        <f t="shared" si="28"/>
        <v>162389.65050000002</v>
      </c>
      <c r="M59" s="431">
        <f t="shared" si="36"/>
        <v>1474189.6505</v>
      </c>
      <c r="N59" s="443"/>
      <c r="O59" s="443"/>
      <c r="P59" s="582"/>
    </row>
    <row r="60" spans="1:16">
      <c r="A60" s="442">
        <f t="shared" si="40"/>
        <v>2028</v>
      </c>
      <c r="B60" s="432">
        <f t="shared" si="37"/>
        <v>46905</v>
      </c>
      <c r="C60" s="432">
        <f>B60+30-1</f>
        <v>46934</v>
      </c>
      <c r="D60">
        <v>1</v>
      </c>
      <c r="E60" s="443">
        <f t="shared" si="30"/>
        <v>9515</v>
      </c>
      <c r="F60" s="443">
        <f t="shared" si="31"/>
        <v>883.96506874767749</v>
      </c>
      <c r="H60" s="444">
        <f t="shared" si="35"/>
        <v>120</v>
      </c>
      <c r="I60" s="443">
        <f t="shared" si="33"/>
        <v>170000</v>
      </c>
      <c r="J60" s="433">
        <f t="shared" ref="J60:J84" si="42">J59</f>
        <v>17.066700000000001</v>
      </c>
      <c r="K60" s="443">
        <f t="shared" si="26"/>
        <v>1141800</v>
      </c>
      <c r="L60" s="444">
        <f t="shared" si="28"/>
        <v>162389.65050000002</v>
      </c>
      <c r="M60" s="431">
        <f t="shared" si="36"/>
        <v>1474189.6505</v>
      </c>
      <c r="N60" s="443"/>
      <c r="O60" s="443"/>
      <c r="P60" s="582"/>
    </row>
    <row r="61" spans="1:16">
      <c r="A61" s="442">
        <f t="shared" si="40"/>
        <v>2028</v>
      </c>
      <c r="B61" s="432">
        <f t="shared" si="37"/>
        <v>46935</v>
      </c>
      <c r="C61" s="432">
        <f>B61+30</f>
        <v>46965</v>
      </c>
      <c r="D61">
        <v>1</v>
      </c>
      <c r="E61" s="443">
        <f t="shared" si="30"/>
        <v>9515</v>
      </c>
      <c r="F61" s="443">
        <f t="shared" si="31"/>
        <v>883.96506874767749</v>
      </c>
      <c r="H61" s="444">
        <f t="shared" si="35"/>
        <v>120</v>
      </c>
      <c r="I61" s="443">
        <f t="shared" si="33"/>
        <v>170000</v>
      </c>
      <c r="J61" s="433">
        <f>J60</f>
        <v>17.066700000000001</v>
      </c>
      <c r="K61" s="443">
        <f t="shared" si="26"/>
        <v>1141800</v>
      </c>
      <c r="L61" s="444">
        <f t="shared" si="28"/>
        <v>162389.65050000002</v>
      </c>
      <c r="M61" s="431">
        <f t="shared" si="36"/>
        <v>1474189.6505</v>
      </c>
      <c r="N61" s="443"/>
      <c r="O61" s="443"/>
      <c r="P61" s="582"/>
    </row>
    <row r="62" spans="1:16" ht="13" thickBot="1">
      <c r="A62" s="445">
        <f t="shared" si="40"/>
        <v>2028</v>
      </c>
      <c r="B62" s="446">
        <f t="shared" si="37"/>
        <v>46966</v>
      </c>
      <c r="C62" s="446">
        <f>B62+30</f>
        <v>46996</v>
      </c>
      <c r="D62" s="447">
        <v>1</v>
      </c>
      <c r="E62" s="448">
        <f t="shared" si="30"/>
        <v>9515</v>
      </c>
      <c r="F62" s="448">
        <f t="shared" si="31"/>
        <v>883.96506874767749</v>
      </c>
      <c r="G62" s="447"/>
      <c r="H62" s="449">
        <f t="shared" si="35"/>
        <v>120</v>
      </c>
      <c r="I62" s="443">
        <f t="shared" si="33"/>
        <v>170000</v>
      </c>
      <c r="J62" s="450">
        <f>J61</f>
        <v>17.066700000000001</v>
      </c>
      <c r="K62" s="448">
        <f t="shared" si="26"/>
        <v>1141800</v>
      </c>
      <c r="L62" s="449">
        <f t="shared" si="28"/>
        <v>162389.65050000002</v>
      </c>
      <c r="M62" s="451">
        <f t="shared" si="36"/>
        <v>1474189.6505</v>
      </c>
      <c r="N62" s="448"/>
      <c r="O62" s="448"/>
      <c r="P62" s="582"/>
    </row>
    <row r="63" spans="1:16">
      <c r="A63">
        <f>A62+1</f>
        <v>2029</v>
      </c>
      <c r="B63" s="432">
        <f t="shared" si="37"/>
        <v>46997</v>
      </c>
      <c r="C63" s="432">
        <f>B63+30-1</f>
        <v>47026</v>
      </c>
      <c r="D63">
        <v>1</v>
      </c>
      <c r="E63" s="443">
        <f t="shared" si="30"/>
        <v>9515</v>
      </c>
      <c r="F63" s="443">
        <f t="shared" si="31"/>
        <v>883.96506874767749</v>
      </c>
      <c r="H63" s="444">
        <f t="shared" si="35"/>
        <v>120</v>
      </c>
      <c r="I63" s="438">
        <f t="shared" si="33"/>
        <v>170000</v>
      </c>
      <c r="J63" s="433">
        <f t="shared" ref="J63:J72" si="43">J62</f>
        <v>17.066700000000001</v>
      </c>
      <c r="K63" s="443">
        <f t="shared" ref="K63:K94" si="44">H63*E63</f>
        <v>1141800</v>
      </c>
      <c r="L63" s="444">
        <f t="shared" ref="L63:L94" si="45">J63*E63</f>
        <v>162389.65050000002</v>
      </c>
      <c r="M63" s="431">
        <f t="shared" si="36"/>
        <v>1474189.6505</v>
      </c>
      <c r="N63" s="443">
        <f>SUM(K51:K62)</f>
        <v>13701600</v>
      </c>
      <c r="O63" s="443">
        <f>SUM(L51:L62)</f>
        <v>1917744.4440000001</v>
      </c>
      <c r="P63" s="584">
        <f>SUM(I51:I62)</f>
        <v>2040000</v>
      </c>
    </row>
    <row r="64" spans="1:16">
      <c r="A64" s="442">
        <f>A63</f>
        <v>2029</v>
      </c>
      <c r="B64" s="432">
        <f t="shared" si="37"/>
        <v>47027</v>
      </c>
      <c r="C64" s="432">
        <f>B64+30</f>
        <v>47057</v>
      </c>
      <c r="D64">
        <v>1</v>
      </c>
      <c r="E64" s="443">
        <f t="shared" si="30"/>
        <v>9515</v>
      </c>
      <c r="F64" s="443">
        <f t="shared" si="31"/>
        <v>883.96506874767749</v>
      </c>
      <c r="H64" s="444">
        <f t="shared" si="35"/>
        <v>120</v>
      </c>
      <c r="I64" s="443">
        <f t="shared" si="33"/>
        <v>170000</v>
      </c>
      <c r="J64" s="433">
        <f t="shared" si="43"/>
        <v>17.066700000000001</v>
      </c>
      <c r="K64" s="443">
        <f t="shared" si="44"/>
        <v>1141800</v>
      </c>
      <c r="L64" s="444">
        <f t="shared" si="45"/>
        <v>162389.65050000002</v>
      </c>
      <c r="M64" s="431">
        <f t="shared" si="36"/>
        <v>1474189.6505</v>
      </c>
      <c r="N64" s="443"/>
      <c r="O64" s="443"/>
      <c r="P64" s="582"/>
    </row>
    <row r="65" spans="1:16">
      <c r="A65" s="442">
        <f>A64</f>
        <v>2029</v>
      </c>
      <c r="B65" s="432">
        <f t="shared" si="37"/>
        <v>47058</v>
      </c>
      <c r="C65" s="432">
        <f>B65+30-1</f>
        <v>47087</v>
      </c>
      <c r="D65">
        <v>1</v>
      </c>
      <c r="E65" s="443">
        <f t="shared" si="30"/>
        <v>9515</v>
      </c>
      <c r="F65" s="443">
        <f t="shared" si="31"/>
        <v>883.96506874767749</v>
      </c>
      <c r="H65" s="444">
        <f t="shared" si="35"/>
        <v>120</v>
      </c>
      <c r="I65" s="443">
        <f t="shared" si="33"/>
        <v>170000</v>
      </c>
      <c r="J65" s="433">
        <f t="shared" si="43"/>
        <v>17.066700000000001</v>
      </c>
      <c r="K65" s="443">
        <f t="shared" si="44"/>
        <v>1141800</v>
      </c>
      <c r="L65" s="444">
        <f t="shared" si="45"/>
        <v>162389.65050000002</v>
      </c>
      <c r="M65" s="431">
        <f t="shared" si="36"/>
        <v>1474189.6505</v>
      </c>
      <c r="N65" s="443"/>
      <c r="O65" s="443"/>
      <c r="P65" s="582"/>
    </row>
    <row r="66" spans="1:16">
      <c r="A66" s="442">
        <f t="shared" ref="A66:A74" si="46">A65</f>
        <v>2029</v>
      </c>
      <c r="B66" s="432">
        <f t="shared" si="37"/>
        <v>47088</v>
      </c>
      <c r="C66" s="432">
        <f>B66+30</f>
        <v>47118</v>
      </c>
      <c r="D66">
        <v>1</v>
      </c>
      <c r="E66" s="443">
        <f t="shared" si="30"/>
        <v>9515</v>
      </c>
      <c r="F66" s="443">
        <f t="shared" si="31"/>
        <v>883.96506874767749</v>
      </c>
      <c r="H66" s="444">
        <f>H65</f>
        <v>120</v>
      </c>
      <c r="I66" s="443">
        <f t="shared" si="33"/>
        <v>170000</v>
      </c>
      <c r="J66" s="433">
        <f t="shared" si="43"/>
        <v>17.066700000000001</v>
      </c>
      <c r="K66" s="443">
        <f t="shared" si="44"/>
        <v>1141800</v>
      </c>
      <c r="L66" s="444">
        <f t="shared" si="45"/>
        <v>162389.65050000002</v>
      </c>
      <c r="M66" s="431">
        <f t="shared" si="36"/>
        <v>1474189.6505</v>
      </c>
      <c r="N66" s="443"/>
      <c r="O66" s="443"/>
      <c r="P66" s="582"/>
    </row>
    <row r="67" spans="1:16">
      <c r="A67" s="442">
        <f t="shared" si="46"/>
        <v>2029</v>
      </c>
      <c r="B67" s="432">
        <f t="shared" si="37"/>
        <v>47119</v>
      </c>
      <c r="C67" s="432">
        <f>B67+30</f>
        <v>47149</v>
      </c>
      <c r="D67">
        <v>1</v>
      </c>
      <c r="E67" s="443">
        <f t="shared" si="30"/>
        <v>9515</v>
      </c>
      <c r="F67" s="443">
        <f t="shared" si="31"/>
        <v>883.96506874767749</v>
      </c>
      <c r="H67" s="444">
        <f>H66*1.15</f>
        <v>138</v>
      </c>
      <c r="I67" s="443">
        <f>I66*1.15</f>
        <v>195499.99999999997</v>
      </c>
      <c r="J67" s="433">
        <f>J66*1.05</f>
        <v>17.920035000000002</v>
      </c>
      <c r="K67" s="443">
        <f t="shared" si="44"/>
        <v>1313070</v>
      </c>
      <c r="L67" s="444">
        <f t="shared" si="45"/>
        <v>170509.13302500002</v>
      </c>
      <c r="M67" s="431">
        <f t="shared" si="36"/>
        <v>1679079.1330250001</v>
      </c>
      <c r="N67" s="443"/>
      <c r="O67" s="443"/>
      <c r="P67" s="582"/>
    </row>
    <row r="68" spans="1:16">
      <c r="A68" s="442">
        <f t="shared" si="46"/>
        <v>2029</v>
      </c>
      <c r="B68" s="432">
        <f t="shared" si="37"/>
        <v>47150</v>
      </c>
      <c r="C68" s="432">
        <f>B68+30-3</f>
        <v>47177</v>
      </c>
      <c r="D68">
        <v>1</v>
      </c>
      <c r="E68" s="443">
        <f t="shared" si="30"/>
        <v>9515</v>
      </c>
      <c r="F68" s="443">
        <f t="shared" si="31"/>
        <v>883.96506874767749</v>
      </c>
      <c r="H68" s="444">
        <f>H67</f>
        <v>138</v>
      </c>
      <c r="I68" s="443">
        <f t="shared" si="33"/>
        <v>195499.99999999997</v>
      </c>
      <c r="J68" s="433">
        <f>J67</f>
        <v>17.920035000000002</v>
      </c>
      <c r="K68" s="443">
        <f t="shared" si="44"/>
        <v>1313070</v>
      </c>
      <c r="L68" s="444">
        <f t="shared" si="45"/>
        <v>170509.13302500002</v>
      </c>
      <c r="M68" s="431">
        <f t="shared" si="36"/>
        <v>1679079.1330250001</v>
      </c>
      <c r="N68" s="443"/>
      <c r="O68" s="443"/>
      <c r="P68" s="582"/>
    </row>
    <row r="69" spans="1:16">
      <c r="A69" s="442">
        <f t="shared" si="46"/>
        <v>2029</v>
      </c>
      <c r="B69" s="432">
        <f t="shared" si="37"/>
        <v>47178</v>
      </c>
      <c r="C69" s="432">
        <f>B69+30</f>
        <v>47208</v>
      </c>
      <c r="D69">
        <v>1</v>
      </c>
      <c r="E69" s="443">
        <f t="shared" si="30"/>
        <v>9515</v>
      </c>
      <c r="F69" s="443">
        <f t="shared" si="31"/>
        <v>883.96506874767749</v>
      </c>
      <c r="H69" s="444">
        <f t="shared" ref="H69:I102" si="47">H68</f>
        <v>138</v>
      </c>
      <c r="I69" s="443">
        <f t="shared" si="33"/>
        <v>195499.99999999997</v>
      </c>
      <c r="J69" s="433">
        <f t="shared" si="43"/>
        <v>17.920035000000002</v>
      </c>
      <c r="K69" s="443">
        <f t="shared" si="44"/>
        <v>1313070</v>
      </c>
      <c r="L69" s="444">
        <f t="shared" si="45"/>
        <v>170509.13302500002</v>
      </c>
      <c r="M69" s="431">
        <f t="shared" si="36"/>
        <v>1679079.1330250001</v>
      </c>
      <c r="N69" s="443"/>
      <c r="O69" s="443"/>
      <c r="P69" s="582"/>
    </row>
    <row r="70" spans="1:16">
      <c r="A70" s="442">
        <f t="shared" si="46"/>
        <v>2029</v>
      </c>
      <c r="B70" s="432">
        <f t="shared" si="37"/>
        <v>47209</v>
      </c>
      <c r="C70" s="432">
        <f>B70+30-1</f>
        <v>47238</v>
      </c>
      <c r="D70">
        <v>1</v>
      </c>
      <c r="E70" s="443">
        <f t="shared" si="30"/>
        <v>9515</v>
      </c>
      <c r="F70" s="443">
        <f t="shared" si="31"/>
        <v>883.96506874767749</v>
      </c>
      <c r="H70" s="444">
        <f t="shared" si="47"/>
        <v>138</v>
      </c>
      <c r="I70" s="443">
        <f t="shared" si="33"/>
        <v>195499.99999999997</v>
      </c>
      <c r="J70" s="433">
        <f t="shared" si="43"/>
        <v>17.920035000000002</v>
      </c>
      <c r="K70" s="443">
        <f t="shared" si="44"/>
        <v>1313070</v>
      </c>
      <c r="L70" s="444">
        <f t="shared" si="45"/>
        <v>170509.13302500002</v>
      </c>
      <c r="M70" s="431">
        <f t="shared" si="36"/>
        <v>1679079.1330250001</v>
      </c>
      <c r="N70" s="443"/>
      <c r="O70" s="443"/>
      <c r="P70" s="582"/>
    </row>
    <row r="71" spans="1:16">
      <c r="A71" s="442">
        <f t="shared" si="46"/>
        <v>2029</v>
      </c>
      <c r="B71" s="432">
        <f t="shared" si="37"/>
        <v>47239</v>
      </c>
      <c r="C71" s="432">
        <f>B71+30</f>
        <v>47269</v>
      </c>
      <c r="D71">
        <v>1</v>
      </c>
      <c r="E71" s="443">
        <f t="shared" si="30"/>
        <v>9515</v>
      </c>
      <c r="F71" s="443">
        <f t="shared" si="31"/>
        <v>883.96506874767749</v>
      </c>
      <c r="H71" s="444">
        <f t="shared" si="47"/>
        <v>138</v>
      </c>
      <c r="I71" s="443">
        <f t="shared" si="33"/>
        <v>195499.99999999997</v>
      </c>
      <c r="J71" s="433">
        <f t="shared" si="43"/>
        <v>17.920035000000002</v>
      </c>
      <c r="K71" s="443">
        <f t="shared" si="44"/>
        <v>1313070</v>
      </c>
      <c r="L71" s="444">
        <f t="shared" si="45"/>
        <v>170509.13302500002</v>
      </c>
      <c r="M71" s="431">
        <f t="shared" si="36"/>
        <v>1679079.1330250001</v>
      </c>
      <c r="N71" s="443"/>
      <c r="O71" s="443"/>
      <c r="P71" s="582"/>
    </row>
    <row r="72" spans="1:16">
      <c r="A72" s="442">
        <f t="shared" si="46"/>
        <v>2029</v>
      </c>
      <c r="B72" s="432">
        <f t="shared" si="37"/>
        <v>47270</v>
      </c>
      <c r="C72" s="432">
        <f>B72+30-1</f>
        <v>47299</v>
      </c>
      <c r="D72">
        <v>1</v>
      </c>
      <c r="E72" s="443">
        <f t="shared" si="30"/>
        <v>9515</v>
      </c>
      <c r="F72" s="443">
        <f t="shared" si="31"/>
        <v>883.96506874767749</v>
      </c>
      <c r="H72" s="444">
        <f t="shared" si="47"/>
        <v>138</v>
      </c>
      <c r="I72" s="443">
        <f t="shared" si="33"/>
        <v>195499.99999999997</v>
      </c>
      <c r="J72" s="433">
        <f t="shared" si="43"/>
        <v>17.920035000000002</v>
      </c>
      <c r="K72" s="443">
        <f t="shared" si="44"/>
        <v>1313070</v>
      </c>
      <c r="L72" s="444">
        <f t="shared" si="45"/>
        <v>170509.13302500002</v>
      </c>
      <c r="M72" s="431">
        <f t="shared" si="36"/>
        <v>1679079.1330250001</v>
      </c>
      <c r="N72" s="443"/>
      <c r="O72" s="443"/>
      <c r="P72" s="582"/>
    </row>
    <row r="73" spans="1:16">
      <c r="A73" s="442">
        <f t="shared" si="46"/>
        <v>2029</v>
      </c>
      <c r="B73" s="432">
        <f t="shared" si="37"/>
        <v>47300</v>
      </c>
      <c r="C73" s="432">
        <f>B73+30</f>
        <v>47330</v>
      </c>
      <c r="D73">
        <v>1</v>
      </c>
      <c r="E73" s="443">
        <f t="shared" si="30"/>
        <v>9515</v>
      </c>
      <c r="F73" s="443">
        <f t="shared" si="31"/>
        <v>883.96506874767749</v>
      </c>
      <c r="H73" s="444">
        <f t="shared" si="47"/>
        <v>138</v>
      </c>
      <c r="I73" s="443">
        <f t="shared" si="33"/>
        <v>195499.99999999997</v>
      </c>
      <c r="J73" s="433">
        <f>J72</f>
        <v>17.920035000000002</v>
      </c>
      <c r="K73" s="443">
        <f t="shared" si="44"/>
        <v>1313070</v>
      </c>
      <c r="L73" s="444">
        <f t="shared" si="45"/>
        <v>170509.13302500002</v>
      </c>
      <c r="M73" s="431">
        <f t="shared" si="36"/>
        <v>1679079.1330250001</v>
      </c>
      <c r="N73" s="443"/>
      <c r="O73" s="443"/>
      <c r="P73" s="582"/>
    </row>
    <row r="74" spans="1:16" ht="13" thickBot="1">
      <c r="A74" s="445">
        <f t="shared" si="46"/>
        <v>2029</v>
      </c>
      <c r="B74" s="446">
        <f t="shared" si="37"/>
        <v>47331</v>
      </c>
      <c r="C74" s="446">
        <f t="shared" ref="C74" si="48">B74+30</f>
        <v>47361</v>
      </c>
      <c r="D74" s="447">
        <v>1</v>
      </c>
      <c r="E74" s="448">
        <f t="shared" si="30"/>
        <v>9515</v>
      </c>
      <c r="F74" s="448">
        <f t="shared" si="31"/>
        <v>883.96506874767749</v>
      </c>
      <c r="G74" s="447"/>
      <c r="H74" s="449">
        <f t="shared" si="47"/>
        <v>138</v>
      </c>
      <c r="I74" s="448">
        <f t="shared" si="33"/>
        <v>195499.99999999997</v>
      </c>
      <c r="J74" s="450">
        <f t="shared" si="42"/>
        <v>17.920035000000002</v>
      </c>
      <c r="K74" s="448">
        <f t="shared" si="44"/>
        <v>1313070</v>
      </c>
      <c r="L74" s="449">
        <f t="shared" si="45"/>
        <v>170509.13302500002</v>
      </c>
      <c r="M74" s="451">
        <f t="shared" si="36"/>
        <v>1679079.1330250001</v>
      </c>
      <c r="N74" s="448"/>
      <c r="O74" s="448"/>
      <c r="P74" s="582"/>
    </row>
    <row r="75" spans="1:16">
      <c r="A75">
        <f>A74+1</f>
        <v>2030</v>
      </c>
      <c r="B75" s="432">
        <f t="shared" si="37"/>
        <v>47362</v>
      </c>
      <c r="C75" s="432">
        <f>B75+30-1</f>
        <v>47391</v>
      </c>
      <c r="D75">
        <v>1</v>
      </c>
      <c r="E75" s="443">
        <f t="shared" si="30"/>
        <v>9515</v>
      </c>
      <c r="F75" s="443">
        <f t="shared" si="31"/>
        <v>883.96506874767749</v>
      </c>
      <c r="H75" s="444">
        <f t="shared" si="47"/>
        <v>138</v>
      </c>
      <c r="I75" s="443">
        <f t="shared" si="33"/>
        <v>195499.99999999997</v>
      </c>
      <c r="J75" s="433">
        <f t="shared" si="42"/>
        <v>17.920035000000002</v>
      </c>
      <c r="K75" s="443">
        <f t="shared" si="44"/>
        <v>1313070</v>
      </c>
      <c r="L75" s="444">
        <f t="shared" si="45"/>
        <v>170509.13302500002</v>
      </c>
      <c r="M75" s="431">
        <f t="shared" si="36"/>
        <v>1679079.1330250001</v>
      </c>
      <c r="N75" s="443">
        <f>SUM(K63:K74)</f>
        <v>15071760</v>
      </c>
      <c r="O75" s="443">
        <f>SUM(L63:L74)</f>
        <v>2013631.6662000006</v>
      </c>
      <c r="P75" s="584">
        <f>SUM(I63:I74)</f>
        <v>2244000</v>
      </c>
    </row>
    <row r="76" spans="1:16">
      <c r="A76" s="442">
        <f>A75</f>
        <v>2030</v>
      </c>
      <c r="B76" s="432">
        <f t="shared" si="37"/>
        <v>47392</v>
      </c>
      <c r="C76" s="432">
        <f>B76+30</f>
        <v>47422</v>
      </c>
      <c r="D76">
        <v>1</v>
      </c>
      <c r="E76" s="443">
        <f t="shared" si="30"/>
        <v>9515</v>
      </c>
      <c r="F76" s="443">
        <f t="shared" si="31"/>
        <v>883.96506874767749</v>
      </c>
      <c r="H76" s="444">
        <f t="shared" si="47"/>
        <v>138</v>
      </c>
      <c r="I76" s="443">
        <f t="shared" si="33"/>
        <v>195499.99999999997</v>
      </c>
      <c r="J76" s="433">
        <f t="shared" si="42"/>
        <v>17.920035000000002</v>
      </c>
      <c r="K76" s="443">
        <f t="shared" si="44"/>
        <v>1313070</v>
      </c>
      <c r="L76" s="444">
        <f t="shared" si="45"/>
        <v>170509.13302500002</v>
      </c>
      <c r="M76" s="431">
        <f t="shared" si="36"/>
        <v>1679079.1330250001</v>
      </c>
      <c r="N76" s="443"/>
      <c r="O76" s="443"/>
      <c r="P76" s="582"/>
    </row>
    <row r="77" spans="1:16">
      <c r="A77" s="442">
        <f>A76</f>
        <v>2030</v>
      </c>
      <c r="B77" s="432">
        <f t="shared" si="37"/>
        <v>47423</v>
      </c>
      <c r="C77" s="432">
        <f>B77+30-1</f>
        <v>47452</v>
      </c>
      <c r="D77">
        <v>1</v>
      </c>
      <c r="E77" s="443">
        <f t="shared" si="30"/>
        <v>9515</v>
      </c>
      <c r="F77" s="443">
        <f t="shared" si="31"/>
        <v>883.96506874767749</v>
      </c>
      <c r="H77" s="444">
        <f t="shared" si="47"/>
        <v>138</v>
      </c>
      <c r="I77" s="443">
        <f t="shared" si="33"/>
        <v>195499.99999999997</v>
      </c>
      <c r="J77" s="433">
        <f t="shared" si="42"/>
        <v>17.920035000000002</v>
      </c>
      <c r="K77" s="443">
        <f t="shared" si="44"/>
        <v>1313070</v>
      </c>
      <c r="L77" s="444">
        <f t="shared" si="45"/>
        <v>170509.13302500002</v>
      </c>
      <c r="M77" s="431">
        <f t="shared" si="36"/>
        <v>1679079.1330250001</v>
      </c>
      <c r="N77" s="443"/>
      <c r="O77" s="443"/>
      <c r="P77" s="582"/>
    </row>
    <row r="78" spans="1:16">
      <c r="A78" s="442">
        <f t="shared" ref="A78:A86" si="49">A77</f>
        <v>2030</v>
      </c>
      <c r="B78" s="432">
        <f t="shared" si="37"/>
        <v>47453</v>
      </c>
      <c r="C78" s="432">
        <f>B78+30</f>
        <v>47483</v>
      </c>
      <c r="D78">
        <v>1</v>
      </c>
      <c r="E78" s="443">
        <f t="shared" si="30"/>
        <v>9515</v>
      </c>
      <c r="F78" s="443">
        <f t="shared" si="31"/>
        <v>883.96506874767749</v>
      </c>
      <c r="H78" s="444">
        <f t="shared" si="47"/>
        <v>138</v>
      </c>
      <c r="I78" s="443">
        <f t="shared" si="33"/>
        <v>195499.99999999997</v>
      </c>
      <c r="J78" s="433">
        <f t="shared" si="42"/>
        <v>17.920035000000002</v>
      </c>
      <c r="K78" s="443">
        <f t="shared" si="44"/>
        <v>1313070</v>
      </c>
      <c r="L78" s="444">
        <f t="shared" si="45"/>
        <v>170509.13302500002</v>
      </c>
      <c r="M78" s="431">
        <f t="shared" si="36"/>
        <v>1679079.1330250001</v>
      </c>
      <c r="N78" s="443"/>
      <c r="O78" s="443"/>
      <c r="P78" s="582"/>
    </row>
    <row r="79" spans="1:16">
      <c r="A79" s="442">
        <f t="shared" si="49"/>
        <v>2030</v>
      </c>
      <c r="B79" s="432">
        <f t="shared" si="37"/>
        <v>47484</v>
      </c>
      <c r="C79" s="432">
        <f>B79+30</f>
        <v>47514</v>
      </c>
      <c r="D79">
        <v>1</v>
      </c>
      <c r="E79" s="443">
        <f t="shared" si="30"/>
        <v>9515</v>
      </c>
      <c r="F79" s="443">
        <f t="shared" si="31"/>
        <v>883.96506874767749</v>
      </c>
      <c r="H79" s="444">
        <f t="shared" si="47"/>
        <v>138</v>
      </c>
      <c r="I79" s="443">
        <f t="shared" si="33"/>
        <v>195499.99999999997</v>
      </c>
      <c r="J79" s="433">
        <f>J78*1.05</f>
        <v>18.816036750000002</v>
      </c>
      <c r="K79" s="443">
        <f t="shared" si="44"/>
        <v>1313070</v>
      </c>
      <c r="L79" s="444">
        <f t="shared" si="45"/>
        <v>179034.58967625003</v>
      </c>
      <c r="M79" s="431">
        <f t="shared" si="36"/>
        <v>1687604.58967625</v>
      </c>
      <c r="N79" s="443"/>
      <c r="O79" s="443"/>
      <c r="P79" s="582"/>
    </row>
    <row r="80" spans="1:16">
      <c r="A80" s="442">
        <f t="shared" si="49"/>
        <v>2030</v>
      </c>
      <c r="B80" s="432">
        <f t="shared" si="37"/>
        <v>47515</v>
      </c>
      <c r="C80" s="432">
        <f>B80+30-3</f>
        <v>47542</v>
      </c>
      <c r="D80">
        <v>1</v>
      </c>
      <c r="E80" s="443">
        <f t="shared" si="30"/>
        <v>9515</v>
      </c>
      <c r="F80" s="443">
        <f t="shared" si="31"/>
        <v>883.96506874767749</v>
      </c>
      <c r="H80" s="444">
        <f t="shared" si="47"/>
        <v>138</v>
      </c>
      <c r="I80" s="443">
        <f t="shared" si="33"/>
        <v>195499.99999999997</v>
      </c>
      <c r="J80" s="433">
        <f>J79</f>
        <v>18.816036750000002</v>
      </c>
      <c r="K80" s="443">
        <f t="shared" si="44"/>
        <v>1313070</v>
      </c>
      <c r="L80" s="444">
        <f t="shared" si="45"/>
        <v>179034.58967625003</v>
      </c>
      <c r="M80" s="431">
        <f t="shared" si="36"/>
        <v>1687604.58967625</v>
      </c>
      <c r="N80" s="443"/>
      <c r="O80" s="443"/>
      <c r="P80" s="582"/>
    </row>
    <row r="81" spans="1:16">
      <c r="A81" s="442">
        <f t="shared" si="49"/>
        <v>2030</v>
      </c>
      <c r="B81" s="432">
        <f t="shared" si="37"/>
        <v>47543</v>
      </c>
      <c r="C81" s="432">
        <f>B81+30</f>
        <v>47573</v>
      </c>
      <c r="D81">
        <v>1</v>
      </c>
      <c r="E81" s="443">
        <f t="shared" si="30"/>
        <v>9515</v>
      </c>
      <c r="F81" s="443">
        <f t="shared" si="31"/>
        <v>883.96506874767749</v>
      </c>
      <c r="H81" s="444">
        <f t="shared" si="47"/>
        <v>138</v>
      </c>
      <c r="I81" s="443">
        <f t="shared" si="33"/>
        <v>195499.99999999997</v>
      </c>
      <c r="J81" s="433">
        <f t="shared" si="42"/>
        <v>18.816036750000002</v>
      </c>
      <c r="K81" s="443">
        <f t="shared" si="44"/>
        <v>1313070</v>
      </c>
      <c r="L81" s="444">
        <f t="shared" si="45"/>
        <v>179034.58967625003</v>
      </c>
      <c r="M81" s="431">
        <f t="shared" si="36"/>
        <v>1687604.58967625</v>
      </c>
      <c r="N81" s="443"/>
      <c r="O81" s="443"/>
      <c r="P81" s="582"/>
    </row>
    <row r="82" spans="1:16">
      <c r="A82" s="442">
        <f t="shared" si="49"/>
        <v>2030</v>
      </c>
      <c r="B82" s="432">
        <f t="shared" si="37"/>
        <v>47574</v>
      </c>
      <c r="C82" s="432">
        <f>B82+30-1</f>
        <v>47603</v>
      </c>
      <c r="D82">
        <v>1</v>
      </c>
      <c r="E82" s="443">
        <f t="shared" si="30"/>
        <v>9515</v>
      </c>
      <c r="F82" s="443">
        <f t="shared" si="31"/>
        <v>883.96506874767749</v>
      </c>
      <c r="H82" s="444">
        <f t="shared" si="47"/>
        <v>138</v>
      </c>
      <c r="I82" s="443">
        <f t="shared" si="33"/>
        <v>195499.99999999997</v>
      </c>
      <c r="J82" s="433">
        <f t="shared" si="42"/>
        <v>18.816036750000002</v>
      </c>
      <c r="K82" s="443">
        <f t="shared" si="44"/>
        <v>1313070</v>
      </c>
      <c r="L82" s="444">
        <f t="shared" si="45"/>
        <v>179034.58967625003</v>
      </c>
      <c r="M82" s="431">
        <f t="shared" si="36"/>
        <v>1687604.58967625</v>
      </c>
      <c r="N82" s="443"/>
      <c r="O82" s="443"/>
      <c r="P82" s="582"/>
    </row>
    <row r="83" spans="1:16">
      <c r="A83" s="442">
        <f t="shared" si="49"/>
        <v>2030</v>
      </c>
      <c r="B83" s="432">
        <f t="shared" si="37"/>
        <v>47604</v>
      </c>
      <c r="C83" s="432">
        <f>B83+30</f>
        <v>47634</v>
      </c>
      <c r="D83">
        <v>1</v>
      </c>
      <c r="E83" s="443">
        <f t="shared" si="30"/>
        <v>9515</v>
      </c>
      <c r="F83" s="443">
        <f t="shared" si="31"/>
        <v>883.96506874767749</v>
      </c>
      <c r="H83" s="444">
        <f t="shared" si="47"/>
        <v>138</v>
      </c>
      <c r="I83" s="443">
        <f t="shared" si="33"/>
        <v>195499.99999999997</v>
      </c>
      <c r="J83" s="433">
        <f t="shared" si="42"/>
        <v>18.816036750000002</v>
      </c>
      <c r="K83" s="443">
        <f t="shared" si="44"/>
        <v>1313070</v>
      </c>
      <c r="L83" s="444">
        <f t="shared" si="45"/>
        <v>179034.58967625003</v>
      </c>
      <c r="M83" s="431">
        <f t="shared" si="36"/>
        <v>1687604.58967625</v>
      </c>
      <c r="N83" s="443"/>
      <c r="O83" s="443"/>
      <c r="P83" s="582"/>
    </row>
    <row r="84" spans="1:16">
      <c r="A84" s="442">
        <f t="shared" si="49"/>
        <v>2030</v>
      </c>
      <c r="B84" s="432">
        <f t="shared" si="37"/>
        <v>47635</v>
      </c>
      <c r="C84" s="432">
        <f>B84+30-1</f>
        <v>47664</v>
      </c>
      <c r="D84">
        <v>1</v>
      </c>
      <c r="E84" s="443">
        <f t="shared" si="30"/>
        <v>9515</v>
      </c>
      <c r="F84" s="443">
        <f t="shared" si="31"/>
        <v>883.96506874767749</v>
      </c>
      <c r="H84" s="444">
        <f t="shared" si="47"/>
        <v>138</v>
      </c>
      <c r="I84" s="443">
        <f t="shared" si="33"/>
        <v>195499.99999999997</v>
      </c>
      <c r="J84" s="433">
        <f t="shared" si="42"/>
        <v>18.816036750000002</v>
      </c>
      <c r="K84" s="443">
        <f t="shared" si="44"/>
        <v>1313070</v>
      </c>
      <c r="L84" s="444">
        <f t="shared" si="45"/>
        <v>179034.58967625003</v>
      </c>
      <c r="M84" s="431">
        <f t="shared" si="36"/>
        <v>1687604.58967625</v>
      </c>
      <c r="N84" s="443"/>
      <c r="O84" s="443"/>
      <c r="P84" s="582"/>
    </row>
    <row r="85" spans="1:16">
      <c r="A85" s="442">
        <f t="shared" si="49"/>
        <v>2030</v>
      </c>
      <c r="B85" s="432">
        <f t="shared" ref="B85:B96" si="50">C84+1</f>
        <v>47665</v>
      </c>
      <c r="C85" s="432">
        <f t="shared" ref="C85:C90" si="51">B85+30</f>
        <v>47695</v>
      </c>
      <c r="D85">
        <v>1</v>
      </c>
      <c r="E85" s="443">
        <f t="shared" si="30"/>
        <v>9515</v>
      </c>
      <c r="F85" s="443">
        <f t="shared" si="31"/>
        <v>883.96506874767749</v>
      </c>
      <c r="H85" s="444">
        <f t="shared" si="47"/>
        <v>138</v>
      </c>
      <c r="I85" s="443">
        <f t="shared" si="33"/>
        <v>195499.99999999997</v>
      </c>
      <c r="J85" s="433">
        <f t="shared" ref="J85" si="52">J84</f>
        <v>18.816036750000002</v>
      </c>
      <c r="K85" s="443">
        <f t="shared" si="44"/>
        <v>1313070</v>
      </c>
      <c r="L85" s="444">
        <f t="shared" si="45"/>
        <v>179034.58967625003</v>
      </c>
      <c r="M85" s="431">
        <f t="shared" ref="M85:M96" si="53">I85+K85+L85</f>
        <v>1687604.58967625</v>
      </c>
      <c r="N85" s="443"/>
      <c r="O85" s="443"/>
      <c r="P85" s="582"/>
    </row>
    <row r="86" spans="1:16" ht="13" thickBot="1">
      <c r="A86" s="445">
        <f t="shared" si="49"/>
        <v>2030</v>
      </c>
      <c r="B86" s="446">
        <f t="shared" si="50"/>
        <v>47696</v>
      </c>
      <c r="C86" s="446">
        <f t="shared" si="51"/>
        <v>47726</v>
      </c>
      <c r="D86" s="447">
        <v>1</v>
      </c>
      <c r="E86" s="448">
        <f t="shared" si="30"/>
        <v>9515</v>
      </c>
      <c r="F86" s="448">
        <f t="shared" si="31"/>
        <v>883.96506874767749</v>
      </c>
      <c r="G86" s="447"/>
      <c r="H86" s="449">
        <f t="shared" si="47"/>
        <v>138</v>
      </c>
      <c r="I86" s="443">
        <f t="shared" si="33"/>
        <v>195499.99999999997</v>
      </c>
      <c r="J86" s="450">
        <f t="shared" ref="J86" si="54">J85</f>
        <v>18.816036750000002</v>
      </c>
      <c r="K86" s="448">
        <f t="shared" si="44"/>
        <v>1313070</v>
      </c>
      <c r="L86" s="449">
        <f t="shared" si="45"/>
        <v>179034.58967625003</v>
      </c>
      <c r="M86" s="451">
        <f t="shared" si="53"/>
        <v>1687604.58967625</v>
      </c>
      <c r="N86" s="448"/>
      <c r="O86" s="448"/>
      <c r="P86" s="583"/>
    </row>
    <row r="87" spans="1:16">
      <c r="A87" s="435">
        <f>A86+1</f>
        <v>2031</v>
      </c>
      <c r="B87" s="436">
        <f t="shared" si="50"/>
        <v>47727</v>
      </c>
      <c r="C87" s="436">
        <f>B87+30-1</f>
        <v>47756</v>
      </c>
      <c r="D87" s="437">
        <v>1</v>
      </c>
      <c r="E87" s="438">
        <f t="shared" si="30"/>
        <v>9515</v>
      </c>
      <c r="F87" s="443">
        <f t="shared" si="31"/>
        <v>883.96506874767749</v>
      </c>
      <c r="H87" s="444">
        <f t="shared" si="47"/>
        <v>138</v>
      </c>
      <c r="I87" s="438">
        <f t="shared" si="33"/>
        <v>195499.99999999997</v>
      </c>
      <c r="J87" s="433">
        <f t="shared" ref="J87" si="55">J86</f>
        <v>18.816036750000002</v>
      </c>
      <c r="K87" s="443">
        <f t="shared" si="44"/>
        <v>1313070</v>
      </c>
      <c r="L87" s="444">
        <f t="shared" si="45"/>
        <v>179034.58967625003</v>
      </c>
      <c r="M87" s="431">
        <f t="shared" si="53"/>
        <v>1687604.58967625</v>
      </c>
      <c r="N87" s="443">
        <f>SUM(K75:K86)</f>
        <v>15756840</v>
      </c>
      <c r="O87" s="443">
        <f>SUM(L75:L86)</f>
        <v>2114313.2495100005</v>
      </c>
      <c r="P87" s="581">
        <f>SUM(I75:I86)</f>
        <v>2345999.9999999995</v>
      </c>
    </row>
    <row r="88" spans="1:16">
      <c r="A88" s="442">
        <f>A87</f>
        <v>2031</v>
      </c>
      <c r="B88" s="432">
        <f t="shared" si="50"/>
        <v>47757</v>
      </c>
      <c r="C88" s="432">
        <f t="shared" si="51"/>
        <v>47787</v>
      </c>
      <c r="D88">
        <v>1</v>
      </c>
      <c r="E88" s="443">
        <f t="shared" si="30"/>
        <v>9515</v>
      </c>
      <c r="F88" s="443">
        <f t="shared" si="31"/>
        <v>883.96506874767749</v>
      </c>
      <c r="H88" s="444">
        <f t="shared" si="47"/>
        <v>138</v>
      </c>
      <c r="I88" s="443">
        <f t="shared" si="33"/>
        <v>195499.99999999997</v>
      </c>
      <c r="J88" s="433">
        <f t="shared" ref="J88" si="56">J87</f>
        <v>18.816036750000002</v>
      </c>
      <c r="K88" s="443">
        <f t="shared" si="44"/>
        <v>1313070</v>
      </c>
      <c r="L88" s="444">
        <f t="shared" si="45"/>
        <v>179034.58967625003</v>
      </c>
      <c r="M88" s="431">
        <f t="shared" si="53"/>
        <v>1687604.58967625</v>
      </c>
      <c r="N88" s="443"/>
      <c r="O88" s="443"/>
      <c r="P88" s="582"/>
    </row>
    <row r="89" spans="1:16">
      <c r="A89" s="442">
        <f>A88</f>
        <v>2031</v>
      </c>
      <c r="B89" s="432">
        <f t="shared" si="50"/>
        <v>47788</v>
      </c>
      <c r="C89" s="432">
        <f>B89+30-1</f>
        <v>47817</v>
      </c>
      <c r="D89">
        <v>1</v>
      </c>
      <c r="E89" s="443">
        <f t="shared" si="30"/>
        <v>9515</v>
      </c>
      <c r="F89" s="443">
        <f t="shared" si="31"/>
        <v>883.96506874767749</v>
      </c>
      <c r="H89" s="444">
        <f t="shared" si="47"/>
        <v>138</v>
      </c>
      <c r="I89" s="443">
        <f t="shared" si="33"/>
        <v>195499.99999999997</v>
      </c>
      <c r="J89" s="433">
        <f t="shared" ref="J89" si="57">J88</f>
        <v>18.816036750000002</v>
      </c>
      <c r="K89" s="443">
        <f t="shared" si="44"/>
        <v>1313070</v>
      </c>
      <c r="L89" s="444">
        <f t="shared" si="45"/>
        <v>179034.58967625003</v>
      </c>
      <c r="M89" s="431">
        <f t="shared" si="53"/>
        <v>1687604.58967625</v>
      </c>
      <c r="N89" s="443"/>
      <c r="O89" s="443"/>
      <c r="P89" s="582"/>
    </row>
    <row r="90" spans="1:16">
      <c r="A90" s="442">
        <f t="shared" ref="A90:A98" si="58">A89</f>
        <v>2031</v>
      </c>
      <c r="B90" s="432">
        <f t="shared" si="50"/>
        <v>47818</v>
      </c>
      <c r="C90" s="432">
        <f t="shared" si="51"/>
        <v>47848</v>
      </c>
      <c r="D90">
        <v>1</v>
      </c>
      <c r="E90" s="443">
        <f t="shared" si="30"/>
        <v>9515</v>
      </c>
      <c r="F90" s="443">
        <f t="shared" si="31"/>
        <v>883.96506874767749</v>
      </c>
      <c r="H90" s="444">
        <f t="shared" si="47"/>
        <v>138</v>
      </c>
      <c r="I90" s="443">
        <f t="shared" si="33"/>
        <v>195499.99999999997</v>
      </c>
      <c r="J90" s="433">
        <f t="shared" ref="J90" si="59">J89</f>
        <v>18.816036750000002</v>
      </c>
      <c r="K90" s="443">
        <f t="shared" si="44"/>
        <v>1313070</v>
      </c>
      <c r="L90" s="444">
        <f t="shared" si="45"/>
        <v>179034.58967625003</v>
      </c>
      <c r="M90" s="431">
        <f t="shared" si="53"/>
        <v>1687604.58967625</v>
      </c>
      <c r="N90" s="443"/>
      <c r="O90" s="443"/>
      <c r="P90" s="582"/>
    </row>
    <row r="91" spans="1:16">
      <c r="A91" s="442">
        <f t="shared" si="58"/>
        <v>2031</v>
      </c>
      <c r="B91" s="432">
        <f t="shared" si="50"/>
        <v>47849</v>
      </c>
      <c r="C91" s="432">
        <f>B91+30</f>
        <v>47879</v>
      </c>
      <c r="D91">
        <v>1</v>
      </c>
      <c r="E91" s="443">
        <f t="shared" si="30"/>
        <v>9515</v>
      </c>
      <c r="F91" s="443">
        <f t="shared" si="31"/>
        <v>883.96506874767749</v>
      </c>
      <c r="H91" s="444">
        <f t="shared" si="47"/>
        <v>138</v>
      </c>
      <c r="I91" s="443">
        <f t="shared" si="33"/>
        <v>195499.99999999997</v>
      </c>
      <c r="J91" s="433">
        <f>J90*1.05</f>
        <v>19.756838587500003</v>
      </c>
      <c r="K91" s="443">
        <f t="shared" si="44"/>
        <v>1313070</v>
      </c>
      <c r="L91" s="444">
        <f t="shared" si="45"/>
        <v>187986.31916006253</v>
      </c>
      <c r="M91" s="431">
        <f t="shared" si="53"/>
        <v>1696556.3191600626</v>
      </c>
      <c r="N91" s="443"/>
      <c r="O91" s="443"/>
      <c r="P91" s="582"/>
    </row>
    <row r="92" spans="1:16">
      <c r="A92" s="442">
        <f t="shared" si="58"/>
        <v>2031</v>
      </c>
      <c r="B92" s="432">
        <f t="shared" si="50"/>
        <v>47880</v>
      </c>
      <c r="C92" s="432">
        <f>B92+30-3</f>
        <v>47907</v>
      </c>
      <c r="D92">
        <v>1</v>
      </c>
      <c r="E92" s="443">
        <f t="shared" si="30"/>
        <v>9515</v>
      </c>
      <c r="F92" s="443">
        <f t="shared" si="31"/>
        <v>883.96506874767749</v>
      </c>
      <c r="H92" s="444">
        <f t="shared" si="47"/>
        <v>138</v>
      </c>
      <c r="I92" s="443">
        <f t="shared" si="33"/>
        <v>195499.99999999997</v>
      </c>
      <c r="J92" s="433">
        <f>J91</f>
        <v>19.756838587500003</v>
      </c>
      <c r="K92" s="443">
        <f t="shared" si="44"/>
        <v>1313070</v>
      </c>
      <c r="L92" s="444">
        <f t="shared" si="45"/>
        <v>187986.31916006253</v>
      </c>
      <c r="M92" s="431">
        <f t="shared" si="53"/>
        <v>1696556.3191600626</v>
      </c>
      <c r="N92" s="443"/>
      <c r="O92" s="443"/>
      <c r="P92" s="582"/>
    </row>
    <row r="93" spans="1:16">
      <c r="A93" s="442">
        <f t="shared" si="58"/>
        <v>2031</v>
      </c>
      <c r="B93" s="432">
        <f t="shared" si="50"/>
        <v>47908</v>
      </c>
      <c r="C93" s="432">
        <f>B93+30</f>
        <v>47938</v>
      </c>
      <c r="D93">
        <v>1</v>
      </c>
      <c r="E93" s="443">
        <f t="shared" si="30"/>
        <v>9515</v>
      </c>
      <c r="F93" s="443">
        <f t="shared" si="31"/>
        <v>883.96506874767749</v>
      </c>
      <c r="H93" s="444">
        <f t="shared" si="47"/>
        <v>138</v>
      </c>
      <c r="I93" s="443">
        <f t="shared" si="33"/>
        <v>195499.99999999997</v>
      </c>
      <c r="J93" s="433">
        <f t="shared" ref="J93" si="60">J92</f>
        <v>19.756838587500003</v>
      </c>
      <c r="K93" s="443">
        <f t="shared" si="44"/>
        <v>1313070</v>
      </c>
      <c r="L93" s="444">
        <f t="shared" si="45"/>
        <v>187986.31916006253</v>
      </c>
      <c r="M93" s="431">
        <f t="shared" si="53"/>
        <v>1696556.3191600626</v>
      </c>
      <c r="N93" s="443"/>
      <c r="O93" s="443"/>
      <c r="P93" s="582"/>
    </row>
    <row r="94" spans="1:16">
      <c r="A94" s="442">
        <f t="shared" si="58"/>
        <v>2031</v>
      </c>
      <c r="B94" s="432">
        <f t="shared" si="50"/>
        <v>47939</v>
      </c>
      <c r="C94" s="432">
        <f>B94+30-1</f>
        <v>47968</v>
      </c>
      <c r="D94">
        <v>1</v>
      </c>
      <c r="E94" s="443">
        <f t="shared" si="30"/>
        <v>9515</v>
      </c>
      <c r="F94" s="443">
        <f t="shared" si="31"/>
        <v>883.96506874767749</v>
      </c>
      <c r="H94" s="444">
        <f t="shared" si="47"/>
        <v>138</v>
      </c>
      <c r="I94" s="443">
        <f t="shared" si="33"/>
        <v>195499.99999999997</v>
      </c>
      <c r="J94" s="433">
        <f t="shared" ref="J94" si="61">J93</f>
        <v>19.756838587500003</v>
      </c>
      <c r="K94" s="443">
        <f t="shared" si="44"/>
        <v>1313070</v>
      </c>
      <c r="L94" s="444">
        <f t="shared" si="45"/>
        <v>187986.31916006253</v>
      </c>
      <c r="M94" s="431">
        <f t="shared" si="53"/>
        <v>1696556.3191600626</v>
      </c>
      <c r="N94" s="443"/>
      <c r="O94" s="443"/>
      <c r="P94" s="582"/>
    </row>
    <row r="95" spans="1:16">
      <c r="A95" s="442">
        <f t="shared" si="58"/>
        <v>2031</v>
      </c>
      <c r="B95" s="432">
        <f t="shared" si="50"/>
        <v>47969</v>
      </c>
      <c r="C95" s="432">
        <f>B95+30</f>
        <v>47999</v>
      </c>
      <c r="D95">
        <v>1</v>
      </c>
      <c r="E95" s="443">
        <f t="shared" si="30"/>
        <v>9515</v>
      </c>
      <c r="F95" s="443">
        <f t="shared" si="31"/>
        <v>883.96506874767749</v>
      </c>
      <c r="H95" s="444">
        <f t="shared" si="47"/>
        <v>138</v>
      </c>
      <c r="I95" s="443">
        <f t="shared" si="33"/>
        <v>195499.99999999997</v>
      </c>
      <c r="J95" s="433">
        <f t="shared" ref="J95" si="62">J94</f>
        <v>19.756838587500003</v>
      </c>
      <c r="K95" s="443">
        <f t="shared" ref="K95:K102" si="63">H95*E95</f>
        <v>1313070</v>
      </c>
      <c r="L95" s="444">
        <f t="shared" ref="L95:L102" si="64">J95*E95</f>
        <v>187986.31916006253</v>
      </c>
      <c r="M95" s="431">
        <f t="shared" si="53"/>
        <v>1696556.3191600626</v>
      </c>
      <c r="N95" s="443"/>
      <c r="O95" s="443"/>
      <c r="P95" s="582"/>
    </row>
    <row r="96" spans="1:16">
      <c r="A96" s="442">
        <f t="shared" si="58"/>
        <v>2031</v>
      </c>
      <c r="B96" s="432">
        <f t="shared" si="50"/>
        <v>48000</v>
      </c>
      <c r="C96" s="432">
        <f>B96+30-1</f>
        <v>48029</v>
      </c>
      <c r="D96">
        <v>1</v>
      </c>
      <c r="E96" s="443">
        <f t="shared" si="30"/>
        <v>9515</v>
      </c>
      <c r="F96" s="443">
        <f t="shared" si="31"/>
        <v>883.96506874767749</v>
      </c>
      <c r="H96" s="444">
        <f t="shared" si="47"/>
        <v>138</v>
      </c>
      <c r="I96" s="443">
        <f t="shared" si="33"/>
        <v>195499.99999999997</v>
      </c>
      <c r="J96" s="433">
        <f t="shared" ref="J96" si="65">J95</f>
        <v>19.756838587500003</v>
      </c>
      <c r="K96" s="443">
        <f t="shared" si="63"/>
        <v>1313070</v>
      </c>
      <c r="L96" s="444">
        <f t="shared" si="64"/>
        <v>187986.31916006253</v>
      </c>
      <c r="M96" s="431">
        <f t="shared" si="53"/>
        <v>1696556.3191600626</v>
      </c>
      <c r="N96" s="443"/>
      <c r="O96" s="443"/>
      <c r="P96" s="582"/>
    </row>
    <row r="97" spans="1:18">
      <c r="A97" s="442">
        <f t="shared" si="58"/>
        <v>2031</v>
      </c>
      <c r="B97" s="432">
        <f t="shared" ref="B97:B102" si="66">C96+1</f>
        <v>48030</v>
      </c>
      <c r="C97" s="432">
        <f t="shared" ref="C97:C102" si="67">B97+30</f>
        <v>48060</v>
      </c>
      <c r="D97">
        <v>1</v>
      </c>
      <c r="E97" s="443">
        <f t="shared" ref="E97:F102" si="68">E96</f>
        <v>9515</v>
      </c>
      <c r="F97" s="443">
        <f t="shared" si="68"/>
        <v>883.96506874767749</v>
      </c>
      <c r="H97" s="444">
        <f t="shared" si="47"/>
        <v>138</v>
      </c>
      <c r="I97" s="443">
        <f t="shared" si="33"/>
        <v>195499.99999999997</v>
      </c>
      <c r="J97" s="433">
        <f t="shared" ref="J97" si="69">J96</f>
        <v>19.756838587500003</v>
      </c>
      <c r="K97" s="443">
        <f t="shared" si="63"/>
        <v>1313070</v>
      </c>
      <c r="L97" s="444">
        <f t="shared" si="64"/>
        <v>187986.31916006253</v>
      </c>
      <c r="M97" s="431">
        <f t="shared" ref="M97:M102" si="70">I97+K97+L97</f>
        <v>1696556.3191600626</v>
      </c>
      <c r="N97" s="443"/>
      <c r="O97" s="443"/>
      <c r="P97" s="582"/>
    </row>
    <row r="98" spans="1:18" ht="13" thickBot="1">
      <c r="A98" s="445">
        <f t="shared" si="58"/>
        <v>2031</v>
      </c>
      <c r="B98" s="446">
        <f t="shared" si="66"/>
        <v>48061</v>
      </c>
      <c r="C98" s="446">
        <f t="shared" si="67"/>
        <v>48091</v>
      </c>
      <c r="D98" s="447">
        <v>1</v>
      </c>
      <c r="E98" s="448">
        <f t="shared" si="68"/>
        <v>9515</v>
      </c>
      <c r="F98" s="448">
        <f t="shared" si="68"/>
        <v>883.96506874767749</v>
      </c>
      <c r="G98" s="447"/>
      <c r="H98" s="449">
        <f t="shared" si="47"/>
        <v>138</v>
      </c>
      <c r="I98" s="443">
        <f t="shared" si="47"/>
        <v>195499.99999999997</v>
      </c>
      <c r="J98" s="450">
        <f t="shared" ref="J98" si="71">J97</f>
        <v>19.756838587500003</v>
      </c>
      <c r="K98" s="448">
        <f t="shared" si="63"/>
        <v>1313070</v>
      </c>
      <c r="L98" s="449">
        <f t="shared" si="64"/>
        <v>187986.31916006253</v>
      </c>
      <c r="M98" s="451">
        <f t="shared" si="70"/>
        <v>1696556.3191600626</v>
      </c>
      <c r="N98" s="448"/>
      <c r="O98" s="448"/>
      <c r="P98" s="582"/>
    </row>
    <row r="99" spans="1:18">
      <c r="A99" s="442">
        <f>A98+1</f>
        <v>2032</v>
      </c>
      <c r="B99" s="432">
        <f t="shared" si="66"/>
        <v>48092</v>
      </c>
      <c r="C99" s="432">
        <f>B99+30-1</f>
        <v>48121</v>
      </c>
      <c r="D99">
        <v>1</v>
      </c>
      <c r="E99" s="443">
        <f t="shared" si="68"/>
        <v>9515</v>
      </c>
      <c r="F99" s="443">
        <f t="shared" si="68"/>
        <v>883.96506874767749</v>
      </c>
      <c r="H99" s="444">
        <f t="shared" si="47"/>
        <v>138</v>
      </c>
      <c r="I99" s="438">
        <f t="shared" si="47"/>
        <v>195499.99999999997</v>
      </c>
      <c r="J99" s="433">
        <f t="shared" ref="J99" si="72">J98</f>
        <v>19.756838587500003</v>
      </c>
      <c r="K99" s="443">
        <f t="shared" si="63"/>
        <v>1313070</v>
      </c>
      <c r="L99" s="444">
        <f t="shared" si="64"/>
        <v>187986.31916006253</v>
      </c>
      <c r="M99" s="431">
        <f t="shared" si="70"/>
        <v>1696556.3191600626</v>
      </c>
      <c r="N99" s="443">
        <f>SUM(K87:K98)</f>
        <v>15756840</v>
      </c>
      <c r="O99" s="443">
        <f>SUM(L87:L98)</f>
        <v>2220028.9119855007</v>
      </c>
      <c r="P99" s="584">
        <f>SUM(I87:I98)</f>
        <v>2345999.9999999995</v>
      </c>
    </row>
    <row r="100" spans="1:18">
      <c r="A100" s="442">
        <f>A99</f>
        <v>2032</v>
      </c>
      <c r="B100" s="432">
        <f t="shared" si="66"/>
        <v>48122</v>
      </c>
      <c r="C100" s="432">
        <f t="shared" si="67"/>
        <v>48152</v>
      </c>
      <c r="D100">
        <v>1</v>
      </c>
      <c r="E100" s="443">
        <f t="shared" si="68"/>
        <v>9515</v>
      </c>
      <c r="F100" s="443">
        <f t="shared" si="68"/>
        <v>883.96506874767749</v>
      </c>
      <c r="H100" s="444">
        <f t="shared" si="47"/>
        <v>138</v>
      </c>
      <c r="I100" s="443">
        <f t="shared" si="47"/>
        <v>195499.99999999997</v>
      </c>
      <c r="J100" s="433">
        <f t="shared" ref="J100" si="73">J99</f>
        <v>19.756838587500003</v>
      </c>
      <c r="K100" s="443">
        <f t="shared" si="63"/>
        <v>1313070</v>
      </c>
      <c r="L100" s="444">
        <f t="shared" si="64"/>
        <v>187986.31916006253</v>
      </c>
      <c r="M100" s="431">
        <f t="shared" si="70"/>
        <v>1696556.3191600626</v>
      </c>
      <c r="N100" s="443"/>
      <c r="O100" s="443"/>
      <c r="P100" s="582"/>
    </row>
    <row r="101" spans="1:18">
      <c r="A101" s="442">
        <f t="shared" ref="A101:A102" si="74">A100</f>
        <v>2032</v>
      </c>
      <c r="B101" s="432">
        <f t="shared" si="66"/>
        <v>48153</v>
      </c>
      <c r="C101" s="432">
        <f>B101+30-1</f>
        <v>48182</v>
      </c>
      <c r="D101">
        <v>1</v>
      </c>
      <c r="E101" s="443">
        <f t="shared" si="68"/>
        <v>9515</v>
      </c>
      <c r="F101" s="443">
        <f t="shared" si="68"/>
        <v>883.96506874767749</v>
      </c>
      <c r="H101" s="444">
        <f t="shared" si="47"/>
        <v>138</v>
      </c>
      <c r="I101" s="443">
        <f t="shared" si="47"/>
        <v>195499.99999999997</v>
      </c>
      <c r="J101" s="433">
        <f t="shared" ref="J101" si="75">J100</f>
        <v>19.756838587500003</v>
      </c>
      <c r="K101" s="443">
        <f t="shared" si="63"/>
        <v>1313070</v>
      </c>
      <c r="L101" s="444">
        <f t="shared" si="64"/>
        <v>187986.31916006253</v>
      </c>
      <c r="M101" s="431">
        <f t="shared" si="70"/>
        <v>1696556.3191600626</v>
      </c>
      <c r="N101" s="443"/>
      <c r="O101" s="443"/>
      <c r="P101" s="582"/>
    </row>
    <row r="102" spans="1:18" ht="13" thickBot="1">
      <c r="A102" s="445">
        <f t="shared" si="74"/>
        <v>2032</v>
      </c>
      <c r="B102" s="446">
        <f t="shared" si="66"/>
        <v>48183</v>
      </c>
      <c r="C102" s="446">
        <f t="shared" si="67"/>
        <v>48213</v>
      </c>
      <c r="D102" s="447">
        <v>1</v>
      </c>
      <c r="E102" s="448">
        <f t="shared" si="68"/>
        <v>9515</v>
      </c>
      <c r="F102" s="448">
        <f t="shared" si="68"/>
        <v>883.96506874767749</v>
      </c>
      <c r="G102" s="447"/>
      <c r="H102" s="449">
        <f t="shared" si="47"/>
        <v>138</v>
      </c>
      <c r="I102" s="448">
        <f t="shared" si="47"/>
        <v>195499.99999999997</v>
      </c>
      <c r="J102" s="450">
        <f t="shared" ref="J102" si="76">J101</f>
        <v>19.756838587500003</v>
      </c>
      <c r="K102" s="448">
        <f t="shared" si="63"/>
        <v>1313070</v>
      </c>
      <c r="L102" s="449">
        <f t="shared" si="64"/>
        <v>187986.31916006253</v>
      </c>
      <c r="M102" s="451">
        <f t="shared" si="70"/>
        <v>1696556.3191600626</v>
      </c>
      <c r="N102" s="448"/>
      <c r="O102" s="448"/>
      <c r="P102" s="582"/>
    </row>
    <row r="103" spans="1:18">
      <c r="I103" s="443"/>
      <c r="N103" s="443">
        <f>SUM(K99:K102)</f>
        <v>5252280</v>
      </c>
      <c r="O103" s="443">
        <f>SUM(L99:L102)</f>
        <v>751945.27664025011</v>
      </c>
      <c r="P103" s="585">
        <f>SUM(I99:I102)</f>
        <v>781999.99999999988</v>
      </c>
      <c r="Q103" s="434"/>
      <c r="R103" s="434"/>
    </row>
    <row r="104" spans="1:18">
      <c r="I104" s="430">
        <f>SUM(I31:I102)</f>
        <v>13158000</v>
      </c>
      <c r="K104" s="434">
        <f>SUM(K31:K102)</f>
        <v>88375320</v>
      </c>
      <c r="L104" s="434">
        <f>SUM(L31:L102)</f>
        <v>12022424.428335754</v>
      </c>
      <c r="M104" s="434">
        <f>SUM(M31:M102)</f>
        <v>113555744.42833564</v>
      </c>
      <c r="N104" s="434">
        <f>SUM(N31:N103)</f>
        <v>88375320</v>
      </c>
      <c r="O104" s="434">
        <f>SUM(O31:O103)</f>
        <v>12022424.428335754</v>
      </c>
      <c r="P104" s="458">
        <f>SUM(P31:P103)</f>
        <v>13158000</v>
      </c>
    </row>
    <row r="105" spans="1:18">
      <c r="K105" s="46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08" t="s">
        <v>256</v>
      </c>
      <c r="B1" s="709"/>
      <c r="C1" s="709"/>
      <c r="D1" s="709"/>
      <c r="E1" s="709"/>
      <c r="F1" s="709"/>
      <c r="G1" s="709"/>
      <c r="H1" s="709"/>
      <c r="I1" s="709"/>
      <c r="J1" s="709"/>
      <c r="K1" s="709"/>
      <c r="L1" s="709"/>
      <c r="M1" s="709"/>
      <c r="N1" s="710"/>
    </row>
    <row r="2" spans="1:15">
      <c r="A2" s="178" t="s">
        <v>257</v>
      </c>
      <c r="B2" s="255" t="s">
        <v>258</v>
      </c>
      <c r="C2" s="263"/>
      <c r="D2" s="262" t="s">
        <v>236</v>
      </c>
      <c r="E2" s="179"/>
      <c r="F2" s="180" t="s">
        <v>320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259</v>
      </c>
      <c r="B3" s="256">
        <f>B6+B12+B18</f>
        <v>34000000</v>
      </c>
      <c r="C3" s="264"/>
      <c r="D3" s="169" t="s">
        <v>260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05">
        <v>0</v>
      </c>
      <c r="N3" s="506">
        <v>0</v>
      </c>
    </row>
    <row r="4" spans="1:15">
      <c r="A4" s="170" t="s">
        <v>261</v>
      </c>
      <c r="B4" s="265">
        <f>+'Rent Calculation'!F29</f>
        <v>7.1099999999999997E-2</v>
      </c>
      <c r="C4" s="264"/>
      <c r="D4" s="169" t="s">
        <v>262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259</v>
      </c>
      <c r="B6" s="361">
        <v>14000000</v>
      </c>
      <c r="C6" s="264"/>
      <c r="D6" s="169" t="s">
        <v>263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264</v>
      </c>
      <c r="B7" s="299">
        <f>E3/12</f>
        <v>6</v>
      </c>
      <c r="C7" s="264"/>
      <c r="D7" s="169" t="s">
        <v>265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260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05">
        <v>0</v>
      </c>
      <c r="N9" s="506">
        <v>0</v>
      </c>
      <c r="O9" s="121">
        <v>12</v>
      </c>
    </row>
    <row r="10" spans="1:15">
      <c r="A10" s="170"/>
      <c r="B10" s="127"/>
      <c r="C10" s="264"/>
      <c r="D10" s="169" t="s">
        <v>262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259</v>
      </c>
      <c r="B12" s="258">
        <v>5000000</v>
      </c>
      <c r="C12" s="264"/>
      <c r="D12" s="169" t="s">
        <v>263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264</v>
      </c>
      <c r="B13" s="299">
        <f>E9/12</f>
        <v>2.5</v>
      </c>
      <c r="C13" s="264"/>
      <c r="D13" s="169" t="s">
        <v>265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260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262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259</v>
      </c>
      <c r="B18" s="258">
        <v>15000000</v>
      </c>
      <c r="C18" s="264"/>
      <c r="D18" s="169" t="s">
        <v>263</v>
      </c>
      <c r="E18" s="297"/>
      <c r="F18" s="155">
        <f>IF(F15&lt;&gt;0,$B$18/$B$19,0)</f>
        <v>3750000</v>
      </c>
      <c r="G18" s="529">
        <f t="shared" ref="G18:N18" si="5">IF(G15&lt;&gt;0,$B$18/$B$19,0)</f>
        <v>3750000</v>
      </c>
      <c r="H18" s="529">
        <f t="shared" si="5"/>
        <v>3750000</v>
      </c>
      <c r="I18" s="529">
        <f t="shared" si="5"/>
        <v>3750000</v>
      </c>
      <c r="J18" s="529">
        <f t="shared" si="5"/>
        <v>3750000</v>
      </c>
      <c r="K18" s="529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264</v>
      </c>
      <c r="B19" s="304">
        <f>E15/12</f>
        <v>4</v>
      </c>
      <c r="C19" s="264"/>
      <c r="D19" s="169" t="s">
        <v>265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266</v>
      </c>
      <c r="B21" s="530">
        <f>+'Rent Calculation'!F21</f>
        <v>9515</v>
      </c>
      <c r="C21" s="531"/>
      <c r="D21" s="532" t="s">
        <v>267</v>
      </c>
      <c r="E21" s="533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268</v>
      </c>
      <c r="B22" s="259">
        <f>+B21/10.764</f>
        <v>883.96506874767749</v>
      </c>
      <c r="C22" s="264"/>
      <c r="D22" s="169" t="s">
        <v>269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270</v>
      </c>
      <c r="B23" s="425" t="str">
        <f>F2</f>
        <v>2026</v>
      </c>
      <c r="C23" s="264"/>
      <c r="D23" s="169" t="s">
        <v>271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272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273</v>
      </c>
      <c r="B27" s="260">
        <f>E30*E9</f>
        <v>16508961.805555558</v>
      </c>
      <c r="C27" s="264"/>
      <c r="D27" s="169" t="s">
        <v>325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275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542" customFormat="1" ht="13" thickBot="1">
      <c r="A30" s="534" t="s">
        <v>276</v>
      </c>
      <c r="B30" s="535">
        <f>+E30/B22</f>
        <v>622.53447144859001</v>
      </c>
      <c r="C30" s="536"/>
      <c r="D30" s="537" t="s">
        <v>277</v>
      </c>
      <c r="E30" s="538">
        <f>IFERROR(SUM(F26:N27)/E3,0)</f>
        <v>550298.72685185191</v>
      </c>
      <c r="F30" s="539"/>
      <c r="G30" s="539"/>
      <c r="H30" s="539"/>
      <c r="I30" s="539"/>
      <c r="J30" s="539"/>
      <c r="K30" s="540"/>
      <c r="L30" s="540"/>
      <c r="M30" s="540"/>
      <c r="N30" s="541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08"/>
      <c r="B35" s="709"/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10"/>
    </row>
    <row r="36" spans="1:15" outlineLevel="1">
      <c r="A36" s="306" t="s">
        <v>257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259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261</v>
      </c>
      <c r="B38" s="317">
        <f>B4</f>
        <v>7.1099999999999997E-2</v>
      </c>
      <c r="C38" s="264"/>
      <c r="D38" s="318" t="s">
        <v>278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259</v>
      </c>
      <c r="B40" s="320">
        <f>+F38</f>
        <v>14000000</v>
      </c>
      <c r="C40" s="264"/>
      <c r="D40" s="314" t="s">
        <v>260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264</v>
      </c>
      <c r="B41" s="336">
        <f>E40/12</f>
        <v>6</v>
      </c>
      <c r="C41" s="264"/>
      <c r="D41" s="314" t="s">
        <v>262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263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265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259</v>
      </c>
      <c r="B45" s="320">
        <f>+G38</f>
        <v>12000000</v>
      </c>
      <c r="C45" s="264"/>
      <c r="D45" s="314" t="s">
        <v>260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264</v>
      </c>
      <c r="B46" s="336">
        <f>E45/12</f>
        <v>5</v>
      </c>
      <c r="C46" s="264"/>
      <c r="D46" s="314" t="s">
        <v>262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263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265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259</v>
      </c>
      <c r="B50" s="320">
        <f>+H38</f>
        <v>5000000</v>
      </c>
      <c r="C50" s="264"/>
      <c r="D50" s="314" t="s">
        <v>260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264</v>
      </c>
      <c r="B51" s="426">
        <f>E50/12</f>
        <v>4</v>
      </c>
      <c r="C51" s="264"/>
      <c r="D51" s="314" t="s">
        <v>262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263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265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259</v>
      </c>
      <c r="B55" s="320">
        <f>+I38</f>
        <v>6000000</v>
      </c>
      <c r="C55" s="313"/>
      <c r="D55" s="314" t="s">
        <v>260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264</v>
      </c>
      <c r="B56" s="468">
        <f>E55/12</f>
        <v>3</v>
      </c>
      <c r="C56" s="313"/>
      <c r="D56" s="314" t="s">
        <v>262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263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265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259</v>
      </c>
      <c r="B60" s="320">
        <f>J38</f>
        <v>6000000</v>
      </c>
      <c r="C60" s="313"/>
      <c r="D60" s="314" t="s">
        <v>260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264</v>
      </c>
      <c r="B61" s="468">
        <f>E60/12</f>
        <v>2</v>
      </c>
      <c r="C61" s="313"/>
      <c r="D61" s="314" t="s">
        <v>262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263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265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259</v>
      </c>
      <c r="B65" s="320">
        <f>+K38</f>
        <v>0</v>
      </c>
      <c r="C65" s="313"/>
      <c r="D65" s="314" t="s">
        <v>260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264</v>
      </c>
      <c r="B66" s="323"/>
      <c r="C66" s="313"/>
      <c r="D66" s="314" t="s">
        <v>262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263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265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259</v>
      </c>
      <c r="B70" s="320">
        <f>+L38</f>
        <v>0</v>
      </c>
      <c r="C70" s="313"/>
      <c r="D70" s="314" t="s">
        <v>260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264</v>
      </c>
      <c r="B71" s="323"/>
      <c r="C71" s="313"/>
      <c r="D71" s="314" t="s">
        <v>262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263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265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259</v>
      </c>
      <c r="B75" s="320">
        <f>+M38</f>
        <v>0</v>
      </c>
      <c r="C75" s="313"/>
      <c r="D75" s="314" t="s">
        <v>260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264</v>
      </c>
      <c r="B76" s="323"/>
      <c r="C76" s="313"/>
      <c r="D76" s="314" t="s">
        <v>262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263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265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266</v>
      </c>
      <c r="B81" s="328">
        <f>B21</f>
        <v>9515</v>
      </c>
      <c r="C81" s="313"/>
      <c r="D81" s="314" t="s">
        <v>267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268</v>
      </c>
      <c r="B82" s="256">
        <f>+B81/10.764</f>
        <v>883.96506874767749</v>
      </c>
      <c r="C82" s="313"/>
      <c r="D82" s="314" t="s">
        <v>269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270</v>
      </c>
      <c r="B83" s="427" t="str">
        <f>B23</f>
        <v>2026</v>
      </c>
      <c r="C83" s="313"/>
      <c r="D83" s="314" t="s">
        <v>271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272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273</v>
      </c>
      <c r="B87" s="260">
        <f>E90*E47</f>
        <v>0</v>
      </c>
      <c r="C87" s="313"/>
      <c r="D87" s="314" t="s">
        <v>274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275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276</v>
      </c>
      <c r="B90" s="331">
        <f>IFERROR(+E90/B82,0)</f>
        <v>793.70382737782461</v>
      </c>
      <c r="C90" s="332"/>
      <c r="D90" s="333" t="s">
        <v>277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11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3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279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13"/>
      <c r="M95" s="513"/>
      <c r="N95" s="513"/>
      <c r="O95" s="514"/>
    </row>
    <row r="96" spans="1:15">
      <c r="A96" s="170" t="s">
        <v>326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327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D12" sqref="D12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543"/>
      <c r="B8" s="544" t="s">
        <v>36</v>
      </c>
      <c r="C8" s="545" t="s">
        <v>280</v>
      </c>
      <c r="D8" s="545" t="s">
        <v>281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282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283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301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284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285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286</v>
      </c>
      <c r="B16" s="197">
        <f>'Rent Calculation'!F54</f>
        <v>72</v>
      </c>
      <c r="C16" s="197"/>
      <c r="D16" s="289"/>
      <c r="E16" s="367"/>
      <c r="F16" s="294"/>
    </row>
    <row r="17" spans="1:8" ht="13">
      <c r="A17" s="287" t="s">
        <v>287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19" t="s">
        <v>290</v>
      </c>
      <c r="B21" s="419" t="s">
        <v>291</v>
      </c>
      <c r="C21" s="419" t="s">
        <v>292</v>
      </c>
      <c r="D21" s="418"/>
    </row>
    <row r="22" spans="1:8">
      <c r="A22" s="419" t="s">
        <v>293</v>
      </c>
      <c r="B22" s="366">
        <f>'Rent Calculation'!F21</f>
        <v>9515</v>
      </c>
      <c r="C22" s="508">
        <f>'Rent Calculation'!G21</f>
        <v>883.96506874767749</v>
      </c>
      <c r="D22" s="419" t="s">
        <v>294</v>
      </c>
      <c r="G22" s="466"/>
    </row>
    <row r="23" spans="1:8" ht="25">
      <c r="A23" s="420" t="s">
        <v>295</v>
      </c>
      <c r="B23" s="417">
        <f>IF(B22&lt;50000,82.6,62.72)</f>
        <v>82.6</v>
      </c>
      <c r="C23" s="423">
        <f>B23*10.764</f>
        <v>889.10639999999989</v>
      </c>
      <c r="D23" s="367">
        <f>B22*B23</f>
        <v>785939</v>
      </c>
      <c r="F23" s="368"/>
      <c r="G23" s="466"/>
      <c r="H23" s="368"/>
    </row>
    <row r="24" spans="1:8">
      <c r="A24" s="418"/>
      <c r="B24" s="418"/>
      <c r="C24" s="418"/>
      <c r="D24" s="421">
        <f>D23/B16</f>
        <v>10915.819444444445</v>
      </c>
      <c r="G24" s="466"/>
      <c r="H24" s="368"/>
    </row>
    <row r="25" spans="1:8" ht="13">
      <c r="A25" s="418"/>
      <c r="B25" s="418"/>
      <c r="C25" s="418"/>
      <c r="D25" s="422">
        <f>D24/B22</f>
        <v>1.1472222222222224</v>
      </c>
      <c r="G25" s="466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2026-06-10T04:40:37Z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