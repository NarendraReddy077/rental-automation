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3456925D-0E1E-4700-BBF5-B0EA0C94CFB7}" xr6:coauthVersionLast="47" xr6:coauthVersionMax="47" xr10:uidLastSave="{00000000-0000-0000-0000-000000000000}"/>
  <bookViews>
    <workbookView xWindow="-110" yWindow="-110" windowWidth="19420" windowHeight="11500" tabRatio="735" firstSheet="1" activeTab="3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W26" i="1"/>
  <c r="M28" i="1"/>
  <c r="H26" i="1"/>
  <c r="H25" i="1"/>
  <c r="L13" i="1"/>
  <c r="L14" i="1"/>
  <c r="L15" i="1"/>
  <c r="L16" i="1"/>
  <c r="L17" i="1"/>
  <c r="L18" i="1"/>
  <c r="L19" i="1"/>
  <c r="L20" i="1"/>
  <c r="L21" i="1"/>
  <c r="L12" i="1"/>
  <c r="H14" i="1"/>
  <c r="H15" i="1"/>
  <c r="H16" i="1"/>
  <c r="H17" i="1"/>
  <c r="H18" i="1"/>
  <c r="H19" i="1"/>
  <c r="H20" i="1"/>
  <c r="H21" i="1"/>
  <c r="H12" i="1"/>
  <c r="H13" i="1"/>
  <c r="F11" i="1"/>
  <c r="E20" i="1"/>
  <c r="E21" i="1"/>
  <c r="E19" i="1"/>
  <c r="E18" i="1"/>
  <c r="E17" i="1"/>
  <c r="E16" i="1"/>
  <c r="E15" i="1"/>
  <c r="E14" i="1"/>
  <c r="E13" i="1"/>
  <c r="E12" i="1"/>
  <c r="E10" i="1"/>
  <c r="E11" i="1"/>
  <c r="D11" i="1"/>
  <c r="D10" i="1"/>
  <c r="B11" i="1"/>
  <c r="V41" i="1" l="1"/>
  <c r="V42" i="1"/>
  <c r="V40" i="1"/>
  <c r="V37" i="1"/>
  <c r="V36" i="1"/>
  <c r="V35" i="1"/>
  <c r="V34" i="1"/>
  <c r="Y17" i="1"/>
  <c r="Y16" i="1"/>
  <c r="X16" i="1"/>
  <c r="Z17" i="1"/>
  <c r="Z16" i="1"/>
  <c r="Z15" i="1"/>
  <c r="X15" i="1"/>
  <c r="X17" i="1"/>
  <c r="W16" i="1"/>
  <c r="W15" i="1"/>
  <c r="W17" i="1"/>
  <c r="V16" i="1"/>
  <c r="V15" i="1"/>
  <c r="V17" i="1"/>
  <c r="U16" i="1"/>
  <c r="U17" i="1"/>
  <c r="T16" i="1"/>
  <c r="T15" i="1"/>
  <c r="T17" i="1"/>
  <c r="S16" i="1"/>
  <c r="S15" i="1"/>
  <c r="S17" i="1"/>
  <c r="R17" i="1"/>
  <c r="R16" i="1"/>
  <c r="R15" i="1"/>
  <c r="Q17" i="1"/>
  <c r="Q16" i="1"/>
  <c r="Q15" i="1"/>
  <c r="Q9" i="1"/>
  <c r="T9" i="1"/>
  <c r="F20" i="1"/>
  <c r="F19" i="1"/>
  <c r="F18" i="1"/>
  <c r="F17" i="1"/>
  <c r="F16" i="1"/>
  <c r="F15" i="1"/>
  <c r="F14" i="1"/>
  <c r="F13" i="1"/>
  <c r="F12" i="1"/>
  <c r="F10" i="1"/>
  <c r="B21" i="1"/>
  <c r="B20" i="1"/>
  <c r="B19" i="1"/>
  <c r="B18" i="1"/>
  <c r="B17" i="1"/>
  <c r="B16" i="1"/>
  <c r="B15" i="1"/>
  <c r="B14" i="1"/>
  <c r="B13" i="1"/>
  <c r="B12" i="1"/>
  <c r="B10" i="1"/>
  <c r="F61" i="2"/>
  <c r="B62" i="2"/>
  <c r="I62" i="2"/>
  <c r="J62" i="2"/>
  <c r="O103" i="11"/>
  <c r="N103" i="11"/>
  <c r="O99" i="11"/>
  <c r="N99" i="11"/>
  <c r="O87" i="11"/>
  <c r="N87" i="11"/>
  <c r="O75" i="11"/>
  <c r="N75" i="11"/>
  <c r="N51" i="11"/>
  <c r="O51" i="11"/>
  <c r="O63" i="11"/>
  <c r="N63" i="11"/>
  <c r="O39" i="11"/>
  <c r="N39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C22" i="4"/>
  <c r="B81" i="3"/>
  <c r="B89" i="3" s="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7" i="11"/>
  <c r="H68" i="11"/>
  <c r="H69" i="11" s="1"/>
  <c r="L32" i="11"/>
  <c r="H31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31" i="11"/>
  <c r="F31" i="11"/>
  <c r="K31" i="11"/>
  <c r="L31" i="11"/>
  <c r="E10" i="19"/>
  <c r="D10" i="19"/>
  <c r="C10" i="19"/>
  <c r="E7" i="19"/>
  <c r="D7" i="19"/>
  <c r="C7" i="19"/>
  <c r="E6" i="19"/>
  <c r="D6" i="19"/>
  <c r="C6" i="19"/>
  <c r="B6" i="19"/>
  <c r="M31" i="11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1" i="2"/>
  <c r="K33" i="20"/>
  <c r="L33" i="20"/>
  <c r="G21" i="2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L3" i="20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F47" i="2"/>
  <c r="F45" i="2"/>
  <c r="I44" i="2"/>
  <c r="J44" i="2"/>
  <c r="G44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J21" i="2"/>
  <c r="G7" i="2"/>
  <c r="I26" i="1"/>
  <c r="I28" i="1"/>
  <c r="I49" i="2"/>
  <c r="I29" i="2"/>
  <c r="I17" i="2"/>
  <c r="C9" i="4"/>
  <c r="I82" i="2"/>
  <c r="J82" i="2"/>
  <c r="I81" i="2"/>
  <c r="J81" i="2"/>
  <c r="I77" i="2"/>
  <c r="J77" i="2"/>
  <c r="I73" i="2"/>
  <c r="I71" i="2"/>
  <c r="G38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8" i="2"/>
  <c r="B89" i="2"/>
  <c r="B90" i="2"/>
  <c r="B91" i="2"/>
  <c r="I43" i="2"/>
  <c r="I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J133" i="2"/>
  <c r="I133" i="2"/>
  <c r="I175" i="2"/>
  <c r="I176" i="2"/>
  <c r="G133" i="2"/>
  <c r="G175" i="2"/>
  <c r="G176" i="2"/>
  <c r="F133" i="2"/>
  <c r="F175" i="2"/>
  <c r="F176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I25" i="2"/>
  <c r="I24" i="2"/>
  <c r="I142" i="2"/>
  <c r="I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I54" i="2"/>
  <c r="AA18" i="1"/>
  <c r="I57" i="2"/>
  <c r="J57" i="2"/>
  <c r="I56" i="2"/>
  <c r="I50" i="2"/>
  <c r="G41" i="2"/>
  <c r="I30" i="2"/>
  <c r="I41" i="2"/>
  <c r="J41" i="2"/>
  <c r="I35" i="2"/>
  <c r="J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I15" i="2"/>
  <c r="I12" i="2"/>
  <c r="I11" i="2"/>
  <c r="I14" i="2"/>
  <c r="I69" i="2"/>
  <c r="I22" i="2"/>
  <c r="J20" i="2"/>
  <c r="J98" i="2"/>
  <c r="J46" i="2"/>
  <c r="J34" i="2"/>
  <c r="I143" i="2"/>
  <c r="F143" i="2"/>
  <c r="I20" i="2"/>
  <c r="G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G73" i="2"/>
  <c r="U37" i="1"/>
  <c r="G143" i="2"/>
  <c r="J143" i="2"/>
  <c r="G27" i="2"/>
  <c r="B21" i="3"/>
  <c r="B82" i="3"/>
  <c r="F23" i="2"/>
  <c r="B14" i="4"/>
  <c r="B12" i="4"/>
  <c r="C12" i="4"/>
  <c r="I70" i="2"/>
  <c r="J70" i="2"/>
  <c r="G70" i="2"/>
  <c r="U41" i="1"/>
  <c r="G31" i="2"/>
  <c r="J31" i="2"/>
  <c r="F84" i="2"/>
  <c r="I31" i="2"/>
  <c r="J30" i="2"/>
  <c r="J22" i="2"/>
  <c r="G98" i="2"/>
  <c r="E18" i="18"/>
  <c r="I172" i="2"/>
  <c r="G172" i="2"/>
  <c r="J24" i="2"/>
  <c r="J142" i="2"/>
  <c r="F172" i="2"/>
  <c r="J56" i="2"/>
  <c r="B92" i="2"/>
  <c r="B93" i="2"/>
  <c r="B94" i="2"/>
  <c r="B95" i="2"/>
  <c r="E10" i="18"/>
  <c r="F79" i="2"/>
  <c r="G79" i="2" s="1"/>
  <c r="J29" i="2"/>
  <c r="J175" i="2"/>
  <c r="J176" i="2"/>
  <c r="G46" i="2"/>
  <c r="J43" i="2"/>
  <c r="I23" i="2"/>
  <c r="I141" i="2"/>
  <c r="G23" i="2"/>
  <c r="F18" i="3"/>
  <c r="F19" i="3" s="1"/>
  <c r="J221" i="2"/>
  <c r="C4" i="16"/>
  <c r="C19" i="16" s="1"/>
  <c r="D4" i="16"/>
  <c r="D19" i="16" s="1"/>
  <c r="E4" i="16"/>
  <c r="E19" i="16" s="1"/>
  <c r="I118" i="2"/>
  <c r="J118" i="2"/>
  <c r="I119" i="2"/>
  <c r="B4" i="16"/>
  <c r="B19" i="16" s="1"/>
  <c r="F19" i="16" s="1"/>
  <c r="I17" i="1"/>
  <c r="F160" i="2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1" i="2"/>
  <c r="P4" i="11"/>
  <c r="P5" i="11"/>
  <c r="P6" i="11"/>
  <c r="P7" i="11" s="1"/>
  <c r="P8" i="11" s="1"/>
  <c r="P9" i="11" s="1"/>
  <c r="P10" i="11"/>
  <c r="F72" i="2"/>
  <c r="F26" i="2"/>
  <c r="F213" i="2"/>
  <c r="F214" i="2"/>
  <c r="F215" i="2"/>
  <c r="F216" i="2"/>
  <c r="F217" i="2"/>
  <c r="F218" i="2"/>
  <c r="F219" i="2"/>
  <c r="F221" i="2"/>
  <c r="G84" i="2"/>
  <c r="J84" i="2"/>
  <c r="C10" i="18"/>
  <c r="G10" i="18"/>
  <c r="F92" i="2"/>
  <c r="I92" i="2"/>
  <c r="J92" i="2"/>
  <c r="J27" i="2"/>
  <c r="B24" i="19"/>
  <c r="G27" i="19"/>
  <c r="D10" i="16"/>
  <c r="E4" i="20"/>
  <c r="E5" i="20"/>
  <c r="E6" i="20"/>
  <c r="S6" i="20"/>
  <c r="B22" i="3"/>
  <c r="F27" i="19"/>
  <c r="J73" i="2"/>
  <c r="J119" i="2"/>
  <c r="F13" i="19"/>
  <c r="B26" i="19"/>
  <c r="J16" i="1"/>
  <c r="J12" i="1"/>
  <c r="J14" i="1"/>
  <c r="F7" i="16"/>
  <c r="F80" i="2"/>
  <c r="J15" i="1"/>
  <c r="AA27" i="1"/>
  <c r="C18" i="18"/>
  <c r="G18" i="18"/>
  <c r="E51" i="3"/>
  <c r="E46" i="3"/>
  <c r="I12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B96" i="3"/>
  <c r="F101" i="2"/>
  <c r="I101" i="2"/>
  <c r="F28" i="2"/>
  <c r="E4" i="3"/>
  <c r="G141" i="2"/>
  <c r="G198" i="2"/>
  <c r="J23" i="2"/>
  <c r="J191" i="2"/>
  <c r="J192" i="2"/>
  <c r="L4" i="20"/>
  <c r="E7" i="20"/>
  <c r="L6" i="20"/>
  <c r="J198" i="2"/>
  <c r="J141" i="2"/>
  <c r="I26" i="2"/>
  <c r="J26" i="2"/>
  <c r="D23" i="4"/>
  <c r="G25" i="2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G191" i="2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G26" i="2"/>
  <c r="S3" i="20"/>
  <c r="C1" i="18"/>
  <c r="G184" i="2"/>
  <c r="C10" i="16"/>
  <c r="B10" i="16"/>
  <c r="F3" i="20"/>
  <c r="F4" i="20"/>
  <c r="F5" i="20"/>
  <c r="F6" i="20"/>
  <c r="F7" i="20"/>
  <c r="F8" i="20"/>
  <c r="F9" i="20"/>
  <c r="F10" i="20"/>
  <c r="E10" i="16"/>
  <c r="G92" i="2"/>
  <c r="F3" i="11"/>
  <c r="F4" i="11" s="1"/>
  <c r="F5" i="11" s="1"/>
  <c r="F6" i="11" s="1"/>
  <c r="F7" i="11" s="1"/>
  <c r="F8" i="11" s="1"/>
  <c r="F9" i="11" s="1"/>
  <c r="F10" i="11" s="1"/>
  <c r="E34" i="20"/>
  <c r="E41" i="3"/>
  <c r="B41" i="3"/>
  <c r="L42" i="3"/>
  <c r="L43" i="3"/>
  <c r="Y15" i="1"/>
  <c r="D27" i="19"/>
  <c r="L5" i="20"/>
  <c r="E27" i="19"/>
  <c r="S5" i="20"/>
  <c r="C27" i="19"/>
  <c r="S4" i="20"/>
  <c r="B27" i="19"/>
  <c r="H26" i="19"/>
  <c r="H27" i="19"/>
  <c r="AA16" i="1"/>
  <c r="F161" i="2"/>
  <c r="I80" i="2"/>
  <c r="G80" i="2"/>
  <c r="J23" i="1"/>
  <c r="R5" i="11"/>
  <c r="I37" i="2"/>
  <c r="J37" i="2" s="1"/>
  <c r="G101" i="2"/>
  <c r="I28" i="2"/>
  <c r="G28" i="2"/>
  <c r="F103" i="2"/>
  <c r="B97" i="3"/>
  <c r="E35" i="20"/>
  <c r="L34" i="20"/>
  <c r="K34" i="20"/>
  <c r="J101" i="2"/>
  <c r="G192" i="2"/>
  <c r="E19" i="18"/>
  <c r="C19" i="18"/>
  <c r="H6" i="18"/>
  <c r="D17" i="18"/>
  <c r="F10" i="18"/>
  <c r="H18" i="18"/>
  <c r="D20" i="18"/>
  <c r="D16" i="18"/>
  <c r="F18" i="18"/>
  <c r="H17" i="18"/>
  <c r="F6" i="18"/>
  <c r="F17" i="18"/>
  <c r="H16" i="18"/>
  <c r="D6" i="18"/>
  <c r="F16" i="18"/>
  <c r="H10" i="18"/>
  <c r="D10" i="18"/>
  <c r="D18" i="18"/>
  <c r="J25" i="2"/>
  <c r="E33" i="11"/>
  <c r="F10" i="16"/>
  <c r="L7" i="20"/>
  <c r="S7" i="20"/>
  <c r="E8" i="20"/>
  <c r="J42" i="3"/>
  <c r="K42" i="3"/>
  <c r="H42" i="3"/>
  <c r="I42" i="3"/>
  <c r="F42" i="3"/>
  <c r="F43" i="3"/>
  <c r="F87" i="3"/>
  <c r="F82" i="3"/>
  <c r="G81" i="3"/>
  <c r="G42" i="3"/>
  <c r="J80" i="2"/>
  <c r="J161" i="2"/>
  <c r="I161" i="2"/>
  <c r="G161" i="2"/>
  <c r="M32" i="11"/>
  <c r="G103" i="2"/>
  <c r="I103" i="2"/>
  <c r="J103" i="2"/>
  <c r="J28" i="2"/>
  <c r="L8" i="20"/>
  <c r="E9" i="20"/>
  <c r="S8" i="20"/>
  <c r="E34" i="11"/>
  <c r="K33" i="11"/>
  <c r="G193" i="2"/>
  <c r="M34" i="20"/>
  <c r="L35" i="20"/>
  <c r="E36" i="20"/>
  <c r="K35" i="20"/>
  <c r="G19" i="18"/>
  <c r="D19" i="18"/>
  <c r="F19" i="18"/>
  <c r="J43" i="3"/>
  <c r="K43" i="3"/>
  <c r="G43" i="3"/>
  <c r="I43" i="3"/>
  <c r="H43" i="3"/>
  <c r="F83" i="3"/>
  <c r="F86" i="3"/>
  <c r="F89" i="3"/>
  <c r="I68" i="2"/>
  <c r="G68" i="2"/>
  <c r="G204" i="2"/>
  <c r="J204" i="2"/>
  <c r="M35" i="20"/>
  <c r="E20" i="18"/>
  <c r="G194" i="2"/>
  <c r="J193" i="2"/>
  <c r="E37" i="20"/>
  <c r="L36" i="20"/>
  <c r="M14" i="20"/>
  <c r="K36" i="20"/>
  <c r="E10" i="20"/>
  <c r="S9" i="20"/>
  <c r="L9" i="20"/>
  <c r="H19" i="18"/>
  <c r="G82" i="3"/>
  <c r="G83" i="3" s="1"/>
  <c r="G86" i="3" s="1"/>
  <c r="G89" i="3" s="1"/>
  <c r="J68" i="2"/>
  <c r="F20" i="18"/>
  <c r="G20" i="18"/>
  <c r="H20" i="18"/>
  <c r="K37" i="20"/>
  <c r="E38" i="20"/>
  <c r="L37" i="20"/>
  <c r="M36" i="20"/>
  <c r="M15" i="20"/>
  <c r="N15" i="20"/>
  <c r="N14" i="20"/>
  <c r="J194" i="2"/>
  <c r="L10" i="20"/>
  <c r="S10" i="20"/>
  <c r="S11" i="20"/>
  <c r="H81" i="3"/>
  <c r="H82" i="3" s="1"/>
  <c r="M37" i="20"/>
  <c r="J195" i="2"/>
  <c r="E39" i="20"/>
  <c r="L38" i="20"/>
  <c r="K38" i="20"/>
  <c r="K39" i="20"/>
  <c r="L39" i="20"/>
  <c r="E40" i="20"/>
  <c r="M38" i="20"/>
  <c r="K40" i="20"/>
  <c r="E41" i="20"/>
  <c r="L40" i="20"/>
  <c r="M39" i="20"/>
  <c r="M40" i="20"/>
  <c r="E42" i="20"/>
  <c r="L41" i="20"/>
  <c r="K41" i="20"/>
  <c r="M41" i="20"/>
  <c r="E43" i="20"/>
  <c r="K42" i="20"/>
  <c r="L42" i="20"/>
  <c r="M42" i="20"/>
  <c r="K43" i="20"/>
  <c r="E44" i="20"/>
  <c r="L43" i="20"/>
  <c r="M43" i="20"/>
  <c r="L44" i="20"/>
  <c r="E45" i="20"/>
  <c r="K44" i="20"/>
  <c r="M44" i="20"/>
  <c r="L45" i="20"/>
  <c r="K45" i="20"/>
  <c r="E46" i="20"/>
  <c r="M45" i="20"/>
  <c r="K46" i="20"/>
  <c r="L46" i="20"/>
  <c r="P46" i="20"/>
  <c r="E47" i="20"/>
  <c r="M46" i="20"/>
  <c r="O46" i="20"/>
  <c r="L47" i="20"/>
  <c r="E48" i="20"/>
  <c r="K47" i="20"/>
  <c r="M47" i="20"/>
  <c r="E49" i="20"/>
  <c r="L48" i="20"/>
  <c r="K48" i="20"/>
  <c r="M48" i="20"/>
  <c r="L49" i="20"/>
  <c r="K49" i="20"/>
  <c r="E50" i="20"/>
  <c r="M49" i="20"/>
  <c r="E51" i="20"/>
  <c r="K50" i="20"/>
  <c r="L50" i="20"/>
  <c r="M50" i="20"/>
  <c r="L51" i="20"/>
  <c r="K51" i="20"/>
  <c r="M51" i="20"/>
  <c r="E52" i="20"/>
  <c r="L52" i="20"/>
  <c r="K52" i="20"/>
  <c r="M52" i="20"/>
  <c r="E53" i="20"/>
  <c r="L53" i="20"/>
  <c r="E54" i="20"/>
  <c r="K53" i="20"/>
  <c r="M53" i="20"/>
  <c r="E55" i="20"/>
  <c r="L54" i="20"/>
  <c r="K54" i="20"/>
  <c r="M54" i="20"/>
  <c r="E56" i="20"/>
  <c r="L55" i="20"/>
  <c r="K55" i="20"/>
  <c r="L56" i="20"/>
  <c r="E57" i="20"/>
  <c r="K56" i="20"/>
  <c r="M56" i="20"/>
  <c r="M55" i="20"/>
  <c r="K57" i="20"/>
  <c r="E58" i="20"/>
  <c r="L57" i="20"/>
  <c r="L58" i="20"/>
  <c r="P58" i="20"/>
  <c r="E59" i="20"/>
  <c r="K58" i="20"/>
  <c r="M57" i="20"/>
  <c r="M58" i="20"/>
  <c r="O58" i="20"/>
  <c r="K59" i="20"/>
  <c r="L59" i="20"/>
  <c r="E60" i="20"/>
  <c r="K60" i="20"/>
  <c r="E61" i="20"/>
  <c r="L60" i="20"/>
  <c r="M59" i="20"/>
  <c r="L61" i="20"/>
  <c r="K61" i="20"/>
  <c r="E62" i="20"/>
  <c r="M60" i="20"/>
  <c r="E63" i="20"/>
  <c r="K62" i="20"/>
  <c r="L62" i="20"/>
  <c r="M61" i="20"/>
  <c r="K63" i="20"/>
  <c r="L63" i="20"/>
  <c r="E64" i="20"/>
  <c r="M62" i="20"/>
  <c r="M63" i="20"/>
  <c r="L64" i="20"/>
  <c r="E65" i="20"/>
  <c r="K64" i="20"/>
  <c r="M64" i="20"/>
  <c r="K65" i="20"/>
  <c r="E66" i="20"/>
  <c r="L65" i="20"/>
  <c r="E67" i="20"/>
  <c r="L66" i="20"/>
  <c r="K66" i="20"/>
  <c r="M65" i="20"/>
  <c r="M66" i="20"/>
  <c r="L67" i="20"/>
  <c r="E68" i="20"/>
  <c r="K67" i="20"/>
  <c r="M67" i="20"/>
  <c r="E69" i="20"/>
  <c r="K68" i="20"/>
  <c r="L68" i="20"/>
  <c r="M68" i="20"/>
  <c r="K69" i="20"/>
  <c r="L69" i="20"/>
  <c r="E70" i="20"/>
  <c r="K70" i="20"/>
  <c r="E71" i="20"/>
  <c r="L70" i="20"/>
  <c r="P70" i="20"/>
  <c r="M69" i="20"/>
  <c r="K71" i="20"/>
  <c r="L71" i="20"/>
  <c r="E72" i="20"/>
  <c r="M70" i="20"/>
  <c r="O70" i="20"/>
  <c r="M71" i="20"/>
  <c r="E73" i="20"/>
  <c r="K72" i="20"/>
  <c r="L72" i="20"/>
  <c r="M72" i="20"/>
  <c r="K73" i="20"/>
  <c r="E74" i="20"/>
  <c r="L73" i="20"/>
  <c r="E75" i="20"/>
  <c r="K74" i="20"/>
  <c r="L74" i="20"/>
  <c r="M73" i="20"/>
  <c r="K75" i="20"/>
  <c r="E76" i="20"/>
  <c r="L75" i="20"/>
  <c r="M74" i="20"/>
  <c r="L76" i="20"/>
  <c r="E77" i="20"/>
  <c r="K76" i="20"/>
  <c r="M75" i="20"/>
  <c r="M76" i="20"/>
  <c r="K77" i="20"/>
  <c r="L77" i="20"/>
  <c r="E78" i="20"/>
  <c r="E79" i="20"/>
  <c r="L78" i="20"/>
  <c r="K78" i="20"/>
  <c r="M77" i="20"/>
  <c r="M78" i="20"/>
  <c r="E80" i="20"/>
  <c r="L79" i="20"/>
  <c r="K79" i="20"/>
  <c r="M79" i="20"/>
  <c r="E81" i="20"/>
  <c r="K80" i="20"/>
  <c r="L80" i="20"/>
  <c r="M80" i="20"/>
  <c r="L81" i="20"/>
  <c r="K81" i="20"/>
  <c r="M81" i="20"/>
  <c r="E82" i="20"/>
  <c r="L82" i="20"/>
  <c r="P82" i="20"/>
  <c r="K82" i="20"/>
  <c r="E83" i="20"/>
  <c r="K83" i="20"/>
  <c r="L83" i="20"/>
  <c r="M82" i="20"/>
  <c r="O82" i="20"/>
  <c r="P83" i="20"/>
  <c r="L84" i="20"/>
  <c r="M83" i="20"/>
  <c r="M84" i="20"/>
  <c r="M85" i="20"/>
  <c r="O83" i="20"/>
  <c r="K84" i="20"/>
  <c r="O84" i="20"/>
  <c r="P84" i="20"/>
  <c r="I33" i="2"/>
  <c r="J33" i="2"/>
  <c r="G33" i="2"/>
  <c r="D12" i="1" l="1"/>
  <c r="D13" i="1"/>
  <c r="F53" i="2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6" i="11"/>
  <c r="L4" i="11"/>
  <c r="L3" i="11"/>
  <c r="I5" i="11"/>
  <c r="I45" i="2"/>
  <c r="G45" i="2"/>
  <c r="U34" i="1"/>
  <c r="B11" i="4"/>
  <c r="I72" i="2"/>
  <c r="J72" i="2" s="1"/>
  <c r="G40" i="2"/>
  <c r="I55" i="2"/>
  <c r="B16" i="4"/>
  <c r="D24" i="4" s="1"/>
  <c r="D25" i="4" s="1"/>
  <c r="F102" i="2" s="1"/>
  <c r="D10" i="4"/>
  <c r="G55" i="2"/>
  <c r="G72" i="2"/>
  <c r="H3" i="20"/>
  <c r="G37" i="2"/>
  <c r="I39" i="2"/>
  <c r="J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D16" i="1" l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5" i="2"/>
  <c r="G197" i="2"/>
  <c r="G42" i="2"/>
  <c r="I42" i="2"/>
  <c r="J42" i="2" s="1"/>
  <c r="D11" i="4"/>
  <c r="C11" i="4" s="1"/>
  <c r="C10" i="4"/>
  <c r="G102" i="2"/>
  <c r="I102" i="2"/>
  <c r="J55" i="2"/>
  <c r="J197" i="2" s="1"/>
  <c r="K3" i="20"/>
  <c r="N3" i="20" s="1"/>
  <c r="H5" i="20"/>
  <c r="H4" i="20"/>
  <c r="Q3" i="20"/>
  <c r="U38" i="1"/>
  <c r="V38" i="1"/>
  <c r="Q26" i="1"/>
  <c r="H19" i="11"/>
  <c r="H24" i="11"/>
  <c r="H21" i="11"/>
  <c r="I160" i="2"/>
  <c r="J79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D19" i="1" l="1"/>
  <c r="D18" i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AA26" i="1"/>
  <c r="K4" i="11"/>
  <c r="N4" i="11" s="1"/>
  <c r="H6" i="11"/>
  <c r="Q4" i="11"/>
  <c r="T4" i="11" s="1"/>
  <c r="T3" i="11"/>
  <c r="H26" i="11"/>
  <c r="J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G11" i="1"/>
  <c r="C13" i="4"/>
  <c r="H7" i="11"/>
  <c r="K5" i="11"/>
  <c r="N5" i="11" s="1"/>
  <c r="Q5" i="11"/>
  <c r="T5" i="11" s="1"/>
  <c r="J160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8" i="2"/>
  <c r="F76" i="2"/>
  <c r="F159" i="2"/>
  <c r="D20" i="1" l="1"/>
  <c r="G19" i="1"/>
  <c r="E38" i="11"/>
  <c r="K37" i="11"/>
  <c r="L37" i="11"/>
  <c r="J38" i="11"/>
  <c r="L9" i="11"/>
  <c r="R9" i="11"/>
  <c r="L10" i="11"/>
  <c r="H73" i="11"/>
  <c r="C9" i="18"/>
  <c r="M8" i="11"/>
  <c r="J9" i="11"/>
  <c r="S8" i="1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6" i="2"/>
  <c r="J76" i="2" s="1"/>
  <c r="I21" i="3"/>
  <c r="I22" i="3" s="1"/>
  <c r="J78" i="2"/>
  <c r="J159" i="2" s="1"/>
  <c r="J162" i="2" s="1"/>
  <c r="G159" i="2"/>
  <c r="G76" i="2"/>
  <c r="C15" i="18"/>
  <c r="E15" i="18"/>
  <c r="F162" i="2"/>
  <c r="D21" i="1" l="1"/>
  <c r="G20" i="1"/>
  <c r="K19" i="1"/>
  <c r="X14" i="1"/>
  <c r="J10" i="11"/>
  <c r="M9" i="11"/>
  <c r="S9" i="11"/>
  <c r="J39" i="11"/>
  <c r="L38" i="11"/>
  <c r="H74" i="11"/>
  <c r="M37" i="11"/>
  <c r="E7" i="18"/>
  <c r="G217" i="2"/>
  <c r="R11" i="11"/>
  <c r="K38" i="1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2" i="2"/>
  <c r="J21" i="3"/>
  <c r="J22" i="3" s="1"/>
  <c r="F15" i="18"/>
  <c r="F21" i="18" s="1"/>
  <c r="E21" i="18"/>
  <c r="G21" i="1" l="1"/>
  <c r="Z14" i="1" s="1"/>
  <c r="D23" i="1"/>
  <c r="X25" i="1"/>
  <c r="X30" i="1" s="1"/>
  <c r="X22" i="1"/>
  <c r="Y14" i="1"/>
  <c r="K20" i="1"/>
  <c r="K21" i="1"/>
  <c r="H75" i="11"/>
  <c r="L39" i="11"/>
  <c r="J40" i="11"/>
  <c r="K39" i="11"/>
  <c r="M39" i="11" s="1"/>
  <c r="E40" i="11"/>
  <c r="E9" i="18"/>
  <c r="M38" i="11"/>
  <c r="I19" i="11"/>
  <c r="M10" i="11"/>
  <c r="S10" i="11"/>
  <c r="G221" i="2"/>
  <c r="E23" i="1"/>
  <c r="F7" i="18"/>
  <c r="G7" i="18"/>
  <c r="H7" i="18" s="1"/>
  <c r="S11" i="11"/>
  <c r="T9" i="11"/>
  <c r="Q10" i="20"/>
  <c r="T10" i="20" s="1"/>
  <c r="T11" i="20" s="1"/>
  <c r="K10" i="20"/>
  <c r="N10" i="20" s="1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Z25" i="1" l="1"/>
  <c r="Z30" i="1" s="1"/>
  <c r="Z22" i="1"/>
  <c r="Y25" i="1"/>
  <c r="Y30" i="1" s="1"/>
  <c r="Y22" i="1"/>
  <c r="C211" i="2"/>
  <c r="J41" i="11"/>
  <c r="L40" i="11"/>
  <c r="G202" i="2"/>
  <c r="F67" i="2"/>
  <c r="F9" i="18"/>
  <c r="G9" i="18"/>
  <c r="H9" i="18" s="1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67" i="2" l="1"/>
  <c r="F89" i="2"/>
  <c r="F153" i="2"/>
  <c r="I67" i="2"/>
  <c r="M40" i="11"/>
  <c r="E42" i="11"/>
  <c r="K41" i="11"/>
  <c r="L41" i="11"/>
  <c r="J42" i="11"/>
  <c r="I211" i="2"/>
  <c r="H77" i="11"/>
  <c r="J202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7" i="2"/>
  <c r="K42" i="11"/>
  <c r="E43" i="11"/>
  <c r="G153" i="2"/>
  <c r="J153" i="2" s="1"/>
  <c r="I153" i="2"/>
  <c r="G89" i="2"/>
  <c r="I89" i="2"/>
  <c r="J89" i="2" s="1"/>
  <c r="L42" i="11"/>
  <c r="N89" i="3"/>
  <c r="E90" i="3"/>
  <c r="E86" i="3"/>
  <c r="M22" i="3"/>
  <c r="N21" i="3" s="1"/>
  <c r="L23" i="3"/>
  <c r="L26" i="3" s="1"/>
  <c r="L43" i="11" l="1"/>
  <c r="H79" i="11"/>
  <c r="E44" i="11"/>
  <c r="K43" i="11"/>
  <c r="G12" i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G100" i="2"/>
  <c r="I100" i="2"/>
  <c r="J100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9" i="2" s="1"/>
  <c r="Q22" i="1" l="1"/>
  <c r="Q23" i="1" s="1"/>
  <c r="H82" i="11"/>
  <c r="E47" i="11"/>
  <c r="K46" i="11"/>
  <c r="L46" i="11"/>
  <c r="J47" i="11"/>
  <c r="G99" i="2"/>
  <c r="I99" i="2"/>
  <c r="F104" i="2"/>
  <c r="J48" i="11" l="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G104" i="2"/>
  <c r="M47" i="11" l="1"/>
  <c r="H84" i="11"/>
  <c r="K48" i="11"/>
  <c r="E49" i="11"/>
  <c r="J49" i="11"/>
  <c r="L48" i="11"/>
  <c r="F168" i="2"/>
  <c r="G108" i="2"/>
  <c r="J50" i="11" l="1"/>
  <c r="L49" i="11"/>
  <c r="E50" i="11"/>
  <c r="K49" i="11"/>
  <c r="M48" i="11"/>
  <c r="H85" i="11"/>
  <c r="D14" i="16"/>
  <c r="D16" i="16" s="1"/>
  <c r="B14" i="16"/>
  <c r="G168" i="2"/>
  <c r="C14" i="16"/>
  <c r="C16" i="16" s="1"/>
  <c r="E14" i="16"/>
  <c r="E16" i="16" s="1"/>
  <c r="J51" i="11" l="1"/>
  <c r="L50" i="11"/>
  <c r="H86" i="11"/>
  <c r="M49" i="11"/>
  <c r="K50" i="11"/>
  <c r="E51" i="11"/>
  <c r="F14" i="16"/>
  <c r="B16" i="16"/>
  <c r="F16" i="16" s="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2" i="2"/>
  <c r="J54" i="11" l="1"/>
  <c r="L53" i="11"/>
  <c r="M52" i="11"/>
  <c r="H89" i="11"/>
  <c r="E54" i="11"/>
  <c r="K53" i="11"/>
  <c r="M53" i="11" s="1"/>
  <c r="C212" i="2"/>
  <c r="K54" i="11" l="1"/>
  <c r="E55" i="11"/>
  <c r="H90" i="11"/>
  <c r="L54" i="11"/>
  <c r="M54" i="11" l="1"/>
  <c r="G13" i="1"/>
  <c r="H91" i="11"/>
  <c r="L55" i="11"/>
  <c r="E56" i="11"/>
  <c r="K55" i="11"/>
  <c r="K13" i="1" l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E63" i="11"/>
  <c r="L63" i="11" l="1"/>
  <c r="J64" i="11"/>
  <c r="E64" i="11"/>
  <c r="K63" i="11"/>
  <c r="M62" i="11"/>
  <c r="H99" i="11"/>
  <c r="J65" i="11" l="1"/>
  <c r="L64" i="11"/>
  <c r="I213" i="2"/>
  <c r="H100" i="11"/>
  <c r="M63" i="11"/>
  <c r="E65" i="11"/>
  <c r="K64" i="11"/>
  <c r="J66" i="11" l="1"/>
  <c r="L65" i="11"/>
  <c r="M64" i="11"/>
  <c r="K65" i="11"/>
  <c r="M65" i="11" s="1"/>
  <c r="E66" i="11"/>
  <c r="C213" i="2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J69" i="11" l="1"/>
  <c r="L68" i="11"/>
  <c r="K14" i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J76" i="11" l="1"/>
  <c r="L75" i="11"/>
  <c r="M74" i="11"/>
  <c r="E76" i="11"/>
  <c r="K75" i="11"/>
  <c r="L76" i="11" l="1"/>
  <c r="J77" i="11"/>
  <c r="M75" i="11"/>
  <c r="E77" i="11"/>
  <c r="K76" i="11"/>
  <c r="I214" i="2"/>
  <c r="E78" i="11" l="1"/>
  <c r="K77" i="11"/>
  <c r="M76" i="11"/>
  <c r="C214" i="2"/>
  <c r="J78" i="11"/>
  <c r="L77" i="11"/>
  <c r="M77" i="11" l="1"/>
  <c r="E79" i="11"/>
  <c r="K78" i="11"/>
  <c r="L78" i="11"/>
  <c r="L79" i="11" l="1"/>
  <c r="E80" i="11"/>
  <c r="K79" i="11"/>
  <c r="M78" i="11"/>
  <c r="G15" i="1"/>
  <c r="M79" i="11" l="1"/>
  <c r="K15" i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J90" i="11" l="1"/>
  <c r="L89" i="11"/>
  <c r="M88" i="11"/>
  <c r="E90" i="11"/>
  <c r="K89" i="11"/>
  <c r="C215" i="2"/>
  <c r="M89" i="11" l="1"/>
  <c r="L90" i="11"/>
  <c r="E91" i="11"/>
  <c r="K90" i="11"/>
  <c r="M90" i="11" l="1"/>
  <c r="L91" i="11"/>
  <c r="E92" i="11"/>
  <c r="K91" i="11"/>
  <c r="G16" i="1"/>
  <c r="M91" i="11" l="1"/>
  <c r="K16" i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L98" i="11"/>
  <c r="J99" i="11"/>
  <c r="M97" i="11"/>
  <c r="E100" i="11" l="1"/>
  <c r="K99" i="11"/>
  <c r="L99" i="11"/>
  <c r="I216" i="2" s="1"/>
  <c r="J100" i="11"/>
  <c r="M98" i="11"/>
  <c r="L100" i="11" l="1"/>
  <c r="J101" i="11"/>
  <c r="M99" i="11"/>
  <c r="C216" i="2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I217" i="2" l="1"/>
  <c r="K17" i="1"/>
  <c r="V14" i="1"/>
  <c r="V25" i="1" s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23" i="1"/>
  <c r="I221" i="2"/>
  <c r="C217" i="2"/>
  <c r="N104" i="11"/>
  <c r="K24" i="11"/>
  <c r="K23" i="11"/>
  <c r="K21" i="11"/>
  <c r="K20" i="11"/>
  <c r="I26" i="11"/>
  <c r="J26" i="11"/>
  <c r="M104" i="11"/>
  <c r="V30" i="1"/>
  <c r="V22" i="1"/>
  <c r="K26" i="11" l="1"/>
  <c r="C221" i="2"/>
  <c r="F65" i="2"/>
  <c r="G203" i="2"/>
  <c r="J203" i="2" l="1"/>
  <c r="F66" i="2"/>
  <c r="G65" i="2"/>
  <c r="I65" i="2"/>
  <c r="J65" i="2" s="1"/>
  <c r="F113" i="2"/>
  <c r="F91" i="2"/>
  <c r="G18" i="1"/>
  <c r="B23" i="1"/>
  <c r="K18" i="1" l="1"/>
  <c r="G23" i="1"/>
  <c r="G91" i="2"/>
  <c r="I91" i="2"/>
  <c r="J91" i="2" s="1"/>
  <c r="F120" i="2"/>
  <c r="G113" i="2"/>
  <c r="I113" i="2"/>
  <c r="G66" i="2"/>
  <c r="F152" i="2"/>
  <c r="I66" i="2"/>
  <c r="J66" i="2" s="1"/>
  <c r="F63" i="2"/>
  <c r="I61" i="2"/>
  <c r="G61" i="2"/>
  <c r="G199" i="2"/>
  <c r="G200" i="2" s="1"/>
  <c r="J113" i="2" l="1"/>
  <c r="I120" i="2"/>
  <c r="F87" i="2"/>
  <c r="F64" i="2"/>
  <c r="G63" i="2"/>
  <c r="J200" i="2"/>
  <c r="G201" i="2"/>
  <c r="G120" i="2"/>
  <c r="F171" i="2"/>
  <c r="F75" i="2"/>
  <c r="F145" i="2"/>
  <c r="I63" i="2"/>
  <c r="J61" i="2"/>
  <c r="J63" i="2" s="1"/>
  <c r="J199" i="2"/>
  <c r="G152" i="2"/>
  <c r="I152" i="2"/>
  <c r="J152" i="2" s="1"/>
  <c r="L23" i="1"/>
  <c r="K23" i="1"/>
  <c r="W14" i="1"/>
  <c r="W25" i="1" s="1"/>
  <c r="H23" i="1"/>
  <c r="L24" i="1" l="1"/>
  <c r="G145" i="2"/>
  <c r="J120" i="2"/>
  <c r="G171" i="2"/>
  <c r="J201" i="2"/>
  <c r="J205" i="2" s="1"/>
  <c r="G205" i="2"/>
  <c r="W22" i="1"/>
  <c r="R34" i="1" s="1"/>
  <c r="N23" i="1" s="1"/>
  <c r="AA14" i="1"/>
  <c r="AA22" i="1" s="1"/>
  <c r="G87" i="2"/>
  <c r="F150" i="2"/>
  <c r="F74" i="2"/>
  <c r="G64" i="2"/>
  <c r="I64" i="2"/>
  <c r="J64" i="2" s="1"/>
  <c r="I87" i="2"/>
  <c r="I75" i="2"/>
  <c r="J75" i="2" s="1"/>
  <c r="I145" i="2"/>
  <c r="I171" i="2"/>
  <c r="I173" i="2" s="1"/>
  <c r="F173" i="2"/>
  <c r="W30" i="1" l="1"/>
  <c r="Q34" i="1" s="1"/>
  <c r="AA25" i="1"/>
  <c r="AA30" i="1" s="1"/>
  <c r="G206" i="2"/>
  <c r="G207" i="2"/>
  <c r="J206" i="2"/>
  <c r="J207" i="2"/>
  <c r="G150" i="2"/>
  <c r="I150" i="2"/>
  <c r="F154" i="2"/>
  <c r="G74" i="2"/>
  <c r="I74" i="2"/>
  <c r="J74" i="2" s="1"/>
  <c r="J171" i="2"/>
  <c r="J173" i="2" s="1"/>
  <c r="G173" i="2"/>
  <c r="J145" i="2"/>
  <c r="J87" i="2"/>
  <c r="G183" i="2" l="1"/>
  <c r="G208" i="2"/>
  <c r="F155" i="2"/>
  <c r="J150" i="2"/>
  <c r="J154" i="2" s="1"/>
  <c r="J155" i="2" s="1"/>
  <c r="I154" i="2"/>
  <c r="I155" i="2" s="1"/>
  <c r="G154" i="2"/>
  <c r="G155" i="2" l="1"/>
  <c r="F83" i="2"/>
  <c r="J183" i="2"/>
  <c r="G83" i="2" l="1"/>
  <c r="I83" i="2"/>
  <c r="F93" i="2"/>
  <c r="B11" i="16"/>
  <c r="F11" i="16" s="1"/>
  <c r="C11" i="18"/>
  <c r="E11" i="18"/>
  <c r="J83" i="2" l="1"/>
  <c r="G195" i="2"/>
  <c r="G93" i="2"/>
  <c r="F11" i="18"/>
  <c r="E12" i="18"/>
  <c r="F12" i="18" s="1"/>
  <c r="D11" i="18"/>
  <c r="G11" i="18"/>
  <c r="C12" i="18"/>
  <c r="D12" i="18" s="1"/>
  <c r="I93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4" i="2"/>
  <c r="J93" i="2"/>
  <c r="G25" i="1"/>
  <c r="H13" i="18" l="1"/>
  <c r="H23" i="18" s="1"/>
  <c r="F94" i="2"/>
  <c r="H28" i="1"/>
  <c r="G28" i="1"/>
  <c r="G31" i="1" s="1"/>
  <c r="K25" i="1"/>
  <c r="K28" i="1" s="1"/>
  <c r="G13" i="18"/>
  <c r="G23" i="18" s="1"/>
  <c r="G95" i="2"/>
  <c r="G107" i="2" l="1"/>
  <c r="N28" i="1"/>
  <c r="H31" i="1"/>
  <c r="I94" i="2"/>
  <c r="F95" i="2"/>
  <c r="H32" i="1" l="1"/>
  <c r="H36" i="1" s="1"/>
  <c r="N31" i="1"/>
  <c r="N32" i="1" s="1"/>
  <c r="J94" i="2"/>
  <c r="I95" i="2"/>
  <c r="I107" i="2" s="1"/>
  <c r="F107" i="2"/>
  <c r="E3" i="16"/>
  <c r="B3" i="16"/>
  <c r="D3" i="16"/>
  <c r="G109" i="2"/>
  <c r="C3" i="16"/>
  <c r="G167" i="2"/>
  <c r="E18" i="16" l="1"/>
  <c r="E12" i="16"/>
  <c r="E20" i="16" s="1"/>
  <c r="F3" i="16"/>
  <c r="B18" i="16"/>
  <c r="B12" i="16"/>
  <c r="I167" i="2"/>
  <c r="I169" i="2" s="1"/>
  <c r="I178" i="2" s="1"/>
  <c r="I109" i="2"/>
  <c r="J95" i="2"/>
  <c r="D12" i="16"/>
  <c r="D20" i="16" s="1"/>
  <c r="D18" i="16"/>
  <c r="F109" i="2"/>
  <c r="F167" i="2"/>
  <c r="G169" i="2"/>
  <c r="C12" i="16"/>
  <c r="C20" i="16" s="1"/>
  <c r="C18" i="16"/>
  <c r="N36" i="1"/>
  <c r="G144" i="2"/>
  <c r="G136" i="2"/>
  <c r="M31" i="1"/>
  <c r="J107" i="2" l="1"/>
  <c r="B20" i="16"/>
  <c r="F20" i="16" s="1"/>
  <c r="F12" i="16"/>
  <c r="G146" i="2"/>
  <c r="I144" i="2"/>
  <c r="I136" i="2"/>
  <c r="I146" i="2" s="1"/>
  <c r="F18" i="16"/>
  <c r="G178" i="2"/>
  <c r="G182" i="2"/>
  <c r="F169" i="2"/>
  <c r="F144" i="2"/>
  <c r="F136" i="2"/>
  <c r="G185" i="2" l="1"/>
  <c r="J182" i="2"/>
  <c r="J185" i="2" s="1"/>
  <c r="J186" i="2" s="1"/>
  <c r="F146" i="2"/>
  <c r="F178" i="2"/>
  <c r="J167" i="2"/>
  <c r="J109" i="2"/>
  <c r="J144" i="2" l="1"/>
  <c r="J136" i="2"/>
  <c r="J169" i="2"/>
  <c r="G186" i="2"/>
  <c r="J178" i="2" l="1"/>
  <c r="J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<sst xmlns="http://schemas.openxmlformats.org/spreadsheetml/2006/main" count="809" uniqueCount="502">
  <si>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</si>
  <si>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</si>
  <si>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</si>
  <si>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</si>
  <si>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</si>
  <si>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</si>
  <si>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</si>
  <si>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</si>
  <si>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</si>
  <si>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</si>
  <si>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</si>
  <si>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</si>
  <si>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</si>
  <si>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</si>
  <si>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</si>
  <si>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</si>
  <si>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</si>
  <si>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</si>
  <si>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</si>
  <si>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</si>
  <si>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</si>
  <si>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</si>
  <si>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</si>
  <si>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</si>
  <si>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</si>
  <si>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</si>
  <si>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</si>
  <si>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</si>
  <si>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</si>
  <si>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</si>
  <si>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</si>
  <si>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</si>
  <si>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</si>
  <si>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</si>
  <si>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</si>
  <si>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</si>
  <si>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</si>
  <si>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</si>
  <si>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</si>
  <si>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</si>
  <si>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</si>
  <si>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</si>
  <si>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</si>
  <si>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</si>
  <si>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</si>
  <si>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</si>
  <si>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</si>
  <si>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</si>
  <si>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</si>
  <si>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</si>
  <si>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</si>
  <si>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</si>
  <si>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</si>
  <si>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</si>
  <si>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</si>
  <si>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</si>
  <si>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</si>
  <si>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</si>
  <si>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</si>
  <si>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</si>
  <si>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</si>
  <si>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</si>
  <si>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</si>
  <si>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</si>
  <si>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</si>
  <si>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</si>
  <si>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</si>
  <si>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</si>
  <si>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</si>
  <si>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</si>
  <si>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</si>
  <si>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</si>
  <si>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</si>
  <si>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</si>
  <si>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</si>
  <si>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</si>
  <si>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</si>
  <si>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</si>
  <si>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</si>
  <si>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</si>
  <si>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</si>
  <si>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</si>
  <si>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</si>
  <si>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</si>
  <si>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</si>
  <si>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</si>
  <si>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</si>
  <si>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</si>
  <si>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</si>
  <si>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</si>
  <si>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</si>
  <si>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</si>
  <si>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</si>
  <si>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</si>
  <si>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</si>
  <si>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</si>
  <si>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</si>
  <si>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</si>
  <si>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</si>
  <si>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</si>
  <si>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</si>
  <si>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</si>
  <si>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</si>
  <si>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</si>
  <si>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</si>
  <si>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</si>
  <si>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</si>
  <si>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</si>
  <si>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</si>
  <si>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</si>
  <si>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</si>
  <si>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</si>
  <si>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</si>
  <si>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</si>
  <si>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</si>
  <si>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</si>
  <si>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</si>
  <si>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</si>
  <si>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</si>
  <si>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</si>
  <si>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</si>
  <si>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</si>
  <si>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</si>
  <si>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</si>
  <si>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</si>
  <si>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</si>
  <si>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</si>
  <si>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</si>
  <si>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</si>
  <si>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</si>
  <si>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</si>
  <si>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</si>
  <si>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</si>
  <si>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</si>
  <si>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</si>
  <si>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</si>
  <si>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</si>
  <si>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</si>
  <si>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</si>
  <si>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</si>
  <si>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</si>
  <si>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</si>
  <si>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</si>
  <si>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</si>
  <si>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</si>
  <si>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</si>
  <si>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</si>
  <si>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</si>
  <si>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</si>
  <si>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</si>
  <si>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</si>
  <si>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</si>
  <si>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</si>
  <si>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</si>
  <si>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</si>
  <si>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</si>
  <si>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</si>
  <si>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</si>
  <si>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</si>
  <si>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</si>
  <si>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</si>
  <si>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</si>
  <si>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</si>
  <si>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</si>
  <si>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</si>
  <si>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</si>
  <si>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</si>
  <si>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</si>
  <si>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</si>
  <si>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</si>
  <si>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</si>
  <si>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</si>
  <si>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</si>
  <si>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</si>
  <si>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</si>
  <si>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</si>
  <si>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</si>
  <si>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</si>
  <si>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</si>
  <si>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</si>
  <si>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</si>
  <si>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</si>
  <si>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</si>
  <si>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</si>
  <si>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</si>
  <si>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</si>
  <si>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</si>
  <si>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</si>
  <si>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</si>
  <si>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</si>
  <si>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</si>
  <si>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</si>
  <si>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</si>
  <si>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</si>
  <si>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</si>
  <si>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</si>
  <si>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</si>
  <si>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</si>
  <si>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</si>
  <si>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</si>
  <si>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</si>
  <si>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</si>
  <si>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</si>
  <si>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</si>
  <si>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</si>
  <si>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</si>
  <si>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</si>
  <si>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</si>
  <si>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</si>
  <si>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</si>
  <si>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</si>
  <si>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</si>
  <si>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</si>
  <si>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</si>
  <si>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</si>
  <si>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</si>
  <si>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</si>
  <si>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</si>
  <si>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</si>
  <si>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</si>
  <si>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</si>
  <si>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</si>
  <si>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</si>
  <si>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</si>
  <si>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</si>
  <si>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</si>
  <si>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</si>
  <si>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</si>
  <si>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</si>
  <si>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</si>
  <si>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</si>
  <si>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</si>
  <si>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</si>
  <si>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</si>
  <si>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</si>
  <si>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</si>
  <si>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</si>
  <si>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</si>
  <si>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</si>
  <si>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</si>
  <si>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</si>
  <si>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</si>
  <si>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</si>
  <si>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</si>
  <si>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</si>
  <si>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</si>
  <si>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</si>
  <si>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</si>
  <si>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</si>
  <si>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</si>
  <si>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</si>
  <si>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</si>
  <si>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</si>
  <si>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</si>
  <si>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</si>
  <si>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</si>
  <si>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</si>
  <si>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</si>
  <si>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</si>
  <si>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</si>
  <si>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</si>
  <si>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</si>
  <si>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</si>
  <si>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</si>
  <si>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</si>
  <si>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</si>
  <si>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</si>
  <si>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</si>
  <si>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</si>
  <si>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</si>
  <si>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</si>
  <si>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</si>
  <si>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</si>
  <si>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</si>
  <si>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</si>
  <si>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</si>
  <si>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</si>
  <si>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</si>
  <si>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</si>
  <si>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</si>
  <si>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</si>
  <si>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</si>
  <si>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</si>
  <si>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</si>
  <si>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</si>
  <si>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</si>
  <si>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</si>
  <si>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</si>
  <si>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</si>
  <si>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</si>
  <si>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</si>
  <si>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</si>
  <si>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</si>
  <si>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</si>
  <si>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</si>
  <si>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</si>
  <si>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</si>
  <si>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</si>
  <si>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</si>
  <si>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</si>
  <si>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</si>
  <si>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</si>
  <si>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</si>
  <si>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</si>
  <si>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</si>
  <si>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</si>
  <si>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</si>
  <si>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</si>
  <si>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</si>
  <si>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</si>
  <si>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</si>
  <si>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</si>
  <si>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</si>
  <si>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</si>
  <si>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</si>
  <si>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</si>
  <si>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</si>
  <si>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</si>
  <si>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</si>
  <si>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</si>
  <si>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</si>
  <si>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</si>
  <si>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</si>
  <si>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</si>
  <si>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</si>
  <si>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</si>
  <si>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</si>
  <si>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</si>
  <si>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</si>
  <si>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</si>
  <si>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</si>
  <si>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5% every year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</si>
  <si>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</si>
  <si>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</si>
  <si>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</si>
  <si>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</si>
  <si>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</si>
  <si>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</si>
  <si>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</si>
  <si>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</si>
  <si>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</si>
  <si>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15% after every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</si>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</sst>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82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167" fontId="103" fillId="0" borderId="53" xfId="21" applyNumberFormat="1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/>
    </xf>
    <xf numFmtId="167" fontId="103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0" fontId="102" fillId="13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645" t="s">
        <v>299</v>
      </c>
      <c r="B1" s="400" t="s">
        <v>295</v>
      </c>
      <c r="C1" s="400" t="s">
        <v>296</v>
      </c>
      <c r="D1" s="400" t="s">
        <v>297</v>
      </c>
      <c r="E1" s="400" t="s">
        <v>316</v>
      </c>
      <c r="F1" s="401" t="s">
        <v>298</v>
      </c>
    </row>
    <row r="2" spans="1:8">
      <c r="A2" s="645"/>
      <c r="B2" s="403" t="s">
        <v>238</v>
      </c>
      <c r="C2" s="403" t="s">
        <v>239</v>
      </c>
      <c r="D2" s="403" t="s">
        <v>240</v>
      </c>
      <c r="E2" s="403" t="s">
        <v>241</v>
      </c>
      <c r="F2" s="404" t="s">
        <v>242</v>
      </c>
    </row>
    <row r="3" spans="1:8">
      <c r="A3" s="405" t="s">
        <v>300</v>
      </c>
      <c r="B3" s="406">
        <f>'Rent Calculation'!$G$107*'Rent Calculation'!$G$21*9</f>
        <v>15297271.840171212</v>
      </c>
      <c r="C3" s="406">
        <f>'Rent Calculation'!$G$107*'Rent Calculation'!$G$21*12</f>
        <v>20396362.453561615</v>
      </c>
      <c r="D3" s="406">
        <f>'Rent Calculation'!$G$107*'Rent Calculation'!$G$21*12</f>
        <v>20396362.453561615</v>
      </c>
      <c r="E3" s="406">
        <f>'Rent Calculation'!$G$107*'Rent Calculation'!$G$21*1</f>
        <v>1699696.8711301347</v>
      </c>
      <c r="F3" s="406">
        <f>SUM(B3:E3)</f>
        <v>57789693.618424572</v>
      </c>
    </row>
    <row r="4" spans="1:8">
      <c r="A4" s="405" t="s">
        <v>301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302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303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304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305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306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307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308</v>
      </c>
      <c r="B11" s="409">
        <f>'Rent Calculation'!G102*'Rent Calculation'!G21+'Rent Calculation'!F83</f>
        <v>522664.90329219931</v>
      </c>
      <c r="C11" s="408">
        <v>0</v>
      </c>
      <c r="D11" s="408">
        <v>0</v>
      </c>
      <c r="E11" s="408">
        <f>-'Rent Calculation'!G102*'Rent Calculation'!G21</f>
        <v>-10915.819444444445</v>
      </c>
      <c r="F11" s="408">
        <f t="shared" si="2"/>
        <v>511749.08384775487</v>
      </c>
    </row>
    <row r="12" spans="1:8">
      <c r="A12" s="410" t="s">
        <v>309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310</v>
      </c>
      <c r="B14" s="408">
        <f>'Rent Calculation'!$G$108*'Rent Calculation'!$G$21*6</f>
        <v>7785259.3611111129</v>
      </c>
      <c r="C14" s="408">
        <f>'Rent Calculation'!$G$108*'Rent Calculation'!$G$21*12</f>
        <v>15570518.722222226</v>
      </c>
      <c r="D14" s="408">
        <f>'Rent Calculation'!$G$108*'Rent Calculation'!$G$21*12</f>
        <v>15570518.722222226</v>
      </c>
      <c r="E14" s="408">
        <f>'Rent Calculation'!$G$108*'Rent Calculation'!$G$21*1</f>
        <v>1297543.2268518521</v>
      </c>
      <c r="F14" s="408">
        <f t="shared" si="2"/>
        <v>40223840.032407418</v>
      </c>
    </row>
    <row r="15" spans="1:8">
      <c r="A15" s="399" t="s">
        <v>311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312</v>
      </c>
      <c r="B16" s="404">
        <f>B14-B15</f>
        <v>7785259.3611111129</v>
      </c>
      <c r="C16" s="404">
        <f t="shared" ref="C16:D16" si="5">C14-C15</f>
        <v>15570518.722222226</v>
      </c>
      <c r="D16" s="404">
        <f t="shared" si="5"/>
        <v>15570518.722222226</v>
      </c>
      <c r="E16" s="404">
        <f t="shared" ref="E16" si="6">E14-E15</f>
        <v>1297543.2268518521</v>
      </c>
      <c r="F16" s="404">
        <f t="shared" si="2"/>
        <v>40223840.032407418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313</v>
      </c>
      <c r="B18" s="408">
        <f>B3+B14</f>
        <v>23082531.201282326</v>
      </c>
      <c r="C18" s="408">
        <f t="shared" ref="C18:D18" si="7">C3+C14</f>
        <v>35966881.175783843</v>
      </c>
      <c r="D18" s="408">
        <f t="shared" si="7"/>
        <v>35966881.175783843</v>
      </c>
      <c r="E18" s="408">
        <f t="shared" ref="E18" si="8">E3+E14</f>
        <v>2997240.0979819866</v>
      </c>
      <c r="F18" s="408">
        <f t="shared" si="2"/>
        <v>98013533.650831997</v>
      </c>
    </row>
    <row r="19" spans="1:6">
      <c r="A19" s="399" t="s">
        <v>314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315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workbookViewId="0">
      <selection activeCell="B7" sqref="B7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8" t="s">
        <v>480</v>
      </c>
      <c r="C1" s="568" t="s">
        <v>481</v>
      </c>
    </row>
    <row r="2" spans="1:3">
      <c r="A2" s="540" t="s">
        <v>478</v>
      </c>
      <c r="B2" s="540" t="s">
        <v>473</v>
      </c>
      <c r="C2" s="540"/>
    </row>
    <row r="3" spans="1:3">
      <c r="A3" s="540" t="s">
        <v>479</v>
      </c>
      <c r="B3" s="540">
        <v>9515</v>
      </c>
      <c r="C3" s="540">
        <f>B3/10.764</f>
        <v>883.96506874767749</v>
      </c>
    </row>
    <row r="4" spans="1:3">
      <c r="A4" s="540" t="s">
        <v>482</v>
      </c>
      <c r="B4" s="569">
        <v>46113</v>
      </c>
      <c r="C4" s="540"/>
    </row>
    <row r="5" spans="1:3">
      <c r="A5" s="540" t="s">
        <v>483</v>
      </c>
      <c r="B5" s="569">
        <v>47938</v>
      </c>
      <c r="C5" s="540"/>
    </row>
    <row r="6" spans="1:3">
      <c r="A6" s="540" t="s">
        <v>484</v>
      </c>
      <c r="B6" s="540">
        <f>(B5-B4)/365</f>
        <v>5</v>
      </c>
      <c r="C6" s="540"/>
    </row>
    <row r="7" spans="1:3">
      <c r="A7" s="540" t="s">
        <v>485</v>
      </c>
      <c r="B7" s="540">
        <v>120</v>
      </c>
      <c r="C7" s="540"/>
    </row>
    <row r="8" spans="1:3">
      <c r="A8" s="540" t="s">
        <v>486</v>
      </c>
      <c r="B8" s="540">
        <v>15.48</v>
      </c>
      <c r="C8" s="540"/>
    </row>
    <row r="9" spans="1:3">
      <c r="A9" s="540" t="s">
        <v>36</v>
      </c>
      <c r="B9" s="584">
        <v>11418000</v>
      </c>
      <c r="C9" s="540"/>
    </row>
    <row r="10" spans="1:3">
      <c r="A10" s="540" t="s">
        <v>40</v>
      </c>
      <c r="B10" s="585">
        <v>43000000</v>
      </c>
      <c r="C10" s="540"/>
    </row>
    <row r="11" spans="1:3">
      <c r="A11" s="540" t="s">
        <v>487</v>
      </c>
      <c r="B11" s="585">
        <v>2500000</v>
      </c>
      <c r="C11" s="540"/>
    </row>
    <row r="12" spans="1:3">
      <c r="A12" s="540" t="s">
        <v>488</v>
      </c>
      <c r="B12" s="581">
        <v>0.105</v>
      </c>
      <c r="C12" s="540"/>
    </row>
    <row r="13" spans="1:3">
      <c r="A13" s="540" t="s">
        <v>489</v>
      </c>
      <c r="B13" s="581">
        <v>7.1099999999999997E-2</v>
      </c>
      <c r="C13" s="540"/>
    </row>
    <row r="14" spans="1:3">
      <c r="A14" s="540" t="s">
        <v>490</v>
      </c>
      <c r="B14" s="583" t="s">
        <v>491</v>
      </c>
      <c r="C14" s="583"/>
    </row>
    <row r="15" spans="1:3">
      <c r="A15" s="578" t="s">
        <v>492</v>
      </c>
      <c r="B15" s="540" t="s">
        <v>493</v>
      </c>
      <c r="C15" s="582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opLeftCell="A17" zoomScale="88" zoomScaleNormal="88" workbookViewId="0">
      <selection activeCell="F29" sqref="F29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685"/>
      <c r="C1" s="686"/>
      <c r="D1" s="686"/>
      <c r="E1" s="686"/>
      <c r="F1" s="686"/>
      <c r="G1" s="686"/>
      <c r="H1" s="686"/>
      <c r="I1" s="686"/>
      <c r="J1" s="687"/>
    </row>
    <row r="2" spans="1:10" ht="14.25" customHeight="1">
      <c r="A2" s="51"/>
      <c r="B2" s="688"/>
      <c r="C2" s="689"/>
      <c r="D2" s="689"/>
      <c r="E2" s="689"/>
      <c r="F2" s="689"/>
      <c r="G2" s="689"/>
      <c r="H2" s="689"/>
      <c r="I2" s="689"/>
      <c r="J2" s="690"/>
    </row>
    <row r="3" spans="1:10" ht="15" customHeight="1" thickBot="1">
      <c r="A3" s="51"/>
      <c r="B3" s="691"/>
      <c r="C3" s="692"/>
      <c r="D3" s="692"/>
      <c r="E3" s="692"/>
      <c r="F3" s="692"/>
      <c r="G3" s="692"/>
      <c r="H3" s="692"/>
      <c r="I3" s="689"/>
      <c r="J3" s="690"/>
    </row>
    <row r="4" spans="1:10" ht="13">
      <c r="A4" s="51"/>
      <c r="B4" s="710"/>
      <c r="C4" s="711"/>
      <c r="D4" s="711"/>
      <c r="E4" s="711"/>
      <c r="F4" s="711"/>
      <c r="G4" s="711"/>
      <c r="H4" s="415"/>
      <c r="I4" s="416"/>
      <c r="J4" s="417"/>
    </row>
    <row r="5" spans="1:10" ht="16">
      <c r="A5" s="51"/>
      <c r="B5" s="712" t="s">
        <v>70</v>
      </c>
      <c r="C5" s="713"/>
      <c r="D5" s="713"/>
      <c r="E5" s="713"/>
      <c r="F5" s="713"/>
      <c r="G5" s="714"/>
      <c r="H5" s="418"/>
      <c r="I5" s="546" t="s">
        <v>16</v>
      </c>
      <c r="J5" s="572">
        <v>105.02</v>
      </c>
    </row>
    <row r="6" spans="1:10" ht="13.5" thickBot="1">
      <c r="A6" s="51"/>
      <c r="B6" s="715"/>
      <c r="C6" s="716"/>
      <c r="D6" s="717"/>
      <c r="E6" s="52"/>
      <c r="F6" s="708">
        <v>10.763999999999999</v>
      </c>
      <c r="G6" s="709"/>
      <c r="H6" s="419"/>
      <c r="I6" s="699">
        <v>10.763999999999999</v>
      </c>
      <c r="J6" s="700"/>
    </row>
    <row r="7" spans="1:10" ht="26">
      <c r="A7" s="51"/>
      <c r="B7" s="547" t="s">
        <v>71</v>
      </c>
      <c r="C7" s="718" t="s">
        <v>72</v>
      </c>
      <c r="D7" s="719"/>
      <c r="E7" s="548"/>
      <c r="F7" s="548" t="s">
        <v>477</v>
      </c>
      <c r="G7" s="548" t="str">
        <f>+F7</f>
        <v>As on
 01/01/2026</v>
      </c>
      <c r="H7" s="415"/>
      <c r="I7" s="547" t="str">
        <f>F7</f>
        <v>As on
 01/01/2026</v>
      </c>
      <c r="J7" s="549" t="str">
        <f>I7</f>
        <v>As on
 01/01/2026</v>
      </c>
    </row>
    <row r="8" spans="1:10" ht="13">
      <c r="A8" s="51"/>
      <c r="B8" s="550"/>
      <c r="C8" s="551"/>
      <c r="D8" s="552"/>
      <c r="E8" s="553"/>
      <c r="F8" s="646" t="s">
        <v>73</v>
      </c>
      <c r="G8" s="647"/>
      <c r="H8" s="418"/>
      <c r="I8" s="648" t="s">
        <v>67</v>
      </c>
      <c r="J8" s="649"/>
    </row>
    <row r="9" spans="1:10" ht="13">
      <c r="A9" s="51"/>
      <c r="B9" s="648" t="s">
        <v>74</v>
      </c>
      <c r="C9" s="647"/>
      <c r="D9" s="663"/>
      <c r="E9" s="554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5">
        <v>1</v>
      </c>
      <c r="C10" s="693" t="s">
        <v>77</v>
      </c>
      <c r="D10" s="694"/>
      <c r="E10" s="556"/>
      <c r="F10" s="705" t="s">
        <v>470</v>
      </c>
      <c r="G10" s="706"/>
      <c r="H10" s="418"/>
      <c r="I10" s="701" t="str">
        <f>+F10</f>
        <v>Chennai</v>
      </c>
      <c r="J10" s="702"/>
    </row>
    <row r="11" spans="1:10" ht="28.5" customHeight="1">
      <c r="A11" s="51"/>
      <c r="B11" s="162">
        <f>1+B10</f>
        <v>2</v>
      </c>
      <c r="C11" s="695" t="s">
        <v>78</v>
      </c>
      <c r="D11" s="696"/>
      <c r="E11" s="50"/>
      <c r="F11" s="705"/>
      <c r="G11" s="706"/>
      <c r="H11" s="418"/>
      <c r="I11" s="703">
        <f>+F11</f>
        <v>0</v>
      </c>
      <c r="J11" s="704"/>
    </row>
    <row r="12" spans="1:10" ht="27.75" customHeight="1">
      <c r="A12" s="51"/>
      <c r="B12" s="162">
        <f>1+B11</f>
        <v>3</v>
      </c>
      <c r="C12" s="656" t="s">
        <v>79</v>
      </c>
      <c r="D12" s="657"/>
      <c r="E12" s="557"/>
      <c r="F12" s="684"/>
      <c r="G12" s="679"/>
      <c r="H12" s="418"/>
      <c r="I12" s="680">
        <f>+F12</f>
        <v>0</v>
      </c>
      <c r="J12" s="681"/>
    </row>
    <row r="13" spans="1:10" ht="15.9" customHeight="1">
      <c r="A13" s="51"/>
      <c r="B13" s="162">
        <f t="shared" ref="B13:B31" si="0">1+B12</f>
        <v>4</v>
      </c>
      <c r="C13" s="656" t="s">
        <v>80</v>
      </c>
      <c r="D13" s="657"/>
      <c r="E13" s="50"/>
      <c r="F13" s="678"/>
      <c r="G13" s="679"/>
      <c r="H13" s="418"/>
      <c r="I13" s="680"/>
      <c r="J13" s="681"/>
    </row>
    <row r="14" spans="1:10" ht="48" customHeight="1">
      <c r="A14" s="51"/>
      <c r="B14" s="162">
        <f t="shared" si="0"/>
        <v>5</v>
      </c>
      <c r="C14" s="697" t="s">
        <v>81</v>
      </c>
      <c r="D14" s="698"/>
      <c r="E14" s="539"/>
      <c r="F14" s="684" t="s">
        <v>471</v>
      </c>
      <c r="G14" s="707"/>
      <c r="H14" s="418"/>
      <c r="I14" s="680" t="str">
        <f>+F14</f>
        <v>6th floor</v>
      </c>
      <c r="J14" s="681"/>
    </row>
    <row r="15" spans="1:10" ht="51.75" customHeight="1">
      <c r="A15" s="51"/>
      <c r="B15" s="162">
        <f t="shared" si="0"/>
        <v>6</v>
      </c>
      <c r="C15" s="656" t="s">
        <v>82</v>
      </c>
      <c r="D15" s="657"/>
      <c r="E15" s="58"/>
      <c r="F15" s="646"/>
      <c r="G15" s="647"/>
      <c r="H15" s="418"/>
      <c r="I15" s="648">
        <f>+F15</f>
        <v>0</v>
      </c>
      <c r="J15" s="649"/>
    </row>
    <row r="16" spans="1:10" ht="15.9" customHeight="1">
      <c r="A16" s="51"/>
      <c r="B16" s="162">
        <f t="shared" si="0"/>
        <v>7</v>
      </c>
      <c r="C16" s="656" t="s">
        <v>83</v>
      </c>
      <c r="D16" s="657"/>
      <c r="E16" s="58"/>
      <c r="F16" s="678"/>
      <c r="G16" s="679"/>
      <c r="H16" s="418"/>
      <c r="I16" s="680"/>
      <c r="J16" s="681"/>
    </row>
    <row r="17" spans="1:10" ht="15.9" customHeight="1">
      <c r="A17" s="51"/>
      <c r="B17" s="162">
        <f t="shared" si="0"/>
        <v>8</v>
      </c>
      <c r="C17" s="656" t="s">
        <v>84</v>
      </c>
      <c r="D17" s="657"/>
      <c r="E17" s="58"/>
      <c r="F17" s="684" t="s">
        <v>85</v>
      </c>
      <c r="G17" s="679"/>
      <c r="H17" s="418"/>
      <c r="I17" s="680" t="str">
        <f>+F17</f>
        <v>Warm Shell</v>
      </c>
      <c r="J17" s="681"/>
    </row>
    <row r="18" spans="1:10" ht="48" customHeight="1">
      <c r="A18" s="51"/>
      <c r="B18" s="162">
        <f t="shared" si="0"/>
        <v>9</v>
      </c>
      <c r="C18" s="656" t="s">
        <v>86</v>
      </c>
      <c r="D18" s="657"/>
      <c r="E18" s="163"/>
      <c r="F18" s="646">
        <f>F15</f>
        <v>0</v>
      </c>
      <c r="G18" s="647"/>
      <c r="H18" s="418"/>
      <c r="I18" s="648">
        <f>+F18</f>
        <v>0</v>
      </c>
      <c r="J18" s="649"/>
    </row>
    <row r="19" spans="1:10" ht="15.9" customHeight="1">
      <c r="A19" s="51"/>
      <c r="B19" s="162">
        <f t="shared" si="0"/>
        <v>10</v>
      </c>
      <c r="C19" s="656" t="s">
        <v>87</v>
      </c>
      <c r="D19" s="657"/>
      <c r="E19" s="163"/>
      <c r="F19" s="678"/>
      <c r="G19" s="679"/>
      <c r="H19" s="418"/>
      <c r="I19" s="680"/>
      <c r="J19" s="681"/>
    </row>
    <row r="20" spans="1:10" ht="15.9" customHeight="1">
      <c r="A20" s="51"/>
      <c r="B20" s="162">
        <f t="shared" si="0"/>
        <v>11</v>
      </c>
      <c r="C20" s="650" t="s">
        <v>88</v>
      </c>
      <c r="D20" s="657"/>
      <c r="E20" s="559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56" t="s">
        <v>89</v>
      </c>
      <c r="D21" s="657"/>
      <c r="E21" s="559"/>
      <c r="F21" s="56"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60"/>
      <c r="B22" s="162">
        <f t="shared" si="0"/>
        <v>13</v>
      </c>
      <c r="C22" s="650" t="s">
        <v>90</v>
      </c>
      <c r="D22" s="657"/>
      <c r="E22" s="559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56" t="s">
        <v>91</v>
      </c>
      <c r="D23" s="657"/>
      <c r="E23" s="559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61"/>
      <c r="B24" s="162">
        <f t="shared" si="0"/>
        <v>15</v>
      </c>
      <c r="C24" s="656" t="s">
        <v>92</v>
      </c>
      <c r="D24" s="657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61"/>
      <c r="B25" s="162">
        <f t="shared" si="0"/>
        <v>16</v>
      </c>
      <c r="C25" s="656" t="s">
        <v>93</v>
      </c>
      <c r="D25" s="657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 t="shared" si="0"/>
        <v>17</v>
      </c>
      <c r="C26" s="656" t="s">
        <v>94</v>
      </c>
      <c r="D26" s="657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 t="shared" si="0"/>
        <v>18</v>
      </c>
      <c r="C27" s="650" t="s">
        <v>95</v>
      </c>
      <c r="D27" s="657"/>
      <c r="E27" s="58"/>
      <c r="F27" s="293"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50" t="s">
        <v>96</v>
      </c>
      <c r="D28" s="657"/>
      <c r="E28" s="58"/>
      <c r="F28" s="293">
        <f>'CAPEX and PM'!E3</f>
        <v>72</v>
      </c>
      <c r="G28" s="293">
        <f>+F28</f>
        <v>72</v>
      </c>
      <c r="H28" s="418"/>
      <c r="I28" s="293">
        <f>+F28</f>
        <v>72</v>
      </c>
      <c r="J28" s="293">
        <f>+I28</f>
        <v>72</v>
      </c>
    </row>
    <row r="29" spans="1:10" ht="15.9" customHeight="1">
      <c r="A29" s="51"/>
      <c r="B29" s="162">
        <f t="shared" si="0"/>
        <v>20</v>
      </c>
      <c r="C29" s="650" t="s">
        <v>97</v>
      </c>
      <c r="D29" s="657"/>
      <c r="E29" s="64"/>
      <c r="F29" s="64">
        <v>0.105</v>
      </c>
      <c r="G29" s="200">
        <f>SUM(F29)</f>
        <v>0.105</v>
      </c>
      <c r="H29" s="418"/>
      <c r="I29" s="135">
        <f>+F29</f>
        <v>0.105</v>
      </c>
      <c r="J29" s="65">
        <f>SUM(I29)</f>
        <v>0.105</v>
      </c>
    </row>
    <row r="30" spans="1:10" ht="15.9" customHeight="1">
      <c r="A30" s="51"/>
      <c r="B30" s="162">
        <f t="shared" si="0"/>
        <v>21</v>
      </c>
      <c r="C30" s="650" t="s">
        <v>98</v>
      </c>
      <c r="D30" s="657"/>
      <c r="E30" s="64"/>
      <c r="F30" s="60">
        <v>7.1099999999999997E-2</v>
      </c>
      <c r="G30" s="201">
        <f>F30</f>
        <v>7.1099999999999997E-2</v>
      </c>
      <c r="H30" s="418"/>
      <c r="I30" s="184">
        <f>F30</f>
        <v>7.1099999999999997E-2</v>
      </c>
      <c r="J30" s="183">
        <f>I30</f>
        <v>7.1099999999999997E-2</v>
      </c>
    </row>
    <row r="31" spans="1:10" ht="15.9" customHeight="1">
      <c r="A31" s="51"/>
      <c r="B31" s="162">
        <f t="shared" si="0"/>
        <v>22</v>
      </c>
      <c r="C31" s="656" t="s">
        <v>99</v>
      </c>
      <c r="D31" s="657"/>
      <c r="E31" s="58"/>
      <c r="F31" s="56">
        <v>0</v>
      </c>
      <c r="G31" s="388">
        <f>F31</f>
        <v>0</v>
      </c>
      <c r="H31" s="418"/>
      <c r="I31" s="133">
        <f>+F31/J5</f>
        <v>0</v>
      </c>
      <c r="J31" s="57">
        <f>+G31/J5</f>
        <v>0</v>
      </c>
    </row>
    <row r="32" spans="1:10" ht="15.9" customHeight="1">
      <c r="A32" s="51"/>
      <c r="B32" s="675" t="s">
        <v>100</v>
      </c>
      <c r="C32" s="676"/>
      <c r="D32" s="677"/>
      <c r="E32" s="562"/>
      <c r="F32" s="376" t="s">
        <v>75</v>
      </c>
      <c r="G32" s="376" t="s">
        <v>76</v>
      </c>
      <c r="H32" s="418"/>
      <c r="I32" s="381" t="s">
        <v>75</v>
      </c>
      <c r="J32" s="248" t="s">
        <v>76</v>
      </c>
    </row>
    <row r="33" spans="1:10" ht="15.9" customHeight="1">
      <c r="A33" s="51"/>
      <c r="B33" s="162">
        <v>1</v>
      </c>
      <c r="C33" s="650" t="s">
        <v>101</v>
      </c>
      <c r="D33" s="657"/>
      <c r="E33" s="59"/>
      <c r="F33" s="56">
        <v>10</v>
      </c>
      <c r="G33" s="204">
        <f>+F33</f>
        <v>10</v>
      </c>
      <c r="H33" s="418"/>
      <c r="I33" s="138">
        <f>+F33/$J$5</f>
        <v>9.5219958103218441E-2</v>
      </c>
      <c r="J33" s="72">
        <f>+I33*$I$6</f>
        <v>1.0249476290230433</v>
      </c>
    </row>
    <row r="34" spans="1:10" ht="15.9" customHeight="1">
      <c r="A34" s="51"/>
      <c r="B34" s="162">
        <f>1+B33</f>
        <v>2</v>
      </c>
      <c r="C34" s="650" t="s">
        <v>102</v>
      </c>
      <c r="D34" s="657"/>
      <c r="E34" s="59"/>
      <c r="F34" s="56">
        <v>0</v>
      </c>
      <c r="G34" s="388">
        <f>+F34</f>
        <v>0</v>
      </c>
      <c r="H34" s="418"/>
      <c r="I34" s="133">
        <v>0</v>
      </c>
      <c r="J34" s="57">
        <f>+I34</f>
        <v>0</v>
      </c>
    </row>
    <row r="35" spans="1:10" ht="15.9" customHeight="1">
      <c r="A35" s="51"/>
      <c r="B35" s="162">
        <f t="shared" ref="B35:B48" si="1">1+B34</f>
        <v>3</v>
      </c>
      <c r="C35" s="650" t="s">
        <v>103</v>
      </c>
      <c r="D35" s="657"/>
      <c r="E35" s="59"/>
      <c r="F35" s="56">
        <v>0</v>
      </c>
      <c r="G35" s="388">
        <f>F35</f>
        <v>0</v>
      </c>
      <c r="H35" s="418"/>
      <c r="I35" s="133">
        <f>F35/J5</f>
        <v>0</v>
      </c>
      <c r="J35" s="57">
        <f>I35</f>
        <v>0</v>
      </c>
    </row>
    <row r="36" spans="1:10" ht="15.9" customHeight="1">
      <c r="A36" s="51"/>
      <c r="B36" s="162">
        <f t="shared" si="1"/>
        <v>4</v>
      </c>
      <c r="C36" s="656" t="s">
        <v>104</v>
      </c>
      <c r="D36" s="657"/>
      <c r="E36" s="563"/>
      <c r="F36" s="68">
        <v>0</v>
      </c>
      <c r="G36" s="203">
        <v>0</v>
      </c>
      <c r="H36" s="418"/>
      <c r="I36" s="137">
        <v>0</v>
      </c>
      <c r="J36" s="69">
        <v>0</v>
      </c>
    </row>
    <row r="37" spans="1:10" ht="15.9" customHeight="1">
      <c r="A37" s="51"/>
      <c r="B37" s="162">
        <f t="shared" si="1"/>
        <v>5</v>
      </c>
      <c r="C37" s="650" t="s">
        <v>105</v>
      </c>
      <c r="D37" s="657"/>
      <c r="E37" s="563"/>
      <c r="F37" s="70">
        <f>'Lease Rent'!H37</f>
        <v>120</v>
      </c>
      <c r="G37" s="388">
        <f>+F37*F6</f>
        <v>1291.6799999999998</v>
      </c>
      <c r="H37" s="418"/>
      <c r="I37" s="138">
        <f>+F37/$J$5</f>
        <v>1.1426394972386213</v>
      </c>
      <c r="J37" s="57">
        <f>+I37*$I$6</f>
        <v>12.29937154827652</v>
      </c>
    </row>
    <row r="38" spans="1:10" ht="15.9" customHeight="1">
      <c r="A38" s="51"/>
      <c r="B38" s="162">
        <f t="shared" si="1"/>
        <v>6</v>
      </c>
      <c r="C38" s="650" t="s">
        <v>106</v>
      </c>
      <c r="D38" s="657"/>
      <c r="E38" s="563"/>
      <c r="F38" s="70"/>
      <c r="G38" s="204">
        <f>F38*F3</f>
        <v>0</v>
      </c>
      <c r="H38" s="418"/>
      <c r="I38" s="138"/>
      <c r="J38" s="57"/>
    </row>
    <row r="39" spans="1:10" ht="15.9" customHeight="1">
      <c r="A39" s="51"/>
      <c r="B39" s="162">
        <f t="shared" si="1"/>
        <v>7</v>
      </c>
      <c r="C39" s="650" t="s">
        <v>107</v>
      </c>
      <c r="D39" s="657"/>
      <c r="E39" s="71"/>
      <c r="F39" s="70">
        <f>'Lease Rent'!J31</f>
        <v>15.48</v>
      </c>
      <c r="G39" s="204">
        <f>F39*F6</f>
        <v>166.62672000000001</v>
      </c>
      <c r="H39" s="418"/>
      <c r="I39" s="138">
        <f>+F39/$J$5</f>
        <v>0.14740049514378215</v>
      </c>
      <c r="J39" s="67">
        <f>+I39*$I$6</f>
        <v>1.5866189297276709</v>
      </c>
    </row>
    <row r="40" spans="1:10" ht="15.9" customHeight="1">
      <c r="A40" s="51"/>
      <c r="B40" s="162">
        <f t="shared" si="1"/>
        <v>8</v>
      </c>
      <c r="C40" s="650" t="s">
        <v>108</v>
      </c>
      <c r="D40" s="657"/>
      <c r="E40" s="563"/>
      <c r="F40" s="70">
        <f>F37</f>
        <v>120</v>
      </c>
      <c r="G40" s="388">
        <f>F40*F6</f>
        <v>1291.6799999999998</v>
      </c>
      <c r="H40" s="418"/>
      <c r="I40" s="138">
        <f>+F40/$J$5</f>
        <v>1.1426394972386213</v>
      </c>
      <c r="J40" s="57">
        <f>+I40*$I$6</f>
        <v>12.29937154827652</v>
      </c>
    </row>
    <row r="41" spans="1:10" ht="15.9" customHeight="1">
      <c r="A41" s="51"/>
      <c r="B41" s="162">
        <f t="shared" si="1"/>
        <v>9</v>
      </c>
      <c r="C41" s="650" t="s">
        <v>109</v>
      </c>
      <c r="D41" s="657"/>
      <c r="E41" s="563"/>
      <c r="F41" s="70">
        <v>0</v>
      </c>
      <c r="G41" s="204">
        <f>F41*F6</f>
        <v>0</v>
      </c>
      <c r="H41" s="418"/>
      <c r="I41" s="138">
        <f>+F41/$J$5</f>
        <v>0</v>
      </c>
      <c r="J41" s="57">
        <f>+I41*$I$6</f>
        <v>0</v>
      </c>
    </row>
    <row r="42" spans="1:10" ht="15.9" customHeight="1">
      <c r="A42" s="51"/>
      <c r="B42" s="162">
        <f t="shared" si="1"/>
        <v>10</v>
      </c>
      <c r="C42" s="650" t="s">
        <v>110</v>
      </c>
      <c r="D42" s="657"/>
      <c r="E42" s="58"/>
      <c r="F42" s="114">
        <f>F39</f>
        <v>15.48</v>
      </c>
      <c r="G42" s="204">
        <f>F42*F6</f>
        <v>166.62672000000001</v>
      </c>
      <c r="H42" s="418"/>
      <c r="I42" s="138">
        <f>+F42/$J$5</f>
        <v>0.14740049514378215</v>
      </c>
      <c r="J42" s="72">
        <f>I42*I6</f>
        <v>1.5866189297276709</v>
      </c>
    </row>
    <row r="43" spans="1:10" ht="15.9" customHeight="1">
      <c r="A43" s="51"/>
      <c r="B43" s="162">
        <f t="shared" si="1"/>
        <v>11</v>
      </c>
      <c r="C43" s="656" t="s">
        <v>111</v>
      </c>
      <c r="D43" s="657"/>
      <c r="E43" s="59"/>
      <c r="F43" s="109">
        <v>0</v>
      </c>
      <c r="G43" s="388">
        <f>+F43</f>
        <v>0</v>
      </c>
      <c r="H43" s="418"/>
      <c r="I43" s="144">
        <f>+F43</f>
        <v>0</v>
      </c>
      <c r="J43" s="57">
        <f>+I43</f>
        <v>0</v>
      </c>
    </row>
    <row r="44" spans="1:10" ht="15.9" customHeight="1">
      <c r="A44" s="51"/>
      <c r="B44" s="162">
        <f t="shared" si="1"/>
        <v>12</v>
      </c>
      <c r="C44" s="656" t="s">
        <v>112</v>
      </c>
      <c r="D44" s="657"/>
      <c r="E44" s="73"/>
      <c r="F44" s="68">
        <v>0</v>
      </c>
      <c r="G44" s="203">
        <f>F44</f>
        <v>0</v>
      </c>
      <c r="H44" s="418"/>
      <c r="I44" s="137">
        <f>+F44</f>
        <v>0</v>
      </c>
      <c r="J44" s="69">
        <f>I44</f>
        <v>0</v>
      </c>
    </row>
    <row r="45" spans="1:10" ht="15.9" customHeight="1">
      <c r="A45" s="561"/>
      <c r="B45" s="162">
        <f t="shared" si="1"/>
        <v>13</v>
      </c>
      <c r="C45" s="656" t="s">
        <v>113</v>
      </c>
      <c r="D45" s="657"/>
      <c r="E45" s="59"/>
      <c r="F45" s="56">
        <f>'Lease Rent'!C22</f>
        <v>0</v>
      </c>
      <c r="G45" s="388">
        <f>F45</f>
        <v>0</v>
      </c>
      <c r="H45" s="418"/>
      <c r="I45" s="138">
        <f>+F45/$J$5</f>
        <v>0</v>
      </c>
      <c r="J45" s="69">
        <f>I45</f>
        <v>0</v>
      </c>
    </row>
    <row r="46" spans="1:10" ht="15.9" customHeight="1">
      <c r="A46" s="561"/>
      <c r="B46" s="162">
        <f t="shared" si="1"/>
        <v>14</v>
      </c>
      <c r="C46" s="650" t="s">
        <v>114</v>
      </c>
      <c r="D46" s="657"/>
      <c r="E46" s="59"/>
      <c r="F46" s="109">
        <v>0</v>
      </c>
      <c r="G46" s="388">
        <f>+F46</f>
        <v>0</v>
      </c>
      <c r="H46" s="418"/>
      <c r="I46" s="133"/>
      <c r="J46" s="57">
        <f>+I46</f>
        <v>0</v>
      </c>
    </row>
    <row r="47" spans="1:10" ht="15.9" customHeight="1">
      <c r="A47" s="561"/>
      <c r="B47" s="162">
        <f t="shared" si="1"/>
        <v>15</v>
      </c>
      <c r="C47" s="656" t="s">
        <v>112</v>
      </c>
      <c r="D47" s="657"/>
      <c r="E47" s="59"/>
      <c r="F47" s="56">
        <f>'Lease Rent'!D23</f>
        <v>0</v>
      </c>
      <c r="G47" s="388"/>
      <c r="H47" s="418"/>
      <c r="I47" s="133"/>
      <c r="J47" s="57"/>
    </row>
    <row r="48" spans="1:10" ht="15.9" customHeight="1">
      <c r="A48" s="561"/>
      <c r="B48" s="162">
        <f t="shared" si="1"/>
        <v>16</v>
      </c>
      <c r="C48" s="656" t="s">
        <v>113</v>
      </c>
      <c r="D48" s="657"/>
      <c r="E48" s="59"/>
      <c r="F48" s="56">
        <f>'Lease Rent'!C23</f>
        <v>0</v>
      </c>
      <c r="G48" s="388"/>
      <c r="H48" s="418"/>
      <c r="I48" s="133"/>
      <c r="J48" s="57"/>
    </row>
    <row r="49" spans="1:18" ht="28.5" customHeight="1">
      <c r="A49" s="51"/>
      <c r="B49" s="722">
        <f>1+B48</f>
        <v>17</v>
      </c>
      <c r="C49" s="650" t="s">
        <v>115</v>
      </c>
      <c r="D49" s="657"/>
      <c r="E49" s="73"/>
      <c r="F49" s="666" t="s">
        <v>341</v>
      </c>
      <c r="G49" s="667"/>
      <c r="H49" s="418"/>
      <c r="I49" s="680" t="str">
        <f>+F49</f>
        <v>15% after every 3 years</v>
      </c>
      <c r="J49" s="681"/>
    </row>
    <row r="50" spans="1:18" ht="15.9" customHeight="1">
      <c r="A50" s="51"/>
      <c r="B50" s="723"/>
      <c r="C50" s="650" t="s">
        <v>116</v>
      </c>
      <c r="D50" s="657"/>
      <c r="E50" s="73"/>
      <c r="F50" s="666" t="s">
        <v>331</v>
      </c>
      <c r="G50" s="667"/>
      <c r="H50" s="418"/>
      <c r="I50" s="682" t="str">
        <f t="shared" ref="I50:I57" si="2">F50</f>
        <v>5% every year</v>
      </c>
      <c r="J50" s="683"/>
    </row>
    <row r="51" spans="1:18" ht="15.9" customHeight="1">
      <c r="A51" s="51"/>
      <c r="B51" s="162">
        <f>1+B49</f>
        <v>18</v>
      </c>
      <c r="C51" s="656" t="s">
        <v>117</v>
      </c>
      <c r="D51" s="657"/>
      <c r="E51" s="73"/>
      <c r="F51" s="664">
        <f>'Lease Rent'!B31</f>
        <v>46023</v>
      </c>
      <c r="G51" s="665"/>
      <c r="H51" s="418"/>
      <c r="I51" s="673">
        <f t="shared" si="2"/>
        <v>46023</v>
      </c>
      <c r="J51" s="674"/>
    </row>
    <row r="52" spans="1:18" ht="15.9" customHeight="1">
      <c r="A52" s="51"/>
      <c r="B52" s="162">
        <f t="shared" ref="B52:B58" si="3">1+B51</f>
        <v>19</v>
      </c>
      <c r="C52" s="650" t="s">
        <v>118</v>
      </c>
      <c r="D52" s="657"/>
      <c r="E52" s="73"/>
      <c r="F52" s="664">
        <f>'Lease Rent'!C102</f>
        <v>48213</v>
      </c>
      <c r="G52" s="665"/>
      <c r="H52" s="418"/>
      <c r="I52" s="673">
        <f>F52</f>
        <v>48213</v>
      </c>
      <c r="J52" s="674"/>
    </row>
    <row r="53" spans="1:18" ht="15.9" customHeight="1">
      <c r="A53" s="51"/>
      <c r="B53" s="162">
        <f t="shared" si="3"/>
        <v>20</v>
      </c>
      <c r="C53" s="650" t="s">
        <v>119</v>
      </c>
      <c r="D53" s="651"/>
      <c r="E53" s="73"/>
      <c r="F53" s="664">
        <f>F51</f>
        <v>46023</v>
      </c>
      <c r="G53" s="665"/>
      <c r="H53" s="418"/>
      <c r="I53" s="673">
        <f t="shared" si="2"/>
        <v>46023</v>
      </c>
      <c r="J53" s="674"/>
    </row>
    <row r="54" spans="1:18" ht="15.9" customHeight="1">
      <c r="A54" s="51"/>
      <c r="B54" s="162">
        <f t="shared" si="3"/>
        <v>21</v>
      </c>
      <c r="C54" s="650" t="s">
        <v>120</v>
      </c>
      <c r="D54" s="651"/>
      <c r="E54" s="73"/>
      <c r="F54" s="646">
        <v>0</v>
      </c>
      <c r="G54" s="647"/>
      <c r="H54" s="418"/>
      <c r="I54" s="648">
        <f>+F54</f>
        <v>0</v>
      </c>
      <c r="J54" s="649"/>
    </row>
    <row r="55" spans="1:18" ht="15.9" customHeight="1">
      <c r="A55" s="51"/>
      <c r="B55" s="162">
        <f t="shared" si="3"/>
        <v>22</v>
      </c>
      <c r="C55" s="656" t="s">
        <v>121</v>
      </c>
      <c r="D55" s="657"/>
      <c r="E55" s="58"/>
      <c r="F55" s="56">
        <f>(F52-F51)/365*12</f>
        <v>72</v>
      </c>
      <c r="G55" s="388">
        <f>F55</f>
        <v>72</v>
      </c>
      <c r="H55" s="418"/>
      <c r="I55" s="133">
        <f t="shared" si="2"/>
        <v>72</v>
      </c>
      <c r="J55" s="57">
        <f>I55</f>
        <v>72</v>
      </c>
      <c r="R55" s="612"/>
    </row>
    <row r="56" spans="1:18" ht="15.9" customHeight="1">
      <c r="A56" s="51"/>
      <c r="B56" s="162">
        <f t="shared" si="3"/>
        <v>23</v>
      </c>
      <c r="C56" s="656" t="s">
        <v>122</v>
      </c>
      <c r="D56" s="657"/>
      <c r="E56" s="71"/>
      <c r="F56" s="56">
        <v>0</v>
      </c>
      <c r="G56" s="388">
        <f>F56</f>
        <v>0</v>
      </c>
      <c r="H56" s="418"/>
      <c r="I56" s="133">
        <f t="shared" si="2"/>
        <v>0</v>
      </c>
      <c r="J56" s="57">
        <f>I56</f>
        <v>0</v>
      </c>
      <c r="R56" s="612"/>
    </row>
    <row r="57" spans="1:18" ht="15.9" customHeight="1">
      <c r="A57" s="51"/>
      <c r="B57" s="162">
        <f t="shared" si="3"/>
        <v>24</v>
      </c>
      <c r="C57" s="656" t="s">
        <v>123</v>
      </c>
      <c r="D57" s="657"/>
      <c r="E57" s="71"/>
      <c r="F57" s="302" t="s">
        <v>68</v>
      </c>
      <c r="G57" s="388" t="str">
        <f>+F57</f>
        <v xml:space="preserve"> </v>
      </c>
      <c r="H57" s="418"/>
      <c r="I57" s="133" t="str">
        <f t="shared" si="2"/>
        <v xml:space="preserve"> </v>
      </c>
      <c r="J57" s="57" t="str">
        <f>+I57</f>
        <v xml:space="preserve"> </v>
      </c>
      <c r="R57" s="612"/>
    </row>
    <row r="58" spans="1:18" ht="15.9" customHeight="1">
      <c r="A58" s="51"/>
      <c r="B58" s="162">
        <f t="shared" si="3"/>
        <v>25</v>
      </c>
      <c r="C58" s="656" t="s">
        <v>124</v>
      </c>
      <c r="D58" s="657"/>
      <c r="E58" s="71"/>
      <c r="F58" s="56"/>
      <c r="G58" s="388"/>
      <c r="H58" s="418"/>
      <c r="I58" s="133"/>
      <c r="J58" s="57"/>
      <c r="R58" s="612"/>
    </row>
    <row r="59" spans="1:18" ht="15.9" customHeight="1">
      <c r="A59" s="51"/>
      <c r="B59" s="381"/>
      <c r="C59" s="74"/>
      <c r="D59" s="74"/>
      <c r="E59" s="58"/>
      <c r="F59" s="646" t="s">
        <v>73</v>
      </c>
      <c r="G59" s="647"/>
      <c r="H59" s="418"/>
      <c r="I59" s="648" t="s">
        <v>67</v>
      </c>
      <c r="J59" s="649"/>
    </row>
    <row r="60" spans="1:18" ht="15.9" customHeight="1">
      <c r="A60" s="51"/>
      <c r="B60" s="720" t="s">
        <v>125</v>
      </c>
      <c r="C60" s="721"/>
      <c r="D60" s="721"/>
      <c r="E60" s="562"/>
      <c r="F60" s="376" t="s">
        <v>75</v>
      </c>
      <c r="G60" s="376" t="s">
        <v>76</v>
      </c>
      <c r="H60" s="418"/>
      <c r="I60" s="381" t="s">
        <v>75</v>
      </c>
      <c r="J60" s="248" t="s">
        <v>76</v>
      </c>
    </row>
    <row r="61" spans="1:18" ht="15.9" customHeight="1">
      <c r="A61" s="560"/>
      <c r="B61" s="162">
        <v>1</v>
      </c>
      <c r="C61" s="650" t="s">
        <v>126</v>
      </c>
      <c r="D61" s="657"/>
      <c r="E61" s="564"/>
      <c r="F61" s="70">
        <f>C221/F21/F27</f>
        <v>129</v>
      </c>
      <c r="G61" s="388">
        <f>+F61*F6</f>
        <v>1388.5559999999998</v>
      </c>
      <c r="H61" s="418"/>
      <c r="I61" s="138">
        <f>+F61/$J$5</f>
        <v>1.228337459531518</v>
      </c>
      <c r="J61" s="57">
        <f>+I61*$I$6</f>
        <v>13.221824414397259</v>
      </c>
    </row>
    <row r="62" spans="1:18" ht="15.9" customHeight="1">
      <c r="A62" s="560"/>
      <c r="B62" s="162">
        <f>1+B61</f>
        <v>2</v>
      </c>
      <c r="C62" s="650" t="s">
        <v>127</v>
      </c>
      <c r="D62" s="657"/>
      <c r="E62" s="564"/>
      <c r="F62" s="70">
        <v>0</v>
      </c>
      <c r="G62" s="388">
        <v>0</v>
      </c>
      <c r="H62" s="418"/>
      <c r="I62" s="138">
        <f>+F62/$J$5</f>
        <v>0</v>
      </c>
      <c r="J62" s="57">
        <f>G62/J5</f>
        <v>0</v>
      </c>
    </row>
    <row r="63" spans="1:18" ht="15.9" customHeight="1">
      <c r="A63" s="565"/>
      <c r="B63" s="162">
        <f t="shared" ref="B63:B84" si="4">1+B62</f>
        <v>3</v>
      </c>
      <c r="C63" s="652" t="s">
        <v>128</v>
      </c>
      <c r="D63" s="653"/>
      <c r="E63" s="75"/>
      <c r="F63" s="76">
        <f>F61+F62</f>
        <v>129</v>
      </c>
      <c r="G63" s="206">
        <f>+G61+G62</f>
        <v>1388.5559999999998</v>
      </c>
      <c r="H63" s="418"/>
      <c r="I63" s="139">
        <f>I61+I62</f>
        <v>1.228337459531518</v>
      </c>
      <c r="J63" s="55">
        <f>+J61+J62</f>
        <v>13.221824414397259</v>
      </c>
    </row>
    <row r="64" spans="1:18" ht="15.9" customHeight="1">
      <c r="A64" s="77"/>
      <c r="B64" s="162">
        <f t="shared" si="4"/>
        <v>4</v>
      </c>
      <c r="C64" s="650" t="s">
        <v>495</v>
      </c>
      <c r="D64" s="657"/>
      <c r="E64" s="56"/>
      <c r="F64" s="54">
        <f>F63*F21</f>
        <v>1227435</v>
      </c>
      <c r="G64" s="385">
        <f>+F64</f>
        <v>1227435</v>
      </c>
      <c r="H64" s="418"/>
      <c r="I64" s="132">
        <f>+F64/$J$5</f>
        <v>11687.630927442393</v>
      </c>
      <c r="J64" s="55">
        <f>+I64</f>
        <v>11687.630927442393</v>
      </c>
    </row>
    <row r="65" spans="1:10" ht="15.9" customHeight="1">
      <c r="A65" s="77"/>
      <c r="B65" s="162">
        <f t="shared" si="4"/>
        <v>5</v>
      </c>
      <c r="C65" s="650" t="s">
        <v>129</v>
      </c>
      <c r="D65" s="657"/>
      <c r="E65" s="56"/>
      <c r="F65" s="70">
        <f>(I221/F21/F27)*(1+L1)</f>
        <v>17.548935056250006</v>
      </c>
      <c r="G65" s="388">
        <f>+F65*F6</f>
        <v>188.89673694547506</v>
      </c>
      <c r="H65" s="418"/>
      <c r="I65" s="138">
        <f>+F65/J5</f>
        <v>0.16710088608122267</v>
      </c>
      <c r="J65" s="72">
        <f>+I65*$I$6</f>
        <v>1.7986739377782808</v>
      </c>
    </row>
    <row r="66" spans="1:10" ht="15.9" customHeight="1">
      <c r="A66" s="566"/>
      <c r="B66" s="162">
        <f t="shared" si="4"/>
        <v>6</v>
      </c>
      <c r="C66" s="656" t="s">
        <v>496</v>
      </c>
      <c r="D66" s="657"/>
      <c r="E66" s="71"/>
      <c r="F66" s="54">
        <f>+F65*F21*(1+L1)</f>
        <v>166978.11706021879</v>
      </c>
      <c r="G66" s="54">
        <f>+G65*G21*1.01</f>
        <v>168647.89823082101</v>
      </c>
      <c r="H66" s="418"/>
      <c r="I66" s="132">
        <f>+F66/$J$5</f>
        <v>1589.9649310628338</v>
      </c>
      <c r="J66" s="55">
        <f>+I66</f>
        <v>1589.9649310628338</v>
      </c>
    </row>
    <row r="67" spans="1:10" ht="15.9" customHeight="1">
      <c r="A67" s="51"/>
      <c r="B67" s="162">
        <f t="shared" si="4"/>
        <v>7</v>
      </c>
      <c r="C67" s="656" t="s">
        <v>497</v>
      </c>
      <c r="D67" s="657"/>
      <c r="E67" s="59"/>
      <c r="F67" s="56">
        <f>(+G221/F27)*(1+L1)</f>
        <v>0</v>
      </c>
      <c r="G67" s="388">
        <f>+F67</f>
        <v>0</v>
      </c>
      <c r="H67" s="418"/>
      <c r="I67" s="133">
        <f t="shared" ref="I67:I83" si="5">+F67/$J$5</f>
        <v>0</v>
      </c>
      <c r="J67" s="57">
        <f>G67/J5</f>
        <v>0</v>
      </c>
    </row>
    <row r="68" spans="1:10" ht="15.9" customHeight="1">
      <c r="A68" s="77"/>
      <c r="B68" s="162">
        <f t="shared" si="4"/>
        <v>8</v>
      </c>
      <c r="C68" s="656" t="s">
        <v>130</v>
      </c>
      <c r="D68" s="657"/>
      <c r="E68" s="56"/>
      <c r="F68" s="56">
        <v>11418000</v>
      </c>
      <c r="G68" s="388">
        <f>F68</f>
        <v>11418000</v>
      </c>
      <c r="H68" s="418"/>
      <c r="I68" s="138">
        <f t="shared" si="5"/>
        <v>108722.14816225482</v>
      </c>
      <c r="J68" s="57">
        <f>G68/J5</f>
        <v>108722.14816225482</v>
      </c>
    </row>
    <row r="69" spans="1:10" ht="13">
      <c r="A69" s="77"/>
      <c r="B69" s="162">
        <f t="shared" si="4"/>
        <v>9</v>
      </c>
      <c r="C69" s="656" t="s">
        <v>131</v>
      </c>
      <c r="D69" s="657"/>
      <c r="E69" s="56"/>
      <c r="F69" s="56">
        <v>0</v>
      </c>
      <c r="G69" s="388">
        <f>F69</f>
        <v>0</v>
      </c>
      <c r="H69" s="418"/>
      <c r="I69" s="138">
        <f t="shared" si="5"/>
        <v>0</v>
      </c>
      <c r="J69" s="57">
        <f>+G69/J5</f>
        <v>0</v>
      </c>
    </row>
    <row r="70" spans="1:10" ht="21.75" customHeight="1">
      <c r="A70" s="77"/>
      <c r="B70" s="162">
        <f t="shared" si="4"/>
        <v>10</v>
      </c>
      <c r="C70" s="650" t="s">
        <v>132</v>
      </c>
      <c r="D70" s="657"/>
      <c r="E70" s="56"/>
      <c r="F70" s="56">
        <v>500000</v>
      </c>
      <c r="G70" s="388">
        <f>+F70</f>
        <v>500000</v>
      </c>
      <c r="H70" s="418"/>
      <c r="I70" s="138">
        <f t="shared" si="5"/>
        <v>4760.9979051609216</v>
      </c>
      <c r="J70" s="57">
        <f t="shared" ref="J70:J82" si="6">+I70*$I$6</f>
        <v>51247.381451152156</v>
      </c>
    </row>
    <row r="71" spans="1:10" ht="13">
      <c r="A71" s="77"/>
      <c r="B71" s="162">
        <f t="shared" si="4"/>
        <v>11</v>
      </c>
      <c r="C71" s="656" t="s">
        <v>133</v>
      </c>
      <c r="D71" s="657"/>
      <c r="E71" s="56"/>
      <c r="F71" s="54">
        <v>0</v>
      </c>
      <c r="G71" s="385"/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12</v>
      </c>
      <c r="C72" s="656" t="s">
        <v>134</v>
      </c>
      <c r="D72" s="657"/>
      <c r="E72" s="56"/>
      <c r="F72" s="54">
        <f>F39*F23*F34</f>
        <v>0</v>
      </c>
      <c r="G72" s="205">
        <f>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13</v>
      </c>
      <c r="C73" s="656" t="s">
        <v>135</v>
      </c>
      <c r="D73" s="657"/>
      <c r="E73" s="56"/>
      <c r="F73" s="56">
        <v>0</v>
      </c>
      <c r="G73" s="203">
        <f>+F73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14</v>
      </c>
      <c r="C74" s="650" t="s">
        <v>136</v>
      </c>
      <c r="D74" s="657"/>
      <c r="E74" s="563"/>
      <c r="F74" s="68">
        <f>+F36*F64</f>
        <v>0</v>
      </c>
      <c r="G74" s="203">
        <f>G36*G64</f>
        <v>0</v>
      </c>
      <c r="H74" s="418"/>
      <c r="I74" s="138">
        <f t="shared" si="5"/>
        <v>0</v>
      </c>
      <c r="J74" s="57">
        <f t="shared" si="6"/>
        <v>0</v>
      </c>
    </row>
    <row r="75" spans="1:10" ht="15.9" customHeight="1">
      <c r="A75" s="51"/>
      <c r="B75" s="162">
        <f t="shared" si="4"/>
        <v>15</v>
      </c>
      <c r="C75" s="537" t="s">
        <v>137</v>
      </c>
      <c r="D75" s="538"/>
      <c r="E75" s="563"/>
      <c r="F75" s="356">
        <f>F120</f>
        <v>0</v>
      </c>
      <c r="G75" s="520">
        <v>0</v>
      </c>
      <c r="H75" s="418"/>
      <c r="I75" s="138">
        <f>+F75/J5</f>
        <v>0</v>
      </c>
      <c r="J75" s="57">
        <f t="shared" si="6"/>
        <v>0</v>
      </c>
    </row>
    <row r="76" spans="1:10" ht="15.9" customHeight="1">
      <c r="A76" s="51"/>
      <c r="B76" s="162">
        <f t="shared" si="4"/>
        <v>16</v>
      </c>
      <c r="C76" s="650" t="s">
        <v>138</v>
      </c>
      <c r="D76" s="657"/>
      <c r="E76" s="59"/>
      <c r="F76" s="56">
        <f>+F78/F23</f>
        <v>1471.3610089332633</v>
      </c>
      <c r="G76" s="203">
        <f>+G78/G23</f>
        <v>15837.729900157645</v>
      </c>
      <c r="H76" s="418"/>
      <c r="I76" s="138">
        <f t="shared" si="5"/>
        <v>14.010293362533455</v>
      </c>
      <c r="J76" s="57">
        <f t="shared" si="6"/>
        <v>150.80679775431011</v>
      </c>
    </row>
    <row r="77" spans="1:10" ht="15.9" customHeight="1">
      <c r="A77" s="51"/>
      <c r="B77" s="162">
        <f t="shared" si="4"/>
        <v>17</v>
      </c>
      <c r="C77" s="650" t="s">
        <v>139</v>
      </c>
      <c r="D77" s="657"/>
      <c r="E77" s="71"/>
      <c r="F77" s="51"/>
      <c r="G77" s="558"/>
      <c r="H77" s="418"/>
      <c r="I77" s="138">
        <f t="shared" si="5"/>
        <v>0</v>
      </c>
      <c r="J77" s="57">
        <f t="shared" si="6"/>
        <v>0</v>
      </c>
    </row>
    <row r="78" spans="1:10" ht="15.9" customHeight="1">
      <c r="A78" s="51"/>
      <c r="B78" s="162">
        <f t="shared" si="4"/>
        <v>18</v>
      </c>
      <c r="C78" s="650" t="s">
        <v>140</v>
      </c>
      <c r="D78" s="657"/>
      <c r="E78" s="71"/>
      <c r="F78" s="56">
        <f>'CAPEX and PM'!B6</f>
        <v>14000000</v>
      </c>
      <c r="G78" s="388">
        <f>F78</f>
        <v>14000000</v>
      </c>
      <c r="H78" s="418"/>
      <c r="I78" s="133">
        <f t="shared" si="5"/>
        <v>133307.94134450582</v>
      </c>
      <c r="J78" s="57">
        <f>+G78/J5</f>
        <v>133307.94134450582</v>
      </c>
    </row>
    <row r="79" spans="1:10" ht="15.9" customHeight="1">
      <c r="A79" s="51"/>
      <c r="B79" s="162">
        <f t="shared" si="4"/>
        <v>19</v>
      </c>
      <c r="C79" s="650" t="s">
        <v>141</v>
      </c>
      <c r="D79" s="657"/>
      <c r="E79" s="71"/>
      <c r="F79" s="56">
        <f>'CAPEX and PM'!B37</f>
        <v>43000000</v>
      </c>
      <c r="G79" s="388">
        <f>+F79</f>
        <v>43000000</v>
      </c>
      <c r="H79" s="418"/>
      <c r="I79" s="138">
        <f t="shared" si="5"/>
        <v>409445.81984383927</v>
      </c>
      <c r="J79" s="57">
        <f t="shared" si="6"/>
        <v>4407274.8047990855</v>
      </c>
    </row>
    <row r="80" spans="1:10" ht="15.9" customHeight="1">
      <c r="A80" s="51"/>
      <c r="B80" s="162">
        <f t="shared" si="4"/>
        <v>20</v>
      </c>
      <c r="C80" s="650" t="s">
        <v>142</v>
      </c>
      <c r="D80" s="657"/>
      <c r="E80" s="71"/>
      <c r="F80" s="56">
        <f>+'CAPEX and PM'!B95</f>
        <v>2500000</v>
      </c>
      <c r="G80" s="388">
        <f>F80</f>
        <v>2500000</v>
      </c>
      <c r="H80" s="418"/>
      <c r="I80" s="138">
        <f t="shared" si="5"/>
        <v>23804.989525804609</v>
      </c>
      <c r="J80" s="57">
        <f t="shared" si="6"/>
        <v>256236.9072557608</v>
      </c>
    </row>
    <row r="81" spans="1:24" ht="15.9" customHeight="1">
      <c r="A81" s="51"/>
      <c r="B81" s="162">
        <f t="shared" si="4"/>
        <v>21</v>
      </c>
      <c r="C81" s="650" t="s">
        <v>143</v>
      </c>
      <c r="D81" s="657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22</v>
      </c>
      <c r="C82" s="650" t="s">
        <v>144</v>
      </c>
      <c r="D82" s="651"/>
      <c r="E82" s="71"/>
      <c r="F82" s="56"/>
      <c r="G82" s="388"/>
      <c r="H82" s="418"/>
      <c r="I82" s="138">
        <f t="shared" si="5"/>
        <v>0</v>
      </c>
      <c r="J82" s="57">
        <f t="shared" si="6"/>
        <v>0</v>
      </c>
    </row>
    <row r="83" spans="1:24" ht="15.9" customHeight="1">
      <c r="A83" s="51"/>
      <c r="B83" s="162">
        <f t="shared" si="4"/>
        <v>23</v>
      </c>
      <c r="C83" s="650" t="s">
        <v>145</v>
      </c>
      <c r="D83" s="657"/>
      <c r="E83" s="59"/>
      <c r="F83" s="56">
        <f>+G208</f>
        <v>511749.08384775487</v>
      </c>
      <c r="G83" s="388">
        <f>+F83</f>
        <v>511749.08384775487</v>
      </c>
      <c r="H83" s="418"/>
      <c r="I83" s="133">
        <f t="shared" si="5"/>
        <v>4872.8726323343635</v>
      </c>
      <c r="J83" s="57">
        <f>G83/J5</f>
        <v>4872.8726323343635</v>
      </c>
    </row>
    <row r="84" spans="1:24" ht="22.5" customHeight="1">
      <c r="A84" s="51"/>
      <c r="B84" s="162">
        <f t="shared" si="4"/>
        <v>24</v>
      </c>
      <c r="C84" s="650" t="s">
        <v>498</v>
      </c>
      <c r="D84" s="657"/>
      <c r="E84" s="563"/>
      <c r="F84" s="56">
        <f>+F31</f>
        <v>0</v>
      </c>
      <c r="G84" s="388">
        <f>+F84</f>
        <v>0</v>
      </c>
      <c r="H84" s="418"/>
      <c r="I84" s="133">
        <v>4</v>
      </c>
      <c r="J84" s="57">
        <f>G84/J5</f>
        <v>0</v>
      </c>
    </row>
    <row r="85" spans="1:24" ht="15.9" customHeight="1">
      <c r="A85" s="51"/>
      <c r="B85" s="79"/>
      <c r="C85" s="51"/>
      <c r="D85" s="51"/>
      <c r="E85" s="80"/>
      <c r="F85" s="51"/>
      <c r="G85" s="51"/>
      <c r="H85" s="418"/>
      <c r="I85" s="94"/>
      <c r="J85" s="81"/>
    </row>
    <row r="86" spans="1:24" ht="15.9" customHeight="1">
      <c r="A86" s="51"/>
      <c r="B86" s="658" t="s">
        <v>146</v>
      </c>
      <c r="C86" s="659"/>
      <c r="D86" s="660"/>
      <c r="E86" s="389"/>
      <c r="F86" s="161" t="s">
        <v>75</v>
      </c>
      <c r="G86" s="161" t="s">
        <v>76</v>
      </c>
      <c r="H86" s="418"/>
      <c r="I86" s="374" t="s">
        <v>75</v>
      </c>
      <c r="J86" s="53" t="s">
        <v>76</v>
      </c>
    </row>
    <row r="87" spans="1:24" ht="15.9" customHeight="1">
      <c r="A87" s="77"/>
      <c r="B87" s="162">
        <v>1</v>
      </c>
      <c r="C87" s="650" t="s">
        <v>147</v>
      </c>
      <c r="D87" s="657"/>
      <c r="E87" s="71"/>
      <c r="F87" s="70">
        <f>+F63</f>
        <v>129</v>
      </c>
      <c r="G87" s="204">
        <f>+G63</f>
        <v>1388.5559999999998</v>
      </c>
      <c r="H87" s="418"/>
      <c r="I87" s="138">
        <f>+F87/J5</f>
        <v>1.228337459531518</v>
      </c>
      <c r="J87" s="72">
        <f>G87/J5</f>
        <v>13.221824414397256</v>
      </c>
      <c r="S87" s="414"/>
      <c r="T87" s="414"/>
      <c r="X87" s="420"/>
    </row>
    <row r="88" spans="1:24" ht="15.9" customHeight="1">
      <c r="A88" s="51"/>
      <c r="B88" s="162">
        <f>1+B87</f>
        <v>2</v>
      </c>
      <c r="C88" s="656" t="s">
        <v>148</v>
      </c>
      <c r="D88" s="657"/>
      <c r="E88" s="73"/>
      <c r="F88" s="56">
        <v>0</v>
      </c>
      <c r="G88" s="388">
        <v>0</v>
      </c>
      <c r="H88" s="418"/>
      <c r="I88" s="133">
        <v>0</v>
      </c>
      <c r="J88" s="57">
        <v>0</v>
      </c>
      <c r="T88" s="414"/>
    </row>
    <row r="89" spans="1:24" ht="15.9" customHeight="1">
      <c r="A89" s="51"/>
      <c r="B89" s="162">
        <f t="shared" ref="B89:B95" si="7">+B88+1</f>
        <v>3</v>
      </c>
      <c r="C89" s="656" t="s">
        <v>149</v>
      </c>
      <c r="D89" s="657"/>
      <c r="E89" s="73"/>
      <c r="F89" s="70">
        <f>(F67/F23)</f>
        <v>0</v>
      </c>
      <c r="G89" s="204">
        <f>+F89*F6</f>
        <v>0</v>
      </c>
      <c r="H89" s="418"/>
      <c r="I89" s="138">
        <f>+F89/J5</f>
        <v>0</v>
      </c>
      <c r="J89" s="72">
        <f>+I89*I6</f>
        <v>0</v>
      </c>
      <c r="S89" s="414"/>
      <c r="T89" s="414"/>
    </row>
    <row r="90" spans="1:24" ht="15.9" customHeight="1">
      <c r="A90" s="51"/>
      <c r="B90" s="162">
        <f t="shared" si="7"/>
        <v>4</v>
      </c>
      <c r="C90" s="656" t="s">
        <v>150</v>
      </c>
      <c r="D90" s="657"/>
      <c r="E90" s="73"/>
      <c r="F90" s="66">
        <f>'Security Deposit'!C17</f>
        <v>10.729900157645822</v>
      </c>
      <c r="G90" s="202">
        <f>F90*F6</f>
        <v>115.49664529689963</v>
      </c>
      <c r="H90" s="418"/>
      <c r="I90" s="138">
        <f>F90/$J$5</f>
        <v>0.10217006434627521</v>
      </c>
      <c r="J90" s="72">
        <f>I90*I6</f>
        <v>1.0997585726233063</v>
      </c>
      <c r="S90" s="414"/>
      <c r="T90" s="414"/>
    </row>
    <row r="91" spans="1:24" ht="15.9" customHeight="1">
      <c r="A91" s="51"/>
      <c r="B91" s="162">
        <f t="shared" si="7"/>
        <v>5</v>
      </c>
      <c r="C91" s="656" t="s">
        <v>324</v>
      </c>
      <c r="D91" s="657"/>
      <c r="E91" s="73"/>
      <c r="F91" s="202">
        <f>+F65</f>
        <v>17.548935056250006</v>
      </c>
      <c r="G91" s="388">
        <f>+F91*$F$6</f>
        <v>188.89673694547506</v>
      </c>
      <c r="H91" s="418"/>
      <c r="I91" s="138">
        <f>F91/$J$5</f>
        <v>0.16710088608122267</v>
      </c>
      <c r="J91" s="72">
        <f>I91*I6</f>
        <v>1.7986739377782808</v>
      </c>
      <c r="S91" s="414"/>
      <c r="T91" s="414"/>
    </row>
    <row r="92" spans="1:24" ht="15.9" customHeight="1">
      <c r="A92" s="165"/>
      <c r="B92" s="162">
        <f>+B90+1</f>
        <v>5</v>
      </c>
      <c r="C92" s="656" t="s">
        <v>151</v>
      </c>
      <c r="D92" s="657"/>
      <c r="E92" s="73"/>
      <c r="F92" s="66">
        <f>(+F84/F21/F27)</f>
        <v>0</v>
      </c>
      <c r="G92" s="202">
        <f>(+G84/G21/G27)</f>
        <v>0</v>
      </c>
      <c r="H92" s="418"/>
      <c r="I92" s="138">
        <f>F92/$J$5</f>
        <v>0</v>
      </c>
      <c r="J92" s="72">
        <f>+I92*$I$6</f>
        <v>0</v>
      </c>
      <c r="T92" s="414"/>
    </row>
    <row r="93" spans="1:24" ht="15.9" customHeight="1">
      <c r="A93" s="51"/>
      <c r="B93" s="162">
        <f t="shared" si="7"/>
        <v>6</v>
      </c>
      <c r="C93" s="656" t="s">
        <v>152</v>
      </c>
      <c r="D93" s="657"/>
      <c r="E93" s="73"/>
      <c r="F93" s="66">
        <f>F83/F21/F27</f>
        <v>0.74699171461399372</v>
      </c>
      <c r="G93" s="202">
        <f>G83/G21/G27</f>
        <v>8.0406188161050292</v>
      </c>
      <c r="H93" s="418"/>
      <c r="I93" s="138">
        <f>+F93/J5</f>
        <v>7.1128519768995785E-3</v>
      </c>
      <c r="J93" s="72">
        <f>+I93*$I$6</f>
        <v>7.6562738679347056E-2</v>
      </c>
      <c r="S93" s="414"/>
      <c r="T93" s="414"/>
    </row>
    <row r="94" spans="1:24" ht="15.9" customHeight="1">
      <c r="A94" s="51"/>
      <c r="B94" s="162">
        <f t="shared" si="7"/>
        <v>7</v>
      </c>
      <c r="C94" s="650" t="s">
        <v>153</v>
      </c>
      <c r="D94" s="657"/>
      <c r="E94" s="71"/>
      <c r="F94" s="66">
        <f>+G94/F6</f>
        <v>20.607580441972008</v>
      </c>
      <c r="G94" s="202">
        <f>(+SUM(G87:G93)+G104)*7%</f>
        <v>221.81999587738667</v>
      </c>
      <c r="H94" s="418"/>
      <c r="I94" s="138">
        <f>+F94/J5</f>
        <v>0.19622529462932783</v>
      </c>
      <c r="J94" s="67">
        <f>I94*I6</f>
        <v>2.1121690713900847</v>
      </c>
      <c r="S94" s="414"/>
      <c r="T94" s="414"/>
    </row>
    <row r="95" spans="1:24" ht="15.9" customHeight="1">
      <c r="A95" s="51"/>
      <c r="B95" s="162">
        <f t="shared" si="7"/>
        <v>8</v>
      </c>
      <c r="C95" s="652" t="s">
        <v>69</v>
      </c>
      <c r="D95" s="653"/>
      <c r="E95" s="78"/>
      <c r="F95" s="213">
        <f>SUM(F87:F94)</f>
        <v>178.63340737048182</v>
      </c>
      <c r="G95" s="54">
        <f>SUM(G87:G94)</f>
        <v>1922.8099969358664</v>
      </c>
      <c r="H95" s="424"/>
      <c r="I95" s="191">
        <f>SUM(I87:I94)</f>
        <v>1.7009465565652433</v>
      </c>
      <c r="J95" s="192">
        <f>SUM(J87:J94)</f>
        <v>18.308988734868276</v>
      </c>
      <c r="S95" s="414"/>
      <c r="T95" s="414"/>
    </row>
    <row r="96" spans="1:24" ht="15.9" customHeight="1">
      <c r="A96" s="51"/>
      <c r="B96" s="381"/>
      <c r="C96" s="647"/>
      <c r="D96" s="647"/>
      <c r="E96" s="84"/>
      <c r="F96" s="85"/>
      <c r="G96" s="85"/>
      <c r="H96" s="418"/>
      <c r="I96" s="140"/>
      <c r="J96" s="86"/>
    </row>
    <row r="97" spans="1:26" ht="15.9" customHeight="1">
      <c r="A97" s="51"/>
      <c r="B97" s="654" t="s">
        <v>154</v>
      </c>
      <c r="C97" s="655"/>
      <c r="D97" s="655"/>
      <c r="E97" s="87"/>
      <c r="F97" s="161" t="s">
        <v>75</v>
      </c>
      <c r="G97" s="161" t="s">
        <v>76</v>
      </c>
      <c r="H97" s="418"/>
      <c r="I97" s="374" t="s">
        <v>75</v>
      </c>
      <c r="J97" s="53" t="s">
        <v>76</v>
      </c>
      <c r="W97" s="432"/>
    </row>
    <row r="98" spans="1:26" ht="15.9" customHeight="1">
      <c r="A98" s="51"/>
      <c r="B98" s="162">
        <v>1</v>
      </c>
      <c r="C98" s="656" t="str">
        <f>+C77</f>
        <v>Siemens Standard Fitout (Existing)</v>
      </c>
      <c r="D98" s="657"/>
      <c r="E98" s="88"/>
      <c r="F98" s="66">
        <v>0</v>
      </c>
      <c r="G98" s="204">
        <f>+F98*F6</f>
        <v>0</v>
      </c>
      <c r="H98" s="418"/>
      <c r="I98" s="133">
        <v>0</v>
      </c>
      <c r="J98" s="57">
        <f>+I98*I6</f>
        <v>0</v>
      </c>
      <c r="Z98" s="527"/>
    </row>
    <row r="99" spans="1:26" ht="15.9" customHeight="1">
      <c r="A99" s="51"/>
      <c r="B99" s="162">
        <f t="shared" ref="B99:B104" si="8">+B98+1</f>
        <v>2</v>
      </c>
      <c r="C99" s="656" t="str">
        <f>+C78</f>
        <v>Siemens Standard Fitout (New)</v>
      </c>
      <c r="D99" s="657"/>
      <c r="E99" s="71"/>
      <c r="F99" s="66">
        <f>'CAPEX and PM'!B29</f>
        <v>57.834863568245076</v>
      </c>
      <c r="G99" s="204">
        <f>+F99*F6</f>
        <v>622.53447144859001</v>
      </c>
      <c r="H99" s="418"/>
      <c r="I99" s="138">
        <f>+F99/$J$5</f>
        <v>0.55070332858736504</v>
      </c>
      <c r="J99" s="72">
        <f>+I99*$I$6</f>
        <v>5.9277706289143968</v>
      </c>
      <c r="S99" s="414"/>
      <c r="Z99" s="420"/>
    </row>
    <row r="100" spans="1:26" ht="15.9" customHeight="1">
      <c r="A100" s="51"/>
      <c r="B100" s="162">
        <f t="shared" si="8"/>
        <v>3</v>
      </c>
      <c r="C100" s="656" t="str">
        <f>+C79</f>
        <v>Capex over the period of lease period</v>
      </c>
      <c r="D100" s="657"/>
      <c r="E100" s="71"/>
      <c r="F100" s="66">
        <f>'CAPEX and PM'!B89</f>
        <v>73.736884743387648</v>
      </c>
      <c r="G100" s="204">
        <f>+F100*F6</f>
        <v>793.70382737782461</v>
      </c>
      <c r="H100" s="418"/>
      <c r="I100" s="138">
        <f>+F100/$J$5</f>
        <v>0.70212230759272187</v>
      </c>
      <c r="J100" s="72">
        <f>+I100*$I$6</f>
        <v>7.5576445189280577</v>
      </c>
      <c r="T100" s="414"/>
      <c r="W100" s="432"/>
    </row>
    <row r="101" spans="1:26" ht="15.9" customHeight="1">
      <c r="A101" s="51"/>
      <c r="B101" s="162">
        <f t="shared" si="8"/>
        <v>4</v>
      </c>
      <c r="C101" s="656" t="str">
        <f>+C80</f>
        <v>PM cost over the period of lease period</v>
      </c>
      <c r="D101" s="657"/>
      <c r="E101" s="71"/>
      <c r="F101" s="66">
        <f>+'CAPEX and PM'!B96</f>
        <v>3.6492088515209904</v>
      </c>
      <c r="G101" s="204">
        <f>+F101*F6</f>
        <v>39.280084077771939</v>
      </c>
      <c r="H101" s="418"/>
      <c r="I101" s="138">
        <f>+F101/$J$5</f>
        <v>3.4747751395172256E-2</v>
      </c>
      <c r="J101" s="72">
        <f>+I101*$I$6</f>
        <v>0.37402479601763416</v>
      </c>
      <c r="S101" s="414"/>
      <c r="T101" s="414"/>
    </row>
    <row r="102" spans="1:26" ht="15.9" customHeight="1">
      <c r="A102" s="51"/>
      <c r="B102" s="162">
        <f t="shared" si="8"/>
        <v>5</v>
      </c>
      <c r="C102" s="656" t="str">
        <f>+C81</f>
        <v>Asset Retirement Obligation ( Removal &amp; Restoration Obligation)</v>
      </c>
      <c r="D102" s="657"/>
      <c r="E102" s="71"/>
      <c r="F102" s="66">
        <f>'Security Deposit'!D25</f>
        <v>1.1472222222222224</v>
      </c>
      <c r="G102" s="204">
        <f>F102*10.764</f>
        <v>12.348700000000001</v>
      </c>
      <c r="H102" s="418"/>
      <c r="I102" s="136">
        <f>+F102/J5</f>
        <v>1.0923845193508117E-2</v>
      </c>
      <c r="J102" s="67">
        <f>+G102/J5</f>
        <v>0.11758426966292136</v>
      </c>
      <c r="S102" s="414"/>
      <c r="T102" s="414"/>
      <c r="V102" s="432"/>
      <c r="W102" s="536"/>
      <c r="Z102" s="527"/>
    </row>
    <row r="103" spans="1:26" ht="15.9" customHeight="1">
      <c r="A103" s="51"/>
      <c r="B103" s="162">
        <f t="shared" si="8"/>
        <v>6</v>
      </c>
      <c r="C103" s="650" t="s">
        <v>155</v>
      </c>
      <c r="D103" s="657"/>
      <c r="E103" s="73"/>
      <c r="F103" s="66">
        <f>+F82/F21/F28</f>
        <v>0</v>
      </c>
      <c r="G103" s="204">
        <f>+F103*F6</f>
        <v>0</v>
      </c>
      <c r="H103" s="418"/>
      <c r="I103" s="138">
        <f>+F103/J5</f>
        <v>0</v>
      </c>
      <c r="J103" s="72">
        <f>+I103*I6</f>
        <v>0</v>
      </c>
      <c r="U103" s="526"/>
      <c r="Z103" s="420"/>
    </row>
    <row r="104" spans="1:26" ht="15.9" customHeight="1">
      <c r="A104" s="51"/>
      <c r="B104" s="162">
        <f t="shared" si="8"/>
        <v>7</v>
      </c>
      <c r="C104" s="652" t="s">
        <v>156</v>
      </c>
      <c r="D104" s="653"/>
      <c r="E104" s="78"/>
      <c r="F104" s="54">
        <f>SUM(F98:F103)</f>
        <v>136.36817938537592</v>
      </c>
      <c r="G104" s="54">
        <f>SUM(G98:G103)</f>
        <v>1467.8670829041866</v>
      </c>
      <c r="H104" s="418"/>
      <c r="I104" s="139">
        <f>SUM(I98:I103)</f>
        <v>1.2984972327687672</v>
      </c>
      <c r="J104" s="139">
        <f>SUM(J98:J103)</f>
        <v>13.977024213523011</v>
      </c>
      <c r="S104" s="414"/>
      <c r="T104" s="414"/>
    </row>
    <row r="105" spans="1:26" ht="15.9" customHeight="1">
      <c r="A105" s="51"/>
      <c r="B105" s="381"/>
      <c r="C105" s="83"/>
      <c r="D105" s="83"/>
      <c r="E105" s="84"/>
      <c r="F105" s="386"/>
      <c r="G105" s="386"/>
      <c r="H105" s="418"/>
      <c r="I105" s="383"/>
      <c r="J105" s="384"/>
      <c r="S105" s="529"/>
    </row>
    <row r="106" spans="1:26" ht="15.9" customHeight="1">
      <c r="A106" s="51"/>
      <c r="B106" s="661" t="s">
        <v>157</v>
      </c>
      <c r="C106" s="662"/>
      <c r="D106" s="662"/>
      <c r="E106" s="87"/>
      <c r="F106" s="161" t="s">
        <v>75</v>
      </c>
      <c r="G106" s="161" t="s">
        <v>76</v>
      </c>
      <c r="H106" s="418"/>
      <c r="I106" s="374" t="s">
        <v>75</v>
      </c>
      <c r="J106" s="53" t="s">
        <v>76</v>
      </c>
    </row>
    <row r="107" spans="1:26" ht="15.9" customHeight="1">
      <c r="A107" s="51"/>
      <c r="B107" s="162">
        <v>1</v>
      </c>
      <c r="C107" s="650" t="s">
        <v>69</v>
      </c>
      <c r="D107" s="657"/>
      <c r="E107" s="71"/>
      <c r="F107" s="56">
        <f>+F95</f>
        <v>178.63340737048182</v>
      </c>
      <c r="G107" s="56">
        <f>+G95</f>
        <v>1922.8099969358664</v>
      </c>
      <c r="H107" s="418"/>
      <c r="I107" s="136">
        <f>+I95</f>
        <v>1.7009465565652433</v>
      </c>
      <c r="J107" s="72">
        <f>+J95</f>
        <v>18.308988734868276</v>
      </c>
      <c r="S107" s="414"/>
      <c r="T107" s="414"/>
    </row>
    <row r="108" spans="1:26" ht="15.9" customHeight="1">
      <c r="A108" s="51"/>
      <c r="B108" s="162">
        <f>+B107+1</f>
        <v>2</v>
      </c>
      <c r="C108" s="650" t="s">
        <v>156</v>
      </c>
      <c r="D108" s="651"/>
      <c r="E108" s="71"/>
      <c r="F108" s="56">
        <f>+F104</f>
        <v>136.36817938537592</v>
      </c>
      <c r="G108" s="388">
        <f>+G104</f>
        <v>1467.8670829041866</v>
      </c>
      <c r="H108" s="418"/>
      <c r="I108" s="136">
        <f>+I104</f>
        <v>1.2984972327687672</v>
      </c>
      <c r="J108" s="72">
        <f>+J104</f>
        <v>13.977024213523011</v>
      </c>
      <c r="S108" s="414"/>
      <c r="W108" s="525"/>
    </row>
    <row r="109" spans="1:26" ht="15.9" customHeight="1">
      <c r="A109" s="77"/>
      <c r="B109" s="162">
        <f>+B108+1</f>
        <v>3</v>
      </c>
      <c r="C109" s="652" t="s">
        <v>158</v>
      </c>
      <c r="D109" s="653"/>
      <c r="E109" s="78"/>
      <c r="F109" s="54">
        <f>SUM(F107:F108)</f>
        <v>315.00158675585772</v>
      </c>
      <c r="G109" s="54">
        <f>SUM(G107:G108)</f>
        <v>3390.677079840053</v>
      </c>
      <c r="H109" s="418"/>
      <c r="I109" s="191">
        <f>SUM(I107:I108)</f>
        <v>2.9994437893340105</v>
      </c>
      <c r="J109" s="82">
        <f>SUM(J107:J108)</f>
        <v>32.286012948391289</v>
      </c>
      <c r="S109" s="414"/>
      <c r="T109" s="414"/>
      <c r="U109" s="414"/>
      <c r="V109" s="420"/>
      <c r="W109" s="420"/>
      <c r="X109" s="420"/>
      <c r="Y109" s="414"/>
    </row>
    <row r="110" spans="1:26" ht="15.9" customHeight="1">
      <c r="A110" s="51"/>
      <c r="B110" s="654" t="s">
        <v>159</v>
      </c>
      <c r="C110" s="655"/>
      <c r="D110" s="655"/>
      <c r="E110" s="89"/>
      <c r="F110" s="161" t="s">
        <v>75</v>
      </c>
      <c r="G110" s="161" t="s">
        <v>76</v>
      </c>
      <c r="H110" s="418"/>
      <c r="I110" s="374" t="s">
        <v>75</v>
      </c>
      <c r="J110" s="53" t="s">
        <v>76</v>
      </c>
      <c r="U110" s="420"/>
    </row>
    <row r="111" spans="1:26" ht="15.9" customHeight="1">
      <c r="A111" s="51"/>
      <c r="B111" s="249">
        <v>1</v>
      </c>
      <c r="C111" s="650" t="s">
        <v>160</v>
      </c>
      <c r="D111" s="651"/>
      <c r="E111" s="83"/>
      <c r="F111" s="376"/>
      <c r="G111" s="376"/>
      <c r="H111" s="418"/>
      <c r="I111" s="381"/>
      <c r="J111" s="248"/>
    </row>
    <row r="112" spans="1:26" ht="15.9" customHeight="1">
      <c r="A112" s="51"/>
      <c r="B112" s="162">
        <f t="shared" ref="B112:B120" si="9">1+B111</f>
        <v>2</v>
      </c>
      <c r="C112" s="650" t="s">
        <v>161</v>
      </c>
      <c r="D112" s="651"/>
      <c r="E112" s="83"/>
      <c r="F112" s="376"/>
      <c r="G112" s="376"/>
      <c r="H112" s="418"/>
      <c r="I112" s="381"/>
      <c r="J112" s="248"/>
      <c r="X112" s="414"/>
      <c r="Y112" s="422"/>
    </row>
    <row r="113" spans="1:26" ht="15.9" customHeight="1">
      <c r="A113" s="51"/>
      <c r="B113" s="162">
        <f t="shared" si="9"/>
        <v>3</v>
      </c>
      <c r="C113" s="650" t="s">
        <v>162</v>
      </c>
      <c r="D113" s="651"/>
      <c r="E113" s="83"/>
      <c r="F113" s="388">
        <f>+F65*0</f>
        <v>0</v>
      </c>
      <c r="G113" s="207">
        <f>+F113*$F$6</f>
        <v>0</v>
      </c>
      <c r="H113" s="418"/>
      <c r="I113" s="156">
        <f>+F113/$J$5</f>
        <v>0</v>
      </c>
      <c r="J113" s="198">
        <f>+I113*$F$6</f>
        <v>0</v>
      </c>
      <c r="X113" s="414"/>
      <c r="Y113" s="414"/>
    </row>
    <row r="114" spans="1:26" ht="15.9" customHeight="1">
      <c r="A114" s="51"/>
      <c r="B114" s="162">
        <f t="shared" si="9"/>
        <v>4</v>
      </c>
      <c r="C114" s="650" t="s">
        <v>163</v>
      </c>
      <c r="D114" s="651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5</v>
      </c>
      <c r="C115" s="650" t="s">
        <v>164</v>
      </c>
      <c r="D115" s="651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6</v>
      </c>
      <c r="C116" s="650" t="s">
        <v>165</v>
      </c>
      <c r="D116" s="651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7</v>
      </c>
      <c r="C117" s="650" t="s">
        <v>166</v>
      </c>
      <c r="D117" s="651"/>
      <c r="E117" s="83"/>
      <c r="F117" s="376"/>
      <c r="G117" s="376"/>
      <c r="H117" s="418"/>
      <c r="I117" s="381"/>
      <c r="J117" s="248"/>
    </row>
    <row r="118" spans="1:26" ht="15.9" customHeight="1">
      <c r="A118" s="51"/>
      <c r="B118" s="162">
        <f t="shared" si="9"/>
        <v>8</v>
      </c>
      <c r="C118" s="650" t="s">
        <v>167</v>
      </c>
      <c r="D118" s="657"/>
      <c r="E118" s="252"/>
      <c r="F118" s="360"/>
      <c r="G118" s="207">
        <v>654</v>
      </c>
      <c r="H118" s="418"/>
      <c r="I118" s="156">
        <f>+F118/$J$5</f>
        <v>0</v>
      </c>
      <c r="J118" s="131">
        <f>+I118*I6</f>
        <v>0</v>
      </c>
      <c r="T118" s="423"/>
    </row>
    <row r="119" spans="1:26" ht="15.9" customHeight="1">
      <c r="A119" s="51"/>
      <c r="B119" s="162">
        <f t="shared" si="9"/>
        <v>9</v>
      </c>
      <c r="C119" s="650" t="s">
        <v>168</v>
      </c>
      <c r="D119" s="651"/>
      <c r="E119" s="252"/>
      <c r="F119" s="90"/>
      <c r="G119" s="90">
        <f>G118*7%</f>
        <v>45.78</v>
      </c>
      <c r="H119" s="418"/>
      <c r="I119" s="156">
        <f>+F119/$J$5</f>
        <v>0</v>
      </c>
      <c r="J119" s="131">
        <f>+I119*I6</f>
        <v>0</v>
      </c>
    </row>
    <row r="120" spans="1:26" ht="15.9" customHeight="1">
      <c r="A120" s="77"/>
      <c r="B120" s="162">
        <f t="shared" si="9"/>
        <v>10</v>
      </c>
      <c r="C120" s="652" t="s">
        <v>169</v>
      </c>
      <c r="D120" s="653"/>
      <c r="E120" s="253"/>
      <c r="F120" s="54">
        <f>SUM(F111:F119)</f>
        <v>0</v>
      </c>
      <c r="G120" s="385">
        <f>SUM(G111:G119)</f>
        <v>699.78</v>
      </c>
      <c r="H120" s="418"/>
      <c r="I120" s="191">
        <f>SUM(I111:I119)</f>
        <v>0</v>
      </c>
      <c r="J120" s="82">
        <f>G120/$J$5</f>
        <v>6.6633022281470193</v>
      </c>
      <c r="S120" s="414"/>
      <c r="T120" s="414"/>
      <c r="U120" s="414"/>
    </row>
    <row r="121" spans="1:26" ht="15.9" customHeight="1">
      <c r="A121" s="77"/>
      <c r="B121" s="162"/>
      <c r="C121" s="646"/>
      <c r="D121" s="663"/>
      <c r="E121" s="78"/>
      <c r="F121" s="54"/>
      <c r="G121" s="385"/>
      <c r="H121" s="418"/>
      <c r="I121" s="191"/>
      <c r="J121" s="82"/>
      <c r="U121" s="421"/>
      <c r="X121" s="420"/>
      <c r="Y121" s="420"/>
      <c r="Z121" s="420"/>
    </row>
    <row r="122" spans="1:26" ht="15.9" customHeight="1">
      <c r="A122" s="77"/>
      <c r="B122" s="654" t="s">
        <v>170</v>
      </c>
      <c r="C122" s="655"/>
      <c r="D122" s="655"/>
      <c r="E122" s="89"/>
      <c r="F122" s="161" t="s">
        <v>75</v>
      </c>
      <c r="G122" s="161" t="s">
        <v>76</v>
      </c>
      <c r="H122" s="418"/>
      <c r="I122" s="374" t="s">
        <v>75</v>
      </c>
      <c r="J122" s="53" t="s">
        <v>76</v>
      </c>
      <c r="T122" s="420"/>
      <c r="U122" s="420"/>
    </row>
    <row r="123" spans="1:26" ht="15.9" customHeight="1">
      <c r="A123" s="77"/>
      <c r="B123" s="251">
        <v>1</v>
      </c>
      <c r="C123" s="650" t="s">
        <v>171</v>
      </c>
      <c r="D123" s="651"/>
      <c r="E123" s="78"/>
      <c r="F123" s="54"/>
      <c r="G123" s="385"/>
      <c r="H123" s="418"/>
      <c r="I123" s="191"/>
      <c r="J123" s="82"/>
    </row>
    <row r="124" spans="1:26" ht="15.9" customHeight="1">
      <c r="A124" s="77"/>
      <c r="B124" s="162">
        <v>2</v>
      </c>
      <c r="C124" s="652" t="s">
        <v>172</v>
      </c>
      <c r="D124" s="653"/>
      <c r="E124" s="78"/>
      <c r="F124" s="54">
        <f>SUM(F123)</f>
        <v>0</v>
      </c>
      <c r="G124" s="385">
        <f>SUM(G123)</f>
        <v>0</v>
      </c>
      <c r="H124" s="418"/>
      <c r="I124" s="191">
        <f>SUM(I123)</f>
        <v>0</v>
      </c>
      <c r="J124" s="82">
        <f>SUM(J123)</f>
        <v>0</v>
      </c>
    </row>
    <row r="125" spans="1:26" ht="15.9" customHeight="1">
      <c r="A125" s="77"/>
      <c r="B125" s="162"/>
      <c r="C125" s="646"/>
      <c r="D125" s="663"/>
      <c r="E125" s="63"/>
      <c r="F125" s="54"/>
      <c r="G125" s="385"/>
      <c r="H125" s="418"/>
      <c r="I125" s="132"/>
      <c r="J125" s="55"/>
    </row>
    <row r="126" spans="1:26" ht="15.9" customHeight="1">
      <c r="A126" s="77"/>
      <c r="B126" s="654" t="s">
        <v>173</v>
      </c>
      <c r="C126" s="655"/>
      <c r="D126" s="655"/>
      <c r="E126" s="89"/>
      <c r="F126" s="161" t="s">
        <v>75</v>
      </c>
      <c r="G126" s="161" t="s">
        <v>76</v>
      </c>
      <c r="H126" s="418"/>
      <c r="I126" s="374" t="s">
        <v>75</v>
      </c>
      <c r="J126" s="53" t="s">
        <v>76</v>
      </c>
    </row>
    <row r="127" spans="1:26" ht="15.9" customHeight="1">
      <c r="A127" s="77"/>
      <c r="B127" s="249">
        <v>1</v>
      </c>
      <c r="C127" s="650" t="s">
        <v>174</v>
      </c>
      <c r="D127" s="651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2</v>
      </c>
      <c r="C128" s="650" t="s">
        <v>175</v>
      </c>
      <c r="D128" s="651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3</v>
      </c>
      <c r="C129" s="650" t="s">
        <v>176</v>
      </c>
      <c r="D129" s="651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4</v>
      </c>
      <c r="C130" s="650" t="s">
        <v>177</v>
      </c>
      <c r="D130" s="651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5</v>
      </c>
      <c r="C131" s="650" t="s">
        <v>178</v>
      </c>
      <c r="D131" s="651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251">
        <f>1+B131</f>
        <v>6</v>
      </c>
      <c r="C132" s="650" t="s">
        <v>179</v>
      </c>
      <c r="D132" s="651"/>
      <c r="E132" s="250"/>
      <c r="F132" s="385"/>
      <c r="G132" s="385"/>
      <c r="H132" s="418"/>
      <c r="I132" s="383"/>
      <c r="J132" s="55"/>
    </row>
    <row r="133" spans="1:20" ht="15.9" customHeight="1">
      <c r="A133" s="77"/>
      <c r="B133" s="381">
        <v>7</v>
      </c>
      <c r="C133" s="652" t="s">
        <v>180</v>
      </c>
      <c r="D133" s="653"/>
      <c r="E133" s="250"/>
      <c r="F133" s="385">
        <f>SUM(F127:F132)</f>
        <v>0</v>
      </c>
      <c r="G133" s="385">
        <f>SUM(G127:G132)</f>
        <v>0</v>
      </c>
      <c r="H133" s="418"/>
      <c r="I133" s="383">
        <f>SUM(I127:I132)</f>
        <v>0</v>
      </c>
      <c r="J133" s="55">
        <f>SUM(J127:J132)</f>
        <v>0</v>
      </c>
    </row>
    <row r="134" spans="1:20" ht="15.9" customHeight="1">
      <c r="A134" s="77"/>
      <c r="B134" s="162"/>
      <c r="C134" s="647"/>
      <c r="D134" s="663"/>
      <c r="E134" s="250"/>
      <c r="F134" s="385"/>
      <c r="G134" s="385"/>
      <c r="H134" s="418"/>
      <c r="I134" s="383"/>
      <c r="J134" s="55"/>
    </row>
    <row r="135" spans="1:20" ht="15.9" customHeight="1">
      <c r="A135" s="51"/>
      <c r="B135" s="654" t="s">
        <v>181</v>
      </c>
      <c r="C135" s="655"/>
      <c r="D135" s="655"/>
      <c r="E135" s="89"/>
      <c r="F135" s="161" t="s">
        <v>75</v>
      </c>
      <c r="G135" s="161" t="s">
        <v>76</v>
      </c>
      <c r="H135" s="418"/>
      <c r="I135" s="374" t="s">
        <v>75</v>
      </c>
      <c r="J135" s="53" t="s">
        <v>76</v>
      </c>
    </row>
    <row r="136" spans="1:20" ht="15.9" customHeight="1">
      <c r="A136" s="77"/>
      <c r="B136" s="162">
        <v>1</v>
      </c>
      <c r="C136" s="652" t="s">
        <v>182</v>
      </c>
      <c r="D136" s="653"/>
      <c r="E136" s="78"/>
      <c r="F136" s="54">
        <f>F120+F109+F124+F133</f>
        <v>315.00158675585772</v>
      </c>
      <c r="G136" s="385">
        <f>G120+G109+G124+G133</f>
        <v>4090.4570798400528</v>
      </c>
      <c r="H136" s="418"/>
      <c r="I136" s="191">
        <f>I120+I109+I124+I133</f>
        <v>2.9994437893340105</v>
      </c>
      <c r="J136" s="192">
        <f>J120+J109+J124+J133</f>
        <v>38.949315176538306</v>
      </c>
      <c r="S136" s="422"/>
      <c r="T136" s="420"/>
    </row>
    <row r="137" spans="1:20" ht="15.9" customHeight="1">
      <c r="A137" s="77"/>
      <c r="B137" s="162"/>
      <c r="C137" s="646"/>
      <c r="D137" s="663"/>
      <c r="E137" s="78"/>
      <c r="F137" s="54"/>
      <c r="G137" s="385"/>
      <c r="H137" s="418"/>
      <c r="I137" s="132"/>
      <c r="J137" s="55"/>
    </row>
    <row r="138" spans="1:20" ht="15.9" customHeight="1">
      <c r="A138" s="77"/>
      <c r="B138" s="381"/>
      <c r="C138" s="380"/>
      <c r="D138" s="377"/>
      <c r="E138" s="167"/>
      <c r="F138" s="646" t="s">
        <v>73</v>
      </c>
      <c r="G138" s="647"/>
      <c r="H138" s="418"/>
      <c r="I138" s="648" t="s">
        <v>67</v>
      </c>
      <c r="J138" s="649"/>
    </row>
    <row r="139" spans="1:20" ht="15.9" hidden="1" customHeight="1">
      <c r="A139" s="51"/>
      <c r="B139" s="654" t="s">
        <v>183</v>
      </c>
      <c r="C139" s="655"/>
      <c r="D139" s="670"/>
      <c r="E139" s="161"/>
      <c r="F139" s="161" t="s">
        <v>75</v>
      </c>
      <c r="G139" s="161" t="s">
        <v>76</v>
      </c>
      <c r="H139" s="418"/>
      <c r="I139" s="374" t="s">
        <v>75</v>
      </c>
      <c r="J139" s="53" t="s">
        <v>76</v>
      </c>
    </row>
    <row r="140" spans="1:20" ht="15.9" hidden="1" customHeight="1">
      <c r="A140" s="51"/>
      <c r="B140" s="91"/>
      <c r="C140" s="671"/>
      <c r="D140" s="672"/>
      <c r="E140" s="163"/>
      <c r="F140" s="54"/>
      <c r="G140" s="385"/>
      <c r="H140" s="418"/>
      <c r="I140" s="132"/>
      <c r="J140" s="55"/>
    </row>
    <row r="141" spans="1:20" ht="15.9" hidden="1" customHeight="1">
      <c r="A141" s="51"/>
      <c r="B141" s="91"/>
      <c r="C141" s="650" t="s">
        <v>184</v>
      </c>
      <c r="D141" s="657"/>
      <c r="E141" s="58"/>
      <c r="F141" s="243">
        <f>F21</f>
        <v>9515</v>
      </c>
      <c r="G141" s="244">
        <f>F141/F6</f>
        <v>883.96506874767749</v>
      </c>
      <c r="H141" s="426"/>
      <c r="I141" s="241">
        <f>I21</f>
        <v>9515</v>
      </c>
      <c r="J141" s="242">
        <f>I141/I6</f>
        <v>883.96506874767749</v>
      </c>
    </row>
    <row r="142" spans="1:20" ht="15.9" hidden="1" customHeight="1">
      <c r="A142" s="51"/>
      <c r="B142" s="91"/>
      <c r="C142" s="656" t="s">
        <v>185</v>
      </c>
      <c r="D142" s="657"/>
      <c r="E142" s="59"/>
      <c r="F142" s="56">
        <f>F24</f>
        <v>0</v>
      </c>
      <c r="G142" s="388">
        <f>G24</f>
        <v>0</v>
      </c>
      <c r="H142" s="418"/>
      <c r="I142" s="133">
        <f>I24</f>
        <v>0</v>
      </c>
      <c r="J142" s="57">
        <f>J24</f>
        <v>0</v>
      </c>
    </row>
    <row r="143" spans="1:20" ht="15.9" hidden="1" customHeight="1">
      <c r="A143" s="51"/>
      <c r="B143" s="91"/>
      <c r="C143" s="656" t="s">
        <v>186</v>
      </c>
      <c r="D143" s="657"/>
      <c r="E143" s="73"/>
      <c r="F143" s="56" t="e">
        <f>+#REF!</f>
        <v>#REF!</v>
      </c>
      <c r="G143" s="388" t="e">
        <f>+#REF!</f>
        <v>#REF!</v>
      </c>
      <c r="H143" s="418"/>
      <c r="I143" s="241" t="e">
        <f>+#REF!</f>
        <v>#REF!</v>
      </c>
      <c r="J143" s="242" t="e">
        <f>+#REF!</f>
        <v>#REF!</v>
      </c>
    </row>
    <row r="144" spans="1:20" ht="15.9" hidden="1" customHeight="1">
      <c r="A144" s="51"/>
      <c r="B144" s="91"/>
      <c r="C144" s="650" t="s">
        <v>187</v>
      </c>
      <c r="D144" s="657"/>
      <c r="E144" s="73"/>
      <c r="F144" s="56">
        <f>F109</f>
        <v>315.00158675585772</v>
      </c>
      <c r="G144" s="388">
        <f>+G109</f>
        <v>3390.677079840053</v>
      </c>
      <c r="H144" s="418"/>
      <c r="I144" s="133">
        <f>I109</f>
        <v>2.9994437893340105</v>
      </c>
      <c r="J144" s="72">
        <f>+J109</f>
        <v>32.286012948391289</v>
      </c>
    </row>
    <row r="145" spans="1:10" ht="15.9" hidden="1" customHeight="1">
      <c r="A145" s="51"/>
      <c r="B145" s="91"/>
      <c r="C145" s="741" t="s">
        <v>188</v>
      </c>
      <c r="D145" s="742"/>
      <c r="E145" s="92"/>
      <c r="F145" s="93">
        <f>F120</f>
        <v>0</v>
      </c>
      <c r="G145" s="208">
        <f>G120</f>
        <v>699.78</v>
      </c>
      <c r="H145" s="418"/>
      <c r="I145" s="141">
        <f>I120</f>
        <v>0</v>
      </c>
      <c r="J145" s="130">
        <f>J120</f>
        <v>6.6633022281470193</v>
      </c>
    </row>
    <row r="146" spans="1:10" ht="15.9" hidden="1" customHeight="1">
      <c r="A146" s="77"/>
      <c r="B146" s="162"/>
      <c r="C146" s="652" t="s">
        <v>189</v>
      </c>
      <c r="D146" s="653"/>
      <c r="E146" s="78"/>
      <c r="F146" s="245" t="e">
        <f>F136*#REF!</f>
        <v>#REF!</v>
      </c>
      <c r="G146" s="246" t="e">
        <f>G136*#REF!</f>
        <v>#REF!</v>
      </c>
      <c r="H146" s="418"/>
      <c r="I146" s="132" t="e">
        <f>I136*#REF!</f>
        <v>#REF!</v>
      </c>
      <c r="J146" s="55" t="e">
        <f>J136*#REF!</f>
        <v>#REF!</v>
      </c>
    </row>
    <row r="147" spans="1:10" ht="15.9" customHeight="1">
      <c r="A147" s="51"/>
      <c r="B147" s="94"/>
      <c r="C147" s="95"/>
      <c r="D147" s="51"/>
      <c r="E147" s="96"/>
      <c r="F147" s="97"/>
      <c r="G147" s="97"/>
      <c r="H147" s="418"/>
      <c r="I147" s="142"/>
      <c r="J147" s="98"/>
    </row>
    <row r="148" spans="1:10" ht="15.9" customHeight="1">
      <c r="A148" s="77"/>
      <c r="B148" s="654" t="s">
        <v>190</v>
      </c>
      <c r="C148" s="655"/>
      <c r="D148" s="670"/>
      <c r="E148" s="379"/>
      <c r="F148" s="379" t="s">
        <v>191</v>
      </c>
      <c r="G148" s="161" t="s">
        <v>191</v>
      </c>
      <c r="H148" s="418"/>
      <c r="I148" s="382" t="s">
        <v>67</v>
      </c>
      <c r="J148" s="53" t="s">
        <v>67</v>
      </c>
    </row>
    <row r="149" spans="1:10" ht="15.9" customHeight="1">
      <c r="A149" s="51"/>
      <c r="B149" s="99"/>
      <c r="C149" s="671"/>
      <c r="D149" s="672"/>
      <c r="E149" s="100"/>
      <c r="F149" s="101"/>
      <c r="G149" s="209"/>
      <c r="H149" s="418"/>
      <c r="I149" s="143"/>
      <c r="J149" s="102"/>
    </row>
    <row r="150" spans="1:10" ht="15.9" customHeight="1">
      <c r="A150" s="51"/>
      <c r="B150" s="99"/>
      <c r="C150" s="656" t="s">
        <v>192</v>
      </c>
      <c r="D150" s="657"/>
      <c r="E150" s="100"/>
      <c r="F150" s="101">
        <f>(+F64/(1+L1))*115%</f>
        <v>1411550.25</v>
      </c>
      <c r="G150" s="101">
        <f>+F150</f>
        <v>1411550.25</v>
      </c>
      <c r="H150" s="418"/>
      <c r="I150" s="143">
        <f>F150/$J$5</f>
        <v>13440.775566558752</v>
      </c>
      <c r="J150" s="102">
        <f>+I150</f>
        <v>13440.775566558752</v>
      </c>
    </row>
    <row r="151" spans="1:10" ht="15.9" customHeight="1">
      <c r="A151" s="51"/>
      <c r="B151" s="99"/>
      <c r="C151" s="656" t="s">
        <v>193</v>
      </c>
      <c r="D151" s="657"/>
      <c r="E151" s="100"/>
      <c r="F151" s="101">
        <v>0</v>
      </c>
      <c r="G151" s="209">
        <v>0</v>
      </c>
      <c r="H151" s="418"/>
      <c r="I151" s="143">
        <v>0</v>
      </c>
      <c r="J151" s="102">
        <v>0</v>
      </c>
    </row>
    <row r="152" spans="1:10" ht="15.9" customHeight="1">
      <c r="A152" s="51"/>
      <c r="B152" s="99"/>
      <c r="C152" s="656" t="s">
        <v>194</v>
      </c>
      <c r="D152" s="657"/>
      <c r="E152" s="100"/>
      <c r="F152" s="101">
        <f>(+F66/(1+L1))*115%</f>
        <v>192024.8346192516</v>
      </c>
      <c r="G152" s="209">
        <f>+F152</f>
        <v>192024.8346192516</v>
      </c>
      <c r="H152" s="418"/>
      <c r="I152" s="143">
        <f>F152/$J$5</f>
        <v>1828.4596707222588</v>
      </c>
      <c r="J152" s="102">
        <f>+I152</f>
        <v>1828.4596707222588</v>
      </c>
    </row>
    <row r="153" spans="1:10" ht="15.9" customHeight="1">
      <c r="A153" s="51"/>
      <c r="B153" s="99"/>
      <c r="C153" s="656" t="s">
        <v>195</v>
      </c>
      <c r="D153" s="657"/>
      <c r="E153" s="100"/>
      <c r="F153" s="101">
        <f>(+F67/(1+L1))*115%</f>
        <v>0</v>
      </c>
      <c r="G153" s="209">
        <f>+F153</f>
        <v>0</v>
      </c>
      <c r="H153" s="418"/>
      <c r="I153" s="143">
        <f>F153/J5</f>
        <v>0</v>
      </c>
      <c r="J153" s="102">
        <f>G153/J5</f>
        <v>0</v>
      </c>
    </row>
    <row r="154" spans="1:10" ht="15.9" customHeight="1">
      <c r="A154" s="51"/>
      <c r="B154" s="99"/>
      <c r="C154" s="650" t="s">
        <v>196</v>
      </c>
      <c r="D154" s="657"/>
      <c r="E154" s="103"/>
      <c r="F154" s="104">
        <f>SUM(F150:F153)</f>
        <v>1603575.0846192515</v>
      </c>
      <c r="G154" s="210">
        <f>SUM(G150:G153)</f>
        <v>1603575.0846192515</v>
      </c>
      <c r="H154" s="418"/>
      <c r="I154" s="523">
        <f>SUM(I150:I153)</f>
        <v>15269.235237281011</v>
      </c>
      <c r="J154" s="524">
        <f>SUM(J150:J153)</f>
        <v>15269.235237281011</v>
      </c>
    </row>
    <row r="155" spans="1:10" ht="15.9" customHeight="1">
      <c r="A155" s="51"/>
      <c r="B155" s="99"/>
      <c r="C155" s="650" t="s">
        <v>197</v>
      </c>
      <c r="D155" s="657"/>
      <c r="E155" s="105"/>
      <c r="F155" s="101">
        <f>+F154*12</f>
        <v>19242901.015431017</v>
      </c>
      <c r="G155" s="209">
        <f>+G154*12</f>
        <v>19242901.015431017</v>
      </c>
      <c r="H155" s="418"/>
      <c r="I155" s="143">
        <f>+I154*12</f>
        <v>183230.82284737212</v>
      </c>
      <c r="J155" s="102">
        <f>+J154*12</f>
        <v>183230.82284737212</v>
      </c>
    </row>
    <row r="156" spans="1:10" ht="15.9" customHeight="1">
      <c r="A156" s="51"/>
      <c r="B156" s="99"/>
      <c r="C156" s="671"/>
      <c r="D156" s="672"/>
      <c r="E156" s="105"/>
      <c r="F156" s="101"/>
      <c r="G156" s="209"/>
      <c r="H156" s="418"/>
      <c r="I156" s="143"/>
      <c r="J156" s="102"/>
    </row>
    <row r="157" spans="1:10" ht="15.9" customHeight="1">
      <c r="A157" s="51"/>
      <c r="B157" s="654" t="s">
        <v>198</v>
      </c>
      <c r="C157" s="655"/>
      <c r="D157" s="670"/>
      <c r="E157" s="375"/>
      <c r="F157" s="379" t="s">
        <v>191</v>
      </c>
      <c r="G157" s="161" t="s">
        <v>191</v>
      </c>
      <c r="H157" s="418"/>
      <c r="I157" s="382" t="s">
        <v>67</v>
      </c>
      <c r="J157" s="53" t="s">
        <v>67</v>
      </c>
    </row>
    <row r="158" spans="1:10" ht="15.9" customHeight="1">
      <c r="A158" s="51"/>
      <c r="B158" s="99"/>
      <c r="C158" s="671"/>
      <c r="D158" s="672"/>
      <c r="E158" s="105"/>
      <c r="F158" s="101"/>
      <c r="G158" s="209"/>
      <c r="H158" s="418"/>
      <c r="I158" s="143"/>
      <c r="J158" s="102"/>
    </row>
    <row r="159" spans="1:10" ht="15.9" customHeight="1">
      <c r="A159" s="51"/>
      <c r="B159" s="99"/>
      <c r="C159" s="739" t="s">
        <v>199</v>
      </c>
      <c r="D159" s="740"/>
      <c r="E159" s="105"/>
      <c r="F159" s="101">
        <f t="shared" ref="F159:G161" si="10">+F78</f>
        <v>14000000</v>
      </c>
      <c r="G159" s="209">
        <f t="shared" si="10"/>
        <v>14000000</v>
      </c>
      <c r="H159" s="233"/>
      <c r="I159" s="143">
        <f t="shared" ref="I159:J161" si="11">+I78</f>
        <v>133307.94134450582</v>
      </c>
      <c r="J159" s="102">
        <f t="shared" si="11"/>
        <v>133307.94134450582</v>
      </c>
    </row>
    <row r="160" spans="1:10" ht="15.9" customHeight="1">
      <c r="A160" s="51"/>
      <c r="B160" s="99"/>
      <c r="C160" s="650" t="s">
        <v>200</v>
      </c>
      <c r="D160" s="651"/>
      <c r="E160" s="105"/>
      <c r="F160" s="101">
        <f t="shared" si="10"/>
        <v>43000000</v>
      </c>
      <c r="G160" s="209">
        <f t="shared" si="10"/>
        <v>43000000</v>
      </c>
      <c r="H160" s="233"/>
      <c r="I160" s="143">
        <f t="shared" si="11"/>
        <v>409445.81984383927</v>
      </c>
      <c r="J160" s="102">
        <f t="shared" si="11"/>
        <v>4407274.8047990855</v>
      </c>
    </row>
    <row r="161" spans="1:22" ht="15.9" customHeight="1">
      <c r="A161" s="51"/>
      <c r="B161" s="99"/>
      <c r="C161" s="650" t="s">
        <v>201</v>
      </c>
      <c r="D161" s="651"/>
      <c r="E161" s="105"/>
      <c r="F161" s="101">
        <f t="shared" si="10"/>
        <v>2500000</v>
      </c>
      <c r="G161" s="209">
        <f t="shared" si="10"/>
        <v>2500000</v>
      </c>
      <c r="H161" s="233"/>
      <c r="I161" s="143">
        <f t="shared" si="11"/>
        <v>23804.989525804609</v>
      </c>
      <c r="J161" s="102">
        <f t="shared" si="11"/>
        <v>256236.9072557608</v>
      </c>
    </row>
    <row r="162" spans="1:22" ht="15.9" customHeight="1">
      <c r="A162" s="51"/>
      <c r="B162" s="99"/>
      <c r="C162" s="652" t="s">
        <v>29</v>
      </c>
      <c r="D162" s="653"/>
      <c r="E162" s="105"/>
      <c r="F162" s="237">
        <f>SUM(F159:F161)</f>
        <v>59500000</v>
      </c>
      <c r="G162" s="237">
        <f>SUM(G159:G161)</f>
        <v>59500000</v>
      </c>
      <c r="H162" s="238"/>
      <c r="I162" s="239">
        <f>SUM(I159:I161)</f>
        <v>566558.75071414968</v>
      </c>
      <c r="J162" s="110">
        <f>SUM(J159:J161)</f>
        <v>4796819.653399352</v>
      </c>
    </row>
    <row r="163" spans="1:22" ht="15.9" customHeight="1">
      <c r="A163" s="51"/>
      <c r="B163" s="99"/>
      <c r="C163" s="671"/>
      <c r="D163" s="672"/>
      <c r="E163" s="105"/>
      <c r="F163" s="101"/>
      <c r="G163" s="209"/>
      <c r="H163" s="418"/>
      <c r="I163" s="143"/>
      <c r="J163" s="102"/>
    </row>
    <row r="164" spans="1:22" ht="15.9" customHeight="1">
      <c r="A164" s="106"/>
      <c r="B164" s="658" t="s">
        <v>202</v>
      </c>
      <c r="C164" s="659"/>
      <c r="D164" s="660"/>
      <c r="E164" s="668"/>
      <c r="F164" s="161" t="s">
        <v>75</v>
      </c>
      <c r="G164" s="161" t="s">
        <v>76</v>
      </c>
      <c r="H164" s="418"/>
      <c r="I164" s="374" t="s">
        <v>75</v>
      </c>
      <c r="J164" s="53" t="s">
        <v>76</v>
      </c>
    </row>
    <row r="165" spans="1:22" ht="15.9" customHeight="1">
      <c r="A165" s="106"/>
      <c r="B165" s="736"/>
      <c r="C165" s="737"/>
      <c r="D165" s="738"/>
      <c r="E165" s="669"/>
      <c r="F165" s="161" t="s">
        <v>73</v>
      </c>
      <c r="G165" s="161" t="s">
        <v>73</v>
      </c>
      <c r="H165" s="418"/>
      <c r="I165" s="374" t="s">
        <v>67</v>
      </c>
      <c r="J165" s="53" t="s">
        <v>67</v>
      </c>
    </row>
    <row r="166" spans="1:22" ht="15.9" customHeight="1">
      <c r="A166" s="107"/>
      <c r="B166" s="99"/>
      <c r="C166" s="671"/>
      <c r="D166" s="672"/>
      <c r="E166" s="59"/>
      <c r="F166" s="56"/>
      <c r="G166" s="388"/>
      <c r="H166" s="418"/>
      <c r="I166" s="133"/>
      <c r="J166" s="57"/>
    </row>
    <row r="167" spans="1:22" ht="15.9" customHeight="1">
      <c r="A167" s="107"/>
      <c r="B167" s="99"/>
      <c r="C167" s="734" t="str">
        <f>+C107</f>
        <v>Net Rent I</v>
      </c>
      <c r="D167" s="735"/>
      <c r="E167" s="59"/>
      <c r="F167" s="56">
        <f>+F107</f>
        <v>178.63340737048182</v>
      </c>
      <c r="G167" s="388">
        <f>+G107</f>
        <v>1922.8099969358664</v>
      </c>
      <c r="H167" s="418"/>
      <c r="I167" s="136">
        <f>+I107</f>
        <v>1.7009465565652433</v>
      </c>
      <c r="J167" s="67">
        <f>+J107</f>
        <v>18.308988734868276</v>
      </c>
      <c r="T167" s="423"/>
    </row>
    <row r="168" spans="1:22" ht="15.9" customHeight="1">
      <c r="A168" s="107"/>
      <c r="B168" s="99"/>
      <c r="C168" s="734" t="str">
        <f>+C108</f>
        <v>Net Rent II</v>
      </c>
      <c r="D168" s="735"/>
      <c r="E168" s="59"/>
      <c r="F168" s="56">
        <f>+F108</f>
        <v>136.36817938537592</v>
      </c>
      <c r="G168" s="388">
        <f>+G108</f>
        <v>1467.8670829041866</v>
      </c>
      <c r="H168" s="418"/>
      <c r="I168" s="136">
        <f>+I108</f>
        <v>1.2984972327687672</v>
      </c>
      <c r="J168" s="67">
        <f>+J108</f>
        <v>13.977024213523011</v>
      </c>
      <c r="T168" s="423"/>
    </row>
    <row r="169" spans="1:22" ht="15.9" customHeight="1">
      <c r="A169" s="107"/>
      <c r="B169" s="147"/>
      <c r="C169" s="730" t="s">
        <v>203</v>
      </c>
      <c r="D169" s="731"/>
      <c r="E169" s="148"/>
      <c r="F169" s="149">
        <f>SUM(F167:F168)</f>
        <v>315.00158675585772</v>
      </c>
      <c r="G169" s="211">
        <f>SUM(G167:G168)</f>
        <v>3390.677079840053</v>
      </c>
      <c r="H169" s="212"/>
      <c r="I169" s="234">
        <f>SUM(I167:I168)</f>
        <v>2.9994437893340105</v>
      </c>
      <c r="J169" s="214">
        <f>SUM(J167:J168)</f>
        <v>32.286012948391289</v>
      </c>
      <c r="T169" s="423"/>
      <c r="V169" s="423"/>
    </row>
    <row r="170" spans="1:22" ht="15.9" customHeight="1">
      <c r="A170" s="107"/>
      <c r="B170" s="162"/>
      <c r="C170" s="732"/>
      <c r="D170" s="733"/>
      <c r="E170" s="75"/>
      <c r="F170" s="54"/>
      <c r="G170" s="385"/>
      <c r="H170" s="279"/>
      <c r="I170" s="191"/>
      <c r="J170" s="192"/>
      <c r="U170" s="423"/>
      <c r="V170" s="414"/>
    </row>
    <row r="171" spans="1:22" ht="15.9" customHeight="1">
      <c r="A171" s="107"/>
      <c r="B171" s="99"/>
      <c r="C171" s="734" t="str">
        <f>+C120</f>
        <v xml:space="preserve">OpEx I </v>
      </c>
      <c r="D171" s="735"/>
      <c r="E171" s="59"/>
      <c r="F171" s="56">
        <f>+F120</f>
        <v>0</v>
      </c>
      <c r="G171" s="56">
        <f>+G120</f>
        <v>699.78</v>
      </c>
      <c r="H171" s="418"/>
      <c r="I171" s="136">
        <f>F171/J5</f>
        <v>0</v>
      </c>
      <c r="J171" s="67">
        <f>G171/J5</f>
        <v>6.6633022281470193</v>
      </c>
      <c r="T171" s="423"/>
    </row>
    <row r="172" spans="1:22" ht="15.9" customHeight="1">
      <c r="A172" s="107"/>
      <c r="B172" s="99"/>
      <c r="C172" s="734" t="str">
        <f>+C124</f>
        <v xml:space="preserve">OpEx II </v>
      </c>
      <c r="D172" s="735"/>
      <c r="E172" s="59"/>
      <c r="F172" s="56">
        <f>+F124</f>
        <v>0</v>
      </c>
      <c r="G172" s="388">
        <f>+G124</f>
        <v>0</v>
      </c>
      <c r="H172" s="418"/>
      <c r="I172" s="136">
        <f>+I124</f>
        <v>0</v>
      </c>
      <c r="J172" s="67">
        <f>+J124</f>
        <v>0</v>
      </c>
    </row>
    <row r="173" spans="1:22" ht="15.9" customHeight="1">
      <c r="A173" s="107"/>
      <c r="B173" s="150"/>
      <c r="C173" s="730" t="s">
        <v>204</v>
      </c>
      <c r="D173" s="731"/>
      <c r="E173" s="151"/>
      <c r="F173" s="152">
        <f>SUM(F171:F172)</f>
        <v>0</v>
      </c>
      <c r="G173" s="278">
        <f>SUM(G171:G172)</f>
        <v>699.78</v>
      </c>
      <c r="H173" s="428"/>
      <c r="I173" s="153">
        <f>SUM(I171:I172)</f>
        <v>0</v>
      </c>
      <c r="J173" s="247">
        <f>SUM(J171:J172)</f>
        <v>6.6633022281470193</v>
      </c>
    </row>
    <row r="174" spans="1:22" ht="15.9" customHeight="1">
      <c r="A174" s="107"/>
      <c r="B174" s="99"/>
      <c r="C174" s="145"/>
      <c r="D174" s="146"/>
      <c r="E174" s="274"/>
      <c r="F174" s="275"/>
      <c r="G174" s="280"/>
      <c r="H174" s="429"/>
      <c r="I174" s="276"/>
      <c r="J174" s="277"/>
    </row>
    <row r="175" spans="1:22" ht="15.9" customHeight="1">
      <c r="A175" s="107"/>
      <c r="B175" s="99"/>
      <c r="C175" s="734" t="str">
        <f>+C133</f>
        <v xml:space="preserve">Services </v>
      </c>
      <c r="D175" s="735"/>
      <c r="E175" s="59"/>
      <c r="F175" s="56">
        <f>+F133</f>
        <v>0</v>
      </c>
      <c r="G175" s="388">
        <f>+G133</f>
        <v>0</v>
      </c>
      <c r="H175" s="418"/>
      <c r="I175" s="136">
        <f>+I133</f>
        <v>0</v>
      </c>
      <c r="J175" s="67">
        <f>+J133</f>
        <v>0</v>
      </c>
    </row>
    <row r="176" spans="1:22" ht="15.9" customHeight="1">
      <c r="A176" s="107"/>
      <c r="B176" s="150"/>
      <c r="C176" s="730" t="s">
        <v>205</v>
      </c>
      <c r="D176" s="731"/>
      <c r="E176" s="151"/>
      <c r="F176" s="152">
        <f>SUM(F175)</f>
        <v>0</v>
      </c>
      <c r="G176" s="278">
        <f>SUM(G175)</f>
        <v>0</v>
      </c>
      <c r="H176" s="428"/>
      <c r="I176" s="153">
        <f>SUM(I175)</f>
        <v>0</v>
      </c>
      <c r="J176" s="247">
        <f>SUM(J175)</f>
        <v>0</v>
      </c>
    </row>
    <row r="177" spans="1:19" ht="15.9" customHeight="1">
      <c r="A177" s="107"/>
      <c r="B177" s="99"/>
      <c r="C177" s="671"/>
      <c r="D177" s="672"/>
      <c r="E177" s="59"/>
      <c r="F177" s="56"/>
      <c r="G177" s="388"/>
      <c r="H177" s="418"/>
      <c r="I177" s="138"/>
      <c r="J177" s="72"/>
    </row>
    <row r="178" spans="1:19" ht="15.9" customHeight="1">
      <c r="A178" s="107"/>
      <c r="B178" s="150"/>
      <c r="C178" s="730" t="s">
        <v>206</v>
      </c>
      <c r="D178" s="731"/>
      <c r="E178" s="154"/>
      <c r="F178" s="149">
        <f>+F169+F173+F176</f>
        <v>315.00158675585772</v>
      </c>
      <c r="G178" s="211">
        <f>+G169+G173+G176</f>
        <v>4090.4570798400528</v>
      </c>
      <c r="H178" s="430"/>
      <c r="I178" s="234">
        <f>+I169+I173+I176</f>
        <v>2.9994437893340105</v>
      </c>
      <c r="J178" s="214">
        <f>+J169+J173+J176</f>
        <v>38.949315176538306</v>
      </c>
      <c r="S178" s="422"/>
    </row>
    <row r="179" spans="1:19" ht="15.9" customHeight="1">
      <c r="A179" s="107"/>
      <c r="B179" s="99"/>
      <c r="C179" s="145"/>
      <c r="D179" s="146"/>
      <c r="E179" s="59"/>
      <c r="F179" s="56"/>
      <c r="G179" s="388"/>
      <c r="H179" s="418"/>
      <c r="I179" s="133"/>
      <c r="J179" s="57"/>
    </row>
    <row r="180" spans="1:19" ht="15.9" customHeight="1">
      <c r="A180" s="107"/>
      <c r="B180" s="654" t="s">
        <v>207</v>
      </c>
      <c r="C180" s="655"/>
      <c r="D180" s="670"/>
      <c r="E180" s="379"/>
      <c r="F180" s="379" t="s">
        <v>191</v>
      </c>
      <c r="G180" s="161" t="s">
        <v>191</v>
      </c>
      <c r="H180" s="418"/>
      <c r="I180" s="382" t="s">
        <v>67</v>
      </c>
      <c r="J180" s="53" t="s">
        <v>67</v>
      </c>
    </row>
    <row r="181" spans="1:19" ht="15.9" customHeight="1">
      <c r="A181" s="107"/>
      <c r="B181" s="99"/>
      <c r="C181" s="671"/>
      <c r="D181" s="672"/>
      <c r="E181" s="59"/>
      <c r="F181" s="56"/>
      <c r="G181" s="388"/>
      <c r="H181" s="418"/>
      <c r="I181" s="133"/>
      <c r="J181" s="57"/>
    </row>
    <row r="182" spans="1:19" ht="15.9" customHeight="1">
      <c r="A182" s="107"/>
      <c r="B182" s="99"/>
      <c r="C182" s="656" t="s">
        <v>208</v>
      </c>
      <c r="D182" s="657"/>
      <c r="E182" s="100"/>
      <c r="F182" s="101"/>
      <c r="G182" s="209">
        <f>+G169*G21</f>
        <v>2997240.0979819871</v>
      </c>
      <c r="H182" s="418"/>
      <c r="I182" s="143"/>
      <c r="J182" s="102">
        <f>+G182/$J$5</f>
        <v>28539.707655513113</v>
      </c>
    </row>
    <row r="183" spans="1:19" ht="15.9" customHeight="1">
      <c r="A183" s="107"/>
      <c r="B183" s="99"/>
      <c r="C183" s="650" t="s">
        <v>209</v>
      </c>
      <c r="D183" s="657"/>
      <c r="E183" s="100"/>
      <c r="F183" s="101"/>
      <c r="G183" s="209">
        <f>+G173*G21</f>
        <v>618581.07580824976</v>
      </c>
      <c r="H183" s="418"/>
      <c r="I183" s="143"/>
      <c r="J183" s="102">
        <f>+G183/$J$5</f>
        <v>5890.1264121905333</v>
      </c>
    </row>
    <row r="184" spans="1:19" ht="15.9" customHeight="1">
      <c r="A184" s="107"/>
      <c r="B184" s="99"/>
      <c r="C184" s="650" t="s">
        <v>210</v>
      </c>
      <c r="D184" s="651"/>
      <c r="E184" s="100"/>
      <c r="F184" s="101"/>
      <c r="G184" s="209">
        <f>+G176*G21</f>
        <v>0</v>
      </c>
      <c r="H184" s="418"/>
      <c r="I184" s="143"/>
      <c r="J184" s="102"/>
    </row>
    <row r="185" spans="1:19" ht="15.9" customHeight="1">
      <c r="A185" s="107"/>
      <c r="B185" s="99"/>
      <c r="C185" s="650" t="s">
        <v>211</v>
      </c>
      <c r="D185" s="657"/>
      <c r="E185" s="100"/>
      <c r="F185" s="101"/>
      <c r="G185" s="209">
        <f>SUM(G182:G184)</f>
        <v>3615821.1737902369</v>
      </c>
      <c r="H185" s="418"/>
      <c r="I185" s="143"/>
      <c r="J185" s="102">
        <f>SUM(J182:J184)</f>
        <v>34429.834067703647</v>
      </c>
    </row>
    <row r="186" spans="1:19" ht="15.9" customHeight="1">
      <c r="A186" s="107"/>
      <c r="B186" s="99"/>
      <c r="C186" s="650" t="s">
        <v>212</v>
      </c>
      <c r="D186" s="657"/>
      <c r="E186" s="100"/>
      <c r="F186" s="101"/>
      <c r="G186" s="209">
        <f>+G185*12</f>
        <v>43389854.085482843</v>
      </c>
      <c r="H186" s="418"/>
      <c r="I186" s="143"/>
      <c r="J186" s="102">
        <f>+J185*12</f>
        <v>413158.00881244376</v>
      </c>
    </row>
    <row r="187" spans="1:19" ht="15.9" customHeight="1" thickBot="1">
      <c r="A187" s="107"/>
      <c r="B187" s="79"/>
      <c r="C187" s="51"/>
      <c r="D187" s="51"/>
      <c r="E187" s="108"/>
      <c r="F187" s="109"/>
      <c r="G187" s="109"/>
      <c r="H187" s="419"/>
      <c r="I187" s="235"/>
      <c r="J187" s="236"/>
    </row>
    <row r="188" spans="1:19" ht="15.9" customHeight="1" thickBot="1">
      <c r="A188" s="107"/>
      <c r="B188" s="727" t="s">
        <v>213</v>
      </c>
      <c r="C188" s="728"/>
      <c r="D188" s="728"/>
      <c r="E188" s="728"/>
      <c r="F188" s="728"/>
      <c r="G188" s="728"/>
      <c r="H188" s="728"/>
      <c r="I188" s="728"/>
      <c r="J188" s="729"/>
    </row>
    <row r="189" spans="1:19" ht="15.9" customHeight="1">
      <c r="A189" s="51"/>
      <c r="B189" s="164"/>
      <c r="C189" s="669" t="s">
        <v>214</v>
      </c>
      <c r="D189" s="669"/>
      <c r="E189" s="378"/>
      <c r="F189" s="378" t="s">
        <v>191</v>
      </c>
      <c r="G189" s="168" t="s">
        <v>191</v>
      </c>
      <c r="H189" s="724"/>
      <c r="I189" s="229" t="s">
        <v>67</v>
      </c>
      <c r="J189" s="230" t="s">
        <v>67</v>
      </c>
    </row>
    <row r="190" spans="1:19" ht="15.9" customHeight="1">
      <c r="A190" s="51"/>
      <c r="B190" s="162"/>
      <c r="C190" s="656" t="s">
        <v>215</v>
      </c>
      <c r="D190" s="657"/>
      <c r="E190" s="163"/>
      <c r="F190" s="163"/>
      <c r="G190" s="102">
        <f>+G20</f>
        <v>0</v>
      </c>
      <c r="H190" s="725"/>
      <c r="I190" s="162"/>
      <c r="J190" s="102">
        <f>+G190/J5</f>
        <v>0</v>
      </c>
    </row>
    <row r="191" spans="1:19" ht="15.9" customHeight="1">
      <c r="A191" s="51"/>
      <c r="B191" s="162"/>
      <c r="C191" s="656" t="s">
        <v>216</v>
      </c>
      <c r="D191" s="657"/>
      <c r="E191" s="163"/>
      <c r="F191" s="163"/>
      <c r="G191" s="102">
        <f>+G190*G23</f>
        <v>0</v>
      </c>
      <c r="H191" s="725"/>
      <c r="I191" s="162"/>
      <c r="J191" s="102">
        <f>+J190*J23</f>
        <v>0</v>
      </c>
    </row>
    <row r="192" spans="1:19" ht="15.9" customHeight="1">
      <c r="A192" s="51"/>
      <c r="B192" s="162"/>
      <c r="C192" s="694" t="s">
        <v>217</v>
      </c>
      <c r="D192" s="694"/>
      <c r="E192" s="163"/>
      <c r="F192" s="163"/>
      <c r="G192" s="102">
        <f>+G191*25%</f>
        <v>0</v>
      </c>
      <c r="H192" s="725"/>
      <c r="I192" s="162"/>
      <c r="J192" s="102">
        <f>+J191*25%</f>
        <v>0</v>
      </c>
    </row>
    <row r="193" spans="1:20" ht="15.9" customHeight="1">
      <c r="A193" s="51"/>
      <c r="B193" s="162"/>
      <c r="C193" s="650" t="s">
        <v>218</v>
      </c>
      <c r="D193" s="657"/>
      <c r="E193" s="163"/>
      <c r="F193" s="163"/>
      <c r="G193" s="102">
        <f>+G192*1%</f>
        <v>0</v>
      </c>
      <c r="H193" s="725"/>
      <c r="I193" s="162"/>
      <c r="J193" s="102">
        <f>G193/J5</f>
        <v>0</v>
      </c>
    </row>
    <row r="194" spans="1:20" ht="15.9" customHeight="1">
      <c r="A194" s="51"/>
      <c r="B194" s="162"/>
      <c r="C194" s="650" t="s">
        <v>219</v>
      </c>
      <c r="D194" s="657"/>
      <c r="E194" s="163"/>
      <c r="F194" s="163"/>
      <c r="G194" s="102">
        <f>G193*0.5</f>
        <v>0</v>
      </c>
      <c r="H194" s="725"/>
      <c r="I194" s="162"/>
      <c r="J194" s="102">
        <f>G194/J5</f>
        <v>0</v>
      </c>
    </row>
    <row r="195" spans="1:20" ht="15.9" customHeight="1" thickBot="1">
      <c r="A195" s="51"/>
      <c r="B195" s="162"/>
      <c r="C195" s="694" t="s">
        <v>220</v>
      </c>
      <c r="D195" s="694"/>
      <c r="E195" s="163"/>
      <c r="F195" s="163"/>
      <c r="G195" s="110">
        <f>G83</f>
        <v>511749.08384775487</v>
      </c>
      <c r="H195" s="725"/>
      <c r="I195" s="162"/>
      <c r="J195" s="110">
        <f>+J193+J194</f>
        <v>0</v>
      </c>
    </row>
    <row r="196" spans="1:20" ht="15.9" customHeight="1">
      <c r="A196" s="166"/>
      <c r="B196" s="382"/>
      <c r="C196" s="662"/>
      <c r="D196" s="662"/>
      <c r="E196" s="379"/>
      <c r="F196" s="379" t="s">
        <v>191</v>
      </c>
      <c r="G196" s="53" t="s">
        <v>191</v>
      </c>
      <c r="H196" s="725"/>
      <c r="I196" s="229" t="s">
        <v>67</v>
      </c>
      <c r="J196" s="230" t="s">
        <v>67</v>
      </c>
    </row>
    <row r="197" spans="1:20" ht="15.9" customHeight="1">
      <c r="A197" s="74"/>
      <c r="B197" s="99"/>
      <c r="C197" s="656" t="s">
        <v>221</v>
      </c>
      <c r="D197" s="657"/>
      <c r="E197" s="58"/>
      <c r="F197" s="50"/>
      <c r="G197" s="102">
        <f>+G55</f>
        <v>72</v>
      </c>
      <c r="H197" s="725"/>
      <c r="I197" s="91"/>
      <c r="J197" s="102">
        <f>+J55</f>
        <v>72</v>
      </c>
    </row>
    <row r="198" spans="1:20" ht="15.9" customHeight="1">
      <c r="A198" s="74"/>
      <c r="B198" s="99"/>
      <c r="C198" s="656" t="s">
        <v>222</v>
      </c>
      <c r="D198" s="657"/>
      <c r="E198" s="58"/>
      <c r="F198" s="50"/>
      <c r="G198" s="102">
        <f>F141</f>
        <v>9515</v>
      </c>
      <c r="H198" s="725"/>
      <c r="I198" s="91"/>
      <c r="J198" s="102">
        <f>I141</f>
        <v>9515</v>
      </c>
    </row>
    <row r="199" spans="1:20" ht="15.9" customHeight="1">
      <c r="A199" s="120"/>
      <c r="B199" s="99"/>
      <c r="C199" s="656" t="s">
        <v>223</v>
      </c>
      <c r="D199" s="657"/>
      <c r="E199" s="58"/>
      <c r="F199" s="50"/>
      <c r="G199" s="111">
        <f>+F61</f>
        <v>129</v>
      </c>
      <c r="H199" s="725"/>
      <c r="I199" s="91"/>
      <c r="J199" s="111">
        <f>+I61</f>
        <v>1.228337459531518</v>
      </c>
    </row>
    <row r="200" spans="1:20" ht="15.9" customHeight="1">
      <c r="A200" s="74"/>
      <c r="B200" s="99"/>
      <c r="C200" s="656" t="s">
        <v>223</v>
      </c>
      <c r="D200" s="657"/>
      <c r="E200" s="58"/>
      <c r="F200" s="50"/>
      <c r="G200" s="102">
        <f>(G198*G199*G197)</f>
        <v>88375320</v>
      </c>
      <c r="H200" s="725"/>
      <c r="I200" s="91"/>
      <c r="J200" s="102">
        <f>+G200/$J$5</f>
        <v>841509.42677585222</v>
      </c>
    </row>
    <row r="201" spans="1:20" ht="15.9" customHeight="1">
      <c r="A201" s="74"/>
      <c r="B201" s="99"/>
      <c r="C201" s="656" t="s">
        <v>224</v>
      </c>
      <c r="D201" s="657"/>
      <c r="E201" s="58"/>
      <c r="F201" s="50"/>
      <c r="G201" s="102">
        <f>G200/G197*12</f>
        <v>14729220</v>
      </c>
      <c r="H201" s="725"/>
      <c r="I201" s="91"/>
      <c r="J201" s="102">
        <f>+G201/$J$5</f>
        <v>140251.57112930872</v>
      </c>
    </row>
    <row r="202" spans="1:20" ht="15.9" customHeight="1">
      <c r="A202" s="74"/>
      <c r="B202" s="99"/>
      <c r="C202" s="656" t="s">
        <v>225</v>
      </c>
      <c r="D202" s="657"/>
      <c r="E202" s="58"/>
      <c r="F202" s="50"/>
      <c r="G202" s="102">
        <f>(+G221*115%)/5</f>
        <v>0</v>
      </c>
      <c r="H202" s="725"/>
      <c r="I202" s="91"/>
      <c r="J202" s="102">
        <f>+G202/$J$5</f>
        <v>0</v>
      </c>
    </row>
    <row r="203" spans="1:20" ht="15.9" customHeight="1">
      <c r="A203" s="74"/>
      <c r="B203" s="99"/>
      <c r="C203" s="656" t="s">
        <v>226</v>
      </c>
      <c r="D203" s="657"/>
      <c r="E203" s="58"/>
      <c r="F203" s="50"/>
      <c r="G203" s="102">
        <f>(+I221*115%)/5</f>
        <v>2765157.6185172233</v>
      </c>
      <c r="H203" s="725"/>
      <c r="I203" s="91"/>
      <c r="J203" s="102">
        <f>+G203/$J$5</f>
        <v>26329.819258400526</v>
      </c>
    </row>
    <row r="204" spans="1:20" ht="15.9" customHeight="1">
      <c r="A204" s="74"/>
      <c r="B204" s="99"/>
      <c r="C204" s="656" t="s">
        <v>36</v>
      </c>
      <c r="D204" s="657"/>
      <c r="E204" s="58"/>
      <c r="F204" s="50"/>
      <c r="G204" s="102">
        <f>+G68</f>
        <v>11418000</v>
      </c>
      <c r="H204" s="725"/>
      <c r="I204" s="91"/>
      <c r="J204" s="102">
        <f>+G204/$J$5</f>
        <v>108722.14816225482</v>
      </c>
    </row>
    <row r="205" spans="1:20" ht="15.9" customHeight="1">
      <c r="A205" s="74"/>
      <c r="B205" s="99"/>
      <c r="C205" s="650" t="s">
        <v>227</v>
      </c>
      <c r="D205" s="657"/>
      <c r="E205" s="58"/>
      <c r="F205" s="50"/>
      <c r="G205" s="102">
        <f>(G201+G202+G203+G204)*1.18</f>
        <v>34116605.589850321</v>
      </c>
      <c r="H205" s="725"/>
      <c r="I205" s="91"/>
      <c r="J205" s="102">
        <f>+J201+J202+J203+J204</f>
        <v>275303.53854996408</v>
      </c>
    </row>
    <row r="206" spans="1:20" ht="15.9" customHeight="1">
      <c r="A206" s="74"/>
      <c r="B206" s="99"/>
      <c r="C206" s="650" t="s">
        <v>228</v>
      </c>
      <c r="D206" s="657"/>
      <c r="E206" s="58"/>
      <c r="F206" s="50"/>
      <c r="G206" s="102">
        <f>G205*1%</f>
        <v>341166.05589850323</v>
      </c>
      <c r="H206" s="725"/>
      <c r="I206" s="91"/>
      <c r="J206" s="102">
        <f>J205*1%</f>
        <v>2753.0353854996411</v>
      </c>
    </row>
    <row r="207" spans="1:20" ht="15.9" customHeight="1">
      <c r="A207" s="74"/>
      <c r="B207" s="99"/>
      <c r="C207" s="656" t="s">
        <v>229</v>
      </c>
      <c r="D207" s="657"/>
      <c r="E207" s="58"/>
      <c r="F207" s="50"/>
      <c r="G207" s="102">
        <f>G205*0.5%</f>
        <v>170583.02794925161</v>
      </c>
      <c r="H207" s="725"/>
      <c r="I207" s="91"/>
      <c r="J207" s="102">
        <f>J205*0.5%</f>
        <v>1376.5176927498205</v>
      </c>
    </row>
    <row r="208" spans="1:20" ht="15.9" customHeight="1">
      <c r="A208" s="74"/>
      <c r="B208" s="99"/>
      <c r="C208" s="652" t="s">
        <v>220</v>
      </c>
      <c r="D208" s="653"/>
      <c r="E208" s="58"/>
      <c r="F208" s="50"/>
      <c r="G208" s="102">
        <f>G206+G207</f>
        <v>511749.08384775487</v>
      </c>
      <c r="H208" s="725"/>
      <c r="I208" s="91"/>
      <c r="J208" s="102">
        <v>0</v>
      </c>
      <c r="T208" s="421"/>
    </row>
    <row r="209" spans="1:24" ht="15.9" customHeight="1">
      <c r="A209" s="51"/>
      <c r="B209" s="79"/>
      <c r="C209" s="51"/>
      <c r="D209" s="51"/>
      <c r="E209" s="80"/>
      <c r="F209" s="51"/>
      <c r="G209" s="337"/>
      <c r="H209" s="725"/>
      <c r="I209" s="94"/>
      <c r="J209" s="81"/>
    </row>
    <row r="210" spans="1:24" ht="32.25" customHeight="1">
      <c r="A210" s="51"/>
      <c r="B210" s="374" t="s">
        <v>230</v>
      </c>
      <c r="C210" s="379" t="s">
        <v>231</v>
      </c>
      <c r="D210" s="382" t="s">
        <v>232</v>
      </c>
      <c r="E210" s="112"/>
      <c r="F210" s="53" t="s">
        <v>233</v>
      </c>
      <c r="G210" s="161" t="s">
        <v>234</v>
      </c>
      <c r="H210" s="725"/>
      <c r="I210" s="379" t="s">
        <v>235</v>
      </c>
      <c r="J210" s="53" t="s">
        <v>236</v>
      </c>
    </row>
    <row r="211" spans="1:24" ht="15.9" customHeight="1">
      <c r="A211" s="51"/>
      <c r="B211" s="99">
        <v>1</v>
      </c>
      <c r="C211" s="101">
        <f>'Lease Rent'!N39</f>
        <v>9134400</v>
      </c>
      <c r="D211" s="143"/>
      <c r="E211" s="58"/>
      <c r="F211" s="284">
        <v>0</v>
      </c>
      <c r="G211" s="101">
        <v>0</v>
      </c>
      <c r="H211" s="725"/>
      <c r="I211" s="101">
        <f>'Lease Rent'!O39</f>
        <v>1178337.5999999999</v>
      </c>
      <c r="J211" s="102"/>
      <c r="S211" s="421"/>
      <c r="T211" s="420"/>
      <c r="U211" s="421"/>
      <c r="V211" s="420"/>
    </row>
    <row r="212" spans="1:24" ht="15.9" customHeight="1">
      <c r="A212" s="51"/>
      <c r="B212" s="99">
        <v>2</v>
      </c>
      <c r="C212" s="101">
        <f>'Lease Rent'!N51</f>
        <v>13701600</v>
      </c>
      <c r="D212" s="281"/>
      <c r="E212" s="58"/>
      <c r="F212" s="284">
        <f>F211</f>
        <v>0</v>
      </c>
      <c r="G212" s="101">
        <v>0</v>
      </c>
      <c r="H212" s="725"/>
      <c r="I212" s="101">
        <f>'Lease Rent'!O51</f>
        <v>1826423.2800000005</v>
      </c>
      <c r="J212" s="102"/>
      <c r="S212" s="421"/>
      <c r="T212" s="420"/>
      <c r="U212" s="421"/>
    </row>
    <row r="213" spans="1:24" ht="15.9" customHeight="1">
      <c r="A213" s="51"/>
      <c r="B213" s="99">
        <v>3</v>
      </c>
      <c r="C213" s="101">
        <f>'Lease Rent'!N63</f>
        <v>13701600</v>
      </c>
      <c r="D213" s="281"/>
      <c r="E213" s="58"/>
      <c r="F213" s="284">
        <f>F212</f>
        <v>0</v>
      </c>
      <c r="G213" s="101">
        <v>0</v>
      </c>
      <c r="H213" s="725"/>
      <c r="I213" s="101">
        <f>'Lease Rent'!O63</f>
        <v>1917744.4440000001</v>
      </c>
      <c r="J213" s="102"/>
      <c r="S213" s="421"/>
      <c r="T213" s="420"/>
      <c r="U213" s="421"/>
    </row>
    <row r="214" spans="1:24" ht="15.9" customHeight="1">
      <c r="A214" s="51"/>
      <c r="B214" s="99">
        <v>4</v>
      </c>
      <c r="C214" s="101">
        <f>'Lease Rent'!N75</f>
        <v>15071760</v>
      </c>
      <c r="D214" s="281"/>
      <c r="E214" s="58"/>
      <c r="F214" s="284">
        <f>+F213*115%</f>
        <v>0</v>
      </c>
      <c r="G214" s="101">
        <v>0</v>
      </c>
      <c r="H214" s="725"/>
      <c r="I214" s="101">
        <f>'Lease Rent'!O75</f>
        <v>2013631.6662000006</v>
      </c>
      <c r="J214" s="102"/>
      <c r="S214" s="421"/>
      <c r="T214" s="420"/>
      <c r="U214" s="421"/>
    </row>
    <row r="215" spans="1:24" ht="15.9" customHeight="1">
      <c r="A215" s="51"/>
      <c r="B215" s="99">
        <v>5</v>
      </c>
      <c r="C215" s="101">
        <f>'Lease Rent'!N87</f>
        <v>15756840</v>
      </c>
      <c r="D215" s="281"/>
      <c r="E215" s="58"/>
      <c r="F215" s="284">
        <f>+F214</f>
        <v>0</v>
      </c>
      <c r="G215" s="101">
        <v>0</v>
      </c>
      <c r="H215" s="725"/>
      <c r="I215" s="101">
        <f>'Lease Rent'!O87</f>
        <v>2114313.2495100005</v>
      </c>
      <c r="J215" s="102"/>
      <c r="S215" s="421"/>
      <c r="T215" s="420"/>
      <c r="U215" s="421"/>
    </row>
    <row r="216" spans="1:24" ht="15.9" customHeight="1">
      <c r="A216" s="51"/>
      <c r="B216" s="115">
        <v>6</v>
      </c>
      <c r="C216" s="101">
        <f>'Lease Rent'!N99</f>
        <v>15756840</v>
      </c>
      <c r="D216" s="281"/>
      <c r="E216" s="117"/>
      <c r="F216" s="284">
        <f>+F215</f>
        <v>0</v>
      </c>
      <c r="G216" s="113"/>
      <c r="H216" s="725"/>
      <c r="I216" s="101">
        <f>'Lease Rent'!O99</f>
        <v>2220028.9119855007</v>
      </c>
      <c r="J216" s="102"/>
      <c r="T216" s="420"/>
      <c r="U216" s="421"/>
    </row>
    <row r="217" spans="1:24" ht="15.9" customHeight="1">
      <c r="A217" s="51"/>
      <c r="B217" s="115">
        <v>7</v>
      </c>
      <c r="C217" s="101">
        <f>'Lease Rent'!N103</f>
        <v>5252280</v>
      </c>
      <c r="D217" s="281"/>
      <c r="E217" s="117"/>
      <c r="F217" s="284">
        <f>+F216*115%</f>
        <v>0</v>
      </c>
      <c r="G217" s="113">
        <f>'Lease Rent'!R9</f>
        <v>0</v>
      </c>
      <c r="H217" s="725"/>
      <c r="I217" s="101">
        <f>'Lease Rent'!O103</f>
        <v>751945.27664025011</v>
      </c>
      <c r="J217" s="111"/>
    </row>
    <row r="218" spans="1:24" ht="15.9" customHeight="1">
      <c r="A218" s="51"/>
      <c r="B218" s="115">
        <v>8</v>
      </c>
      <c r="C218" s="101"/>
      <c r="D218" s="282"/>
      <c r="E218" s="117"/>
      <c r="F218" s="285">
        <f>F217</f>
        <v>0</v>
      </c>
      <c r="G218" s="113">
        <f>'Lease Rent'!R10</f>
        <v>0</v>
      </c>
      <c r="H218" s="725"/>
      <c r="I218" s="301"/>
      <c r="J218" s="111"/>
    </row>
    <row r="219" spans="1:24" ht="15.9" customHeight="1">
      <c r="A219" s="51"/>
      <c r="B219" s="115">
        <v>9</v>
      </c>
      <c r="C219" s="116"/>
      <c r="D219" s="282"/>
      <c r="E219" s="117"/>
      <c r="F219" s="285">
        <f>F218</f>
        <v>0</v>
      </c>
      <c r="G219" s="118"/>
      <c r="H219" s="725"/>
      <c r="I219" s="101"/>
      <c r="J219" s="111"/>
    </row>
    <row r="220" spans="1:24" ht="15.9" customHeight="1">
      <c r="A220" s="51"/>
      <c r="B220" s="115">
        <v>10</v>
      </c>
      <c r="C220" s="116"/>
      <c r="D220" s="231"/>
      <c r="E220" s="117"/>
      <c r="F220" s="232"/>
      <c r="G220" s="118"/>
      <c r="H220" s="725"/>
      <c r="I220" s="101"/>
      <c r="J220" s="111"/>
    </row>
    <row r="221" spans="1:24" ht="15.9" customHeight="1" thickBot="1">
      <c r="A221" s="51"/>
      <c r="B221" s="119" t="s">
        <v>29</v>
      </c>
      <c r="C221" s="283">
        <f>SUM(C211:C220)</f>
        <v>88375320</v>
      </c>
      <c r="D221" s="283"/>
      <c r="E221" s="52"/>
      <c r="F221" s="283">
        <f>+AVERAGE(F211:F220)</f>
        <v>0</v>
      </c>
      <c r="G221" s="283">
        <f>SUM(G211:G220)</f>
        <v>0</v>
      </c>
      <c r="H221" s="726"/>
      <c r="I221" s="283">
        <f>SUM(I211:I220)</f>
        <v>12022424.428335754</v>
      </c>
      <c r="J221" s="283">
        <f>SUM(J211:J220)</f>
        <v>0</v>
      </c>
      <c r="S221" s="422"/>
      <c r="X221" s="422"/>
    </row>
    <row r="222" spans="1:24">
      <c r="S222" s="420"/>
    </row>
    <row r="223" spans="1:24">
      <c r="C223" s="422"/>
      <c r="D223" s="414"/>
      <c r="G223" s="422"/>
      <c r="I223" s="422"/>
    </row>
    <row r="224" spans="1:24">
      <c r="C224" s="420"/>
      <c r="D224" s="420"/>
      <c r="F224" s="421"/>
      <c r="I224" s="421"/>
    </row>
    <row r="225" spans="3:10">
      <c r="C225" s="420"/>
      <c r="D225" s="427"/>
      <c r="I225" s="420"/>
      <c r="J225" s="427"/>
    </row>
    <row r="226" spans="3:10">
      <c r="C226" s="420"/>
      <c r="I226" s="420"/>
    </row>
    <row r="227" spans="3:10">
      <c r="C227" s="422"/>
      <c r="D227" s="420"/>
      <c r="I227" s="422"/>
      <c r="J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</row>
    <row r="232" spans="3:10">
      <c r="C232" s="420"/>
      <c r="D232" s="420"/>
      <c r="F232" s="420"/>
      <c r="I232" s="420"/>
    </row>
    <row r="233" spans="3:10">
      <c r="I233" s="420"/>
    </row>
    <row r="234" spans="3:10">
      <c r="I234" s="420"/>
      <c r="J234" s="420"/>
    </row>
  </sheetData>
  <mergeCells count="238"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abSelected="1" topLeftCell="I8" zoomScale="112" zoomScaleNormal="112" workbookViewId="0">
      <selection activeCell="M24" sqref="M24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10"/>
      <c r="B2" s="711"/>
      <c r="C2" s="711"/>
      <c r="D2" s="711"/>
      <c r="E2" s="711"/>
      <c r="F2" s="711"/>
      <c r="G2" s="711"/>
      <c r="H2" s="711"/>
      <c r="I2" s="711"/>
      <c r="J2" s="711"/>
      <c r="K2" s="711"/>
      <c r="L2" s="711"/>
      <c r="M2" s="711"/>
      <c r="N2" s="711"/>
      <c r="O2" s="711"/>
      <c r="P2" s="711"/>
      <c r="Q2" s="711"/>
      <c r="R2" s="711"/>
      <c r="S2" s="711"/>
      <c r="T2" s="711"/>
      <c r="U2" s="711"/>
      <c r="V2" s="711"/>
      <c r="W2" s="711"/>
      <c r="X2" s="711"/>
      <c r="Y2" s="711"/>
      <c r="Z2" s="711"/>
      <c r="AA2" s="747"/>
    </row>
    <row r="3" spans="1:27" ht="11.25" customHeight="1">
      <c r="A3" s="748"/>
      <c r="B3" s="749"/>
      <c r="C3" s="749"/>
      <c r="D3" s="749"/>
      <c r="E3" s="749"/>
      <c r="F3" s="749"/>
      <c r="G3" s="749"/>
      <c r="H3" s="749"/>
      <c r="I3" s="749"/>
      <c r="J3" s="749"/>
      <c r="K3" s="749"/>
      <c r="L3" s="749"/>
      <c r="M3" s="749"/>
      <c r="N3" s="749"/>
      <c r="O3" s="749"/>
      <c r="P3" s="749"/>
      <c r="Q3" s="749"/>
      <c r="R3" s="749"/>
      <c r="S3" s="749"/>
      <c r="T3" s="749"/>
      <c r="U3" s="749"/>
      <c r="V3" s="749"/>
      <c r="W3" s="749"/>
      <c r="X3" s="749"/>
      <c r="Y3" s="749"/>
      <c r="Z3" s="749"/>
      <c r="AA3" s="750"/>
    </row>
    <row r="4" spans="1:27" ht="12" customHeight="1" thickBot="1">
      <c r="A4" s="751"/>
      <c r="B4" s="752"/>
      <c r="C4" s="752"/>
      <c r="D4" s="752"/>
      <c r="E4" s="752"/>
      <c r="F4" s="752"/>
      <c r="G4" s="752"/>
      <c r="H4" s="752"/>
      <c r="I4" s="752"/>
      <c r="J4" s="752"/>
      <c r="K4" s="752"/>
      <c r="L4" s="752"/>
      <c r="M4" s="752"/>
      <c r="N4" s="752"/>
      <c r="O4" s="752"/>
      <c r="P4" s="752"/>
      <c r="Q4" s="752"/>
      <c r="R4" s="752"/>
      <c r="S4" s="752"/>
      <c r="T4" s="752"/>
      <c r="U4" s="752"/>
      <c r="V4" s="752"/>
      <c r="W4" s="752"/>
      <c r="X4" s="752"/>
      <c r="Y4" s="752"/>
      <c r="Z4" s="752"/>
      <c r="AA4" s="753"/>
    </row>
    <row r="5" spans="1:27" ht="12.75" customHeight="1">
      <c r="A5" s="710" t="s">
        <v>0</v>
      </c>
      <c r="B5" s="711"/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  <c r="N5" s="711"/>
      <c r="O5" s="711"/>
      <c r="P5" s="711"/>
      <c r="Q5" s="711"/>
      <c r="R5" s="711"/>
      <c r="S5" s="711"/>
      <c r="T5" s="711"/>
      <c r="U5" s="711"/>
      <c r="V5" s="711"/>
      <c r="W5" s="711"/>
      <c r="X5" s="711"/>
      <c r="Y5" s="711"/>
      <c r="Z5" s="711"/>
      <c r="AA5" s="747"/>
    </row>
    <row r="6" spans="1:27" ht="13.5" customHeight="1">
      <c r="A6" s="754"/>
      <c r="B6" s="755"/>
      <c r="C6" s="755"/>
      <c r="D6" s="755"/>
      <c r="E6" s="755"/>
      <c r="F6" s="755"/>
      <c r="G6" s="755"/>
      <c r="H6" s="755"/>
      <c r="I6" s="755"/>
      <c r="J6" s="755"/>
      <c r="K6" s="755"/>
      <c r="L6" s="755"/>
      <c r="M6" s="755"/>
      <c r="N6" s="755"/>
      <c r="O6" s="755"/>
      <c r="P6" s="755"/>
      <c r="Q6" s="755"/>
      <c r="R6" s="755"/>
      <c r="S6" s="755"/>
      <c r="T6" s="755"/>
      <c r="U6" s="755"/>
      <c r="V6" s="755"/>
      <c r="W6" s="755"/>
      <c r="X6" s="755"/>
      <c r="Y6" s="755"/>
      <c r="Z6" s="755"/>
      <c r="AA6" s="756"/>
    </row>
    <row r="7" spans="1:27" ht="13.5" customHeight="1" thickBot="1">
      <c r="A7" s="757" t="s">
        <v>340</v>
      </c>
      <c r="B7" s="758"/>
      <c r="C7" s="758"/>
      <c r="D7" s="758"/>
      <c r="E7" s="758"/>
      <c r="F7" s="758"/>
      <c r="G7" s="758"/>
      <c r="H7" s="758"/>
      <c r="I7" s="758"/>
      <c r="J7" s="758"/>
      <c r="K7" s="758"/>
      <c r="L7" s="758"/>
      <c r="M7" s="758"/>
      <c r="N7" s="758"/>
      <c r="O7" s="758"/>
      <c r="P7" s="759"/>
      <c r="Q7" s="759"/>
      <c r="R7" s="759"/>
      <c r="S7" s="759"/>
      <c r="T7" s="759"/>
      <c r="U7" s="759"/>
      <c r="V7" s="759"/>
      <c r="W7" s="759"/>
      <c r="X7" s="759"/>
      <c r="Y7" s="759"/>
      <c r="Z7" s="759"/>
      <c r="AA7" s="760"/>
    </row>
    <row r="8" spans="1:27" ht="12.75" customHeight="1" thickBot="1">
      <c r="A8" s="761" t="s">
        <v>1</v>
      </c>
      <c r="B8" s="762"/>
      <c r="C8" s="762"/>
      <c r="D8" s="762"/>
      <c r="E8" s="762"/>
      <c r="F8" s="762"/>
      <c r="G8" s="762"/>
      <c r="H8" s="762"/>
      <c r="I8" s="762"/>
      <c r="J8" s="762"/>
      <c r="K8" s="762"/>
      <c r="L8" s="762"/>
      <c r="M8" s="762"/>
      <c r="N8" s="763"/>
      <c r="O8" s="6"/>
      <c r="P8" s="761" t="s">
        <v>2</v>
      </c>
      <c r="Q8" s="762"/>
      <c r="R8" s="762"/>
      <c r="S8" s="762"/>
      <c r="T8" s="762"/>
      <c r="U8" s="762"/>
      <c r="V8" s="762"/>
      <c r="W8" s="762"/>
      <c r="X8" s="762"/>
      <c r="Y8" s="762"/>
      <c r="Z8" s="762"/>
      <c r="AA8" s="764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469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Calculation'!F29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Calculation'!F40</f>
        <v>120</v>
      </c>
      <c r="C10" s="8"/>
      <c r="D10" s="8">
        <f>(+'Rent Calculation'!F211*114.5%)/'Rent Calculation'!F21/12</f>
        <v>0</v>
      </c>
      <c r="E10" s="8">
        <f>+((+'Rent Calculation'!F44*'Rent Calculation'!F45)/'Rent Calculation'!F23)</f>
        <v>0</v>
      </c>
      <c r="F10" s="8">
        <f>+'Rent Calculation'!F42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Calculation'!C211</f>
        <v>9134400</v>
      </c>
      <c r="C12" s="9"/>
      <c r="D12" s="9">
        <f>+D11*6</f>
        <v>0</v>
      </c>
      <c r="E12" s="9">
        <f>+'Rent Calculation'!G211</f>
        <v>0</v>
      </c>
      <c r="F12" s="9">
        <f>+'Rent Calculation'!I211</f>
        <v>1178337.5999999999</v>
      </c>
      <c r="G12" s="9">
        <f t="shared" si="0"/>
        <v>10312737.6</v>
      </c>
      <c r="H12" s="5">
        <f>G12/$T$9</f>
        <v>98197.844220148545</v>
      </c>
      <c r="I12" s="357">
        <f>+Q28</f>
        <v>14000000</v>
      </c>
      <c r="J12" s="357">
        <f>+Q27</f>
        <v>1500000</v>
      </c>
      <c r="K12" s="5">
        <f>+G12+I12+J12</f>
        <v>25812737.600000001</v>
      </c>
      <c r="L12" s="357">
        <f>+K12/$T$9</f>
        <v>245788.77928013715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Calculation'!C212</f>
        <v>13701600</v>
      </c>
      <c r="C13" s="9"/>
      <c r="D13" s="9">
        <f>+D11*12</f>
        <v>0</v>
      </c>
      <c r="E13" s="9">
        <f>+'Rent Calculation'!G212</f>
        <v>0</v>
      </c>
      <c r="F13" s="9">
        <f>+'Rent Calculation'!I212</f>
        <v>1826423.2800000005</v>
      </c>
      <c r="G13" s="9">
        <f t="shared" si="0"/>
        <v>15528023.280000001</v>
      </c>
      <c r="H13" s="5">
        <f>G13/$T$9</f>
        <v>147857.77261474007</v>
      </c>
      <c r="I13" s="357">
        <f>+R28</f>
        <v>12000000</v>
      </c>
      <c r="J13" s="357">
        <f>+R27</f>
        <v>200000</v>
      </c>
      <c r="K13" s="5">
        <f t="shared" ref="K13:K21" si="1">+G13+I13+J13</f>
        <v>27728023.280000001</v>
      </c>
      <c r="L13" s="357">
        <f t="shared" ref="L13:L21" si="2">+K13/$T$9</f>
        <v>264026.12150066654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Calculation'!C213</f>
        <v>13701600</v>
      </c>
      <c r="C14" s="9"/>
      <c r="D14" s="9">
        <f>+D13</f>
        <v>0</v>
      </c>
      <c r="E14" s="9">
        <f>+'Rent Calculation'!G213</f>
        <v>0</v>
      </c>
      <c r="F14" s="9">
        <f>+'Rent Calculation'!I213</f>
        <v>1917744.4440000001</v>
      </c>
      <c r="G14" s="9">
        <f t="shared" si="0"/>
        <v>15619344.444</v>
      </c>
      <c r="H14" s="5">
        <f t="shared" ref="H14:H21" si="3">G14/$T$9</f>
        <v>148727.33235574176</v>
      </c>
      <c r="I14" s="357">
        <f>+S28</f>
        <v>5000000</v>
      </c>
      <c r="J14" s="357">
        <f>+S27</f>
        <v>200000</v>
      </c>
      <c r="K14" s="5">
        <f t="shared" si="1"/>
        <v>20819344.443999998</v>
      </c>
      <c r="L14" s="357">
        <f t="shared" si="2"/>
        <v>198241.71056941533</v>
      </c>
      <c r="M14" s="5"/>
      <c r="N14" s="5"/>
      <c r="P14" s="10" t="s">
        <v>34</v>
      </c>
      <c r="Q14" s="16">
        <f>+H12</f>
        <v>98197.844220148545</v>
      </c>
      <c r="R14" s="16">
        <f>H13</f>
        <v>147857.77261474007</v>
      </c>
      <c r="S14" s="16">
        <f>H14</f>
        <v>148727.33235574176</v>
      </c>
      <c r="T14" s="16">
        <f>H15</f>
        <v>162687.02786326414</v>
      </c>
      <c r="U14" s="16">
        <f>+H16</f>
        <v>170169.04636745385</v>
      </c>
      <c r="V14" s="16">
        <f>+H17</f>
        <v>171175.67046263095</v>
      </c>
      <c r="W14" s="16">
        <f>+H18</f>
        <v>57172.20792839698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955986.90181237622</v>
      </c>
    </row>
    <row r="15" spans="1:27">
      <c r="A15" s="7" t="s">
        <v>35</v>
      </c>
      <c r="B15" s="9">
        <f>+'Rent Calculation'!C214</f>
        <v>15071760</v>
      </c>
      <c r="C15" s="9"/>
      <c r="D15" s="9">
        <f>+D12+(D12*115%)</f>
        <v>0</v>
      </c>
      <c r="E15" s="9">
        <f>+'Rent Calculation'!G214</f>
        <v>0</v>
      </c>
      <c r="F15" s="9">
        <f>+'Rent Calculation'!I214</f>
        <v>2013631.6662000006</v>
      </c>
      <c r="G15" s="9">
        <f t="shared" si="0"/>
        <v>17085391.666200001</v>
      </c>
      <c r="H15" s="5">
        <f t="shared" si="3"/>
        <v>162687.02786326414</v>
      </c>
      <c r="I15" s="357">
        <f>+T28</f>
        <v>6000000</v>
      </c>
      <c r="J15" s="357">
        <f>+T27</f>
        <v>200000</v>
      </c>
      <c r="K15" s="5">
        <f t="shared" si="1"/>
        <v>23285391.666200001</v>
      </c>
      <c r="L15" s="357">
        <f t="shared" si="2"/>
        <v>221723.40188725959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Calculation'!C215</f>
        <v>15756840</v>
      </c>
      <c r="C16" s="9"/>
      <c r="D16" s="9">
        <f>+D13*115%</f>
        <v>0</v>
      </c>
      <c r="E16" s="9">
        <f>+'Rent Calculation'!G215</f>
        <v>0</v>
      </c>
      <c r="F16" s="9">
        <f>+'Rent Calculation'!I215</f>
        <v>2114313.2495100005</v>
      </c>
      <c r="G16" s="9">
        <f t="shared" ref="G16:G21" si="5">SUM(B16:F16)</f>
        <v>17871153.249510001</v>
      </c>
      <c r="H16" s="5">
        <f t="shared" si="3"/>
        <v>170169.04636745385</v>
      </c>
      <c r="I16" s="5">
        <f>+U28</f>
        <v>6000000</v>
      </c>
      <c r="J16" s="5">
        <f>+U27</f>
        <v>200000</v>
      </c>
      <c r="K16" s="5">
        <f t="shared" si="1"/>
        <v>24071153.249510001</v>
      </c>
      <c r="L16" s="357">
        <f t="shared" si="2"/>
        <v>229205.42039144927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Calculation'!C216</f>
        <v>15756840</v>
      </c>
      <c r="C17" s="9"/>
      <c r="D17" s="9">
        <f>+D16</f>
        <v>0</v>
      </c>
      <c r="E17" s="9">
        <f>+'Rent Calculation'!G216</f>
        <v>0</v>
      </c>
      <c r="F17" s="9">
        <f>+'Rent Calculation'!I216</f>
        <v>2220028.9119855007</v>
      </c>
      <c r="G17" s="9">
        <f t="shared" si="5"/>
        <v>17976868.911985502</v>
      </c>
      <c r="H17" s="5">
        <f t="shared" si="3"/>
        <v>171175.67046263095</v>
      </c>
      <c r="I17" s="5">
        <f>+V28</f>
        <v>0</v>
      </c>
      <c r="J17" s="5">
        <f>+V27</f>
        <v>200000</v>
      </c>
      <c r="K17" s="5">
        <f t="shared" si="1"/>
        <v>18176868.911985502</v>
      </c>
      <c r="L17" s="357">
        <f t="shared" si="2"/>
        <v>173080.06962469532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Calculation'!C217</f>
        <v>5252280</v>
      </c>
      <c r="C18" s="9"/>
      <c r="D18" s="9">
        <f>(+D17/2)+(D17/2*115%)</f>
        <v>0</v>
      </c>
      <c r="E18" s="9">
        <f>+'Rent Calculation'!G217</f>
        <v>0</v>
      </c>
      <c r="F18" s="9">
        <f>+'Rent Calculation'!I217</f>
        <v>751945.27664025011</v>
      </c>
      <c r="G18" s="9">
        <f t="shared" si="5"/>
        <v>6004225.2766402503</v>
      </c>
      <c r="H18" s="5">
        <f t="shared" si="3"/>
        <v>57172.20792839698</v>
      </c>
      <c r="I18" s="5">
        <f>+W28</f>
        <v>0</v>
      </c>
      <c r="J18" s="5">
        <f>+W27</f>
        <v>0</v>
      </c>
      <c r="K18" s="5">
        <f t="shared" si="1"/>
        <v>6004225.2766402503</v>
      </c>
      <c r="L18" s="357">
        <f t="shared" si="2"/>
        <v>57172.20792839698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Calculation'!C218</f>
        <v>0</v>
      </c>
      <c r="C19" s="9"/>
      <c r="D19" s="9">
        <f>+D17*115%</f>
        <v>0</v>
      </c>
      <c r="E19" s="9">
        <f>+'Rent Calculation'!G218</f>
        <v>0</v>
      </c>
      <c r="F19" s="9">
        <f>+'Rent Calculation'!I218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Calculation'!C219</f>
        <v>0</v>
      </c>
      <c r="C20" s="9"/>
      <c r="D20" s="9">
        <f>D19</f>
        <v>0</v>
      </c>
      <c r="E20" s="9">
        <f>+'Rent Calculation'!G219</f>
        <v>0</v>
      </c>
      <c r="F20" s="9">
        <f>+'Rent Calculation'!I219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Calculation'!C220</f>
        <v>0</v>
      </c>
      <c r="C21" s="9"/>
      <c r="D21" s="9">
        <f>+D20/2</f>
        <v>0</v>
      </c>
      <c r="E21" s="9">
        <f>+'Rent Calculation'!G220</f>
        <v>0</v>
      </c>
      <c r="F21" s="9">
        <f>(+'Rent Calculation'!I220)*114.5%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364032.92325271375</v>
      </c>
      <c r="R22" s="19">
        <f t="shared" ref="R22:AA22" si="7">SUM(R14:R20)</f>
        <v>264026.12150066654</v>
      </c>
      <c r="S22" s="19">
        <f t="shared" si="7"/>
        <v>198241.71056941536</v>
      </c>
      <c r="T22" s="19">
        <f t="shared" si="7"/>
        <v>221723.40188725956</v>
      </c>
      <c r="U22" s="19">
        <f t="shared" si="7"/>
        <v>229205.42039144927</v>
      </c>
      <c r="V22" s="19">
        <f t="shared" si="7"/>
        <v>173080.06962469532</v>
      </c>
      <c r="W22" s="19">
        <f t="shared" si="7"/>
        <v>-61071.936044179674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1389237.7111820201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0</v>
      </c>
      <c r="F23" s="20">
        <f>SUM(F12:F22)</f>
        <v>12022424.428335754</v>
      </c>
      <c r="G23" s="20">
        <f t="shared" si="8"/>
        <v>100397744.42833576</v>
      </c>
      <c r="H23" s="20">
        <f t="shared" si="8"/>
        <v>955986.90181237622</v>
      </c>
      <c r="I23" s="20">
        <f t="shared" si="8"/>
        <v>43000000</v>
      </c>
      <c r="J23" s="20">
        <f t="shared" si="8"/>
        <v>2500000</v>
      </c>
      <c r="K23" s="20">
        <f t="shared" si="8"/>
        <v>145897744.42833573</v>
      </c>
      <c r="L23" s="20">
        <f t="shared" si="8"/>
        <v>1389237.7111820201</v>
      </c>
      <c r="M23" s="21">
        <f>+N23*$T$9</f>
        <v>109763283.08334981</v>
      </c>
      <c r="N23" s="21">
        <f>+R34</f>
        <v>1045165.5216468275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148717.61816566758</v>
      </c>
      <c r="U23" s="2">
        <f>U22/1.105^5</f>
        <v>139127.66417103758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433250.80936964392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Calculation'!G195+'Rent Calculation'!F31</f>
        <v>511749.08384775487</v>
      </c>
      <c r="H25" s="10">
        <f>G25/$T$9</f>
        <v>4872.8726323343635</v>
      </c>
      <c r="I25" s="10"/>
      <c r="J25" s="10"/>
      <c r="K25" s="5">
        <f>+G25+I25+J25</f>
        <v>511749.08384775487</v>
      </c>
      <c r="L25" s="10"/>
      <c r="M25" s="10"/>
      <c r="N25" s="10"/>
      <c r="P25" s="10" t="s">
        <v>34</v>
      </c>
      <c r="Q25" s="228">
        <f>+G12</f>
        <v>10312737.6</v>
      </c>
      <c r="R25" s="16">
        <f t="shared" ref="R25:Z25" si="9">+R14*$T$9</f>
        <v>15528023.280000001</v>
      </c>
      <c r="S25" s="16">
        <f t="shared" si="9"/>
        <v>15619344.443999998</v>
      </c>
      <c r="T25" s="16">
        <f t="shared" si="9"/>
        <v>17085391.666200001</v>
      </c>
      <c r="U25" s="16">
        <f t="shared" si="9"/>
        <v>17871153.249510001</v>
      </c>
      <c r="V25" s="16">
        <f t="shared" si="9"/>
        <v>17976868.911985502</v>
      </c>
      <c r="W25" s="16">
        <f t="shared" si="9"/>
        <v>6004225.2766402503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100397744.42833576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644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34511749.083847754</v>
      </c>
      <c r="H28" s="20">
        <f>SUM(H25:H27)</f>
        <v>328620.73018327705</v>
      </c>
      <c r="I28" s="20">
        <f>SUM(I25:I27)</f>
        <v>20000000</v>
      </c>
      <c r="J28" s="20"/>
      <c r="K28" s="20">
        <f>SUM(K25:K27)</f>
        <v>54511749.083847754</v>
      </c>
      <c r="L28" s="20"/>
      <c r="M28" s="20">
        <f>+N28*T9</f>
        <v>34511749.083847754</v>
      </c>
      <c r="N28" s="20">
        <f>+H28</f>
        <v>328620.73018327705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38230737.600000001</v>
      </c>
      <c r="R30" s="18">
        <f t="shared" ref="R30:AA30" si="10">SUM(R25:R29)</f>
        <v>27728023.280000001</v>
      </c>
      <c r="S30" s="18">
        <f>SUM(S25:S29)</f>
        <v>20819344.443999998</v>
      </c>
      <c r="T30" s="18">
        <f t="shared" si="10"/>
        <v>23285391.666200001</v>
      </c>
      <c r="U30" s="18">
        <f t="shared" si="10"/>
        <v>24071153.249510001</v>
      </c>
      <c r="V30" s="18">
        <f t="shared" si="10"/>
        <v>18176868.911985502</v>
      </c>
      <c r="W30" s="18">
        <f t="shared" si="10"/>
        <v>-6413774.7233597497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145897744.42833576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180409493.51218349</v>
      </c>
      <c r="H31" s="20">
        <f>+L23+H28</f>
        <v>1717858.4413652972</v>
      </c>
      <c r="I31" s="20"/>
      <c r="J31" s="20"/>
      <c r="K31" s="20"/>
      <c r="L31" s="20"/>
      <c r="M31" s="20">
        <f>+M23+M28</f>
        <v>144275032.16719756</v>
      </c>
      <c r="N31" s="20">
        <f>N23+N28</f>
        <v>1373786.2518301045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1.7178584413652971</v>
      </c>
      <c r="I32" s="157"/>
      <c r="J32" s="157"/>
      <c r="K32" s="157"/>
      <c r="L32" s="157"/>
      <c r="M32" s="36"/>
      <c r="N32" s="157">
        <f>+N31/1000000</f>
        <v>1.3737862518301045</v>
      </c>
      <c r="P32" s="28"/>
      <c r="Q32" s="29" t="s">
        <v>47</v>
      </c>
      <c r="R32" s="30" t="s">
        <v>52</v>
      </c>
      <c r="T32" s="744" t="s">
        <v>53</v>
      </c>
      <c r="U32" s="745"/>
      <c r="V32" s="746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109763283.08334982</v>
      </c>
      <c r="R34" s="34">
        <f>+NPV(Q9,Q22:Z22)</f>
        <v>1045165.5216468275</v>
      </c>
      <c r="T34" s="23" t="s">
        <v>56</v>
      </c>
      <c r="U34" s="298">
        <f>('Rent Calculation'!F68+'Rent Calculation'!F72+'Rent Calculation'!F70)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1.7178584413652971</v>
      </c>
      <c r="I36" s="160"/>
      <c r="J36" s="160"/>
      <c r="K36" s="160"/>
      <c r="L36" s="160"/>
      <c r="M36" s="3"/>
      <c r="N36" s="160">
        <f>+N32+N34</f>
        <v>1.3737862518301045</v>
      </c>
      <c r="P36" s="743"/>
      <c r="Q36" s="743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643"/>
      <c r="Q37" s="643"/>
      <c r="T37" s="41" t="s">
        <v>60</v>
      </c>
      <c r="U37" s="10">
        <f>+'Rent Calculation'!F73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Calculation'!F69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Calculation'!F70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613"/>
      <c r="Q44" s="613"/>
      <c r="R44" s="613"/>
    </row>
    <row r="45" spans="1:27" ht="10.5">
      <c r="R45" s="614"/>
      <c r="S45" s="614"/>
      <c r="T45" s="614"/>
      <c r="U45" s="614"/>
      <c r="V45" s="614"/>
      <c r="W45" s="614"/>
      <c r="X45" s="614"/>
      <c r="Y45" s="614"/>
      <c r="Z45" s="614"/>
    </row>
    <row r="46" spans="1:27" ht="13">
      <c r="A46" s="642"/>
      <c r="B46" s="615"/>
      <c r="C46" s="616"/>
      <c r="D46" s="616"/>
      <c r="E46" s="616"/>
      <c r="F46" s="615"/>
      <c r="G46" s="615"/>
      <c r="H46" s="617"/>
      <c r="I46" s="615"/>
      <c r="J46" s="615"/>
      <c r="K46" s="615"/>
      <c r="L46" s="617"/>
      <c r="M46" s="615"/>
      <c r="N46" s="616"/>
      <c r="P46" s="618"/>
      <c r="Q46" s="619"/>
      <c r="R46" s="614"/>
      <c r="S46" s="614"/>
      <c r="T46" s="614"/>
      <c r="U46" s="614"/>
      <c r="V46" s="614"/>
      <c r="W46" s="614"/>
      <c r="X46" s="614"/>
      <c r="Y46" s="614"/>
      <c r="Z46" s="614"/>
      <c r="AA46" s="620"/>
    </row>
    <row r="47" spans="1:27" ht="12.5">
      <c r="A47" s="621"/>
      <c r="B47" s="622"/>
      <c r="C47" s="622"/>
      <c r="D47" s="622"/>
      <c r="E47" s="622"/>
      <c r="F47" s="622"/>
      <c r="G47" s="623"/>
      <c r="H47" s="1"/>
      <c r="I47" s="1"/>
      <c r="J47" s="1"/>
      <c r="K47" s="1"/>
      <c r="L47" s="1"/>
      <c r="M47" s="1"/>
      <c r="P47" s="613"/>
      <c r="Q47" s="466"/>
      <c r="R47" s="466"/>
      <c r="S47" s="466"/>
      <c r="T47" s="466"/>
      <c r="U47" s="466"/>
      <c r="V47" s="466"/>
      <c r="W47" s="466"/>
      <c r="X47" s="466"/>
      <c r="Y47" s="466"/>
      <c r="Z47" s="466"/>
      <c r="AA47" s="466"/>
    </row>
    <row r="48" spans="1:27" ht="12.5">
      <c r="A48" s="621"/>
      <c r="B48" s="2"/>
      <c r="C48" s="2"/>
      <c r="D48" s="2"/>
      <c r="E48" s="2"/>
      <c r="F48" s="2"/>
      <c r="G48" s="623"/>
      <c r="H48" s="1"/>
      <c r="I48" s="1"/>
      <c r="J48" s="1"/>
      <c r="K48" s="1"/>
      <c r="L48" s="1"/>
      <c r="O48" s="624"/>
      <c r="P48" s="625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</row>
    <row r="49" spans="1:28" ht="12.5">
      <c r="B49" s="2"/>
      <c r="C49" s="2"/>
      <c r="D49" s="2"/>
      <c r="E49" s="2"/>
      <c r="F49" s="2"/>
      <c r="G49" s="623"/>
      <c r="H49" s="1"/>
      <c r="K49" s="1"/>
      <c r="L49" s="1"/>
      <c r="O49" s="624"/>
      <c r="Q49" s="626"/>
      <c r="R49" s="626"/>
      <c r="S49" s="626"/>
      <c r="T49" s="626"/>
      <c r="U49" s="626"/>
      <c r="V49" s="626"/>
      <c r="W49" s="626"/>
      <c r="X49" s="626"/>
      <c r="Y49" s="626"/>
      <c r="Z49" s="626"/>
      <c r="AA49" s="466"/>
    </row>
    <row r="50" spans="1:28" ht="13">
      <c r="B50" s="642"/>
      <c r="C50" s="642"/>
      <c r="D50" s="642"/>
      <c r="E50" s="642"/>
      <c r="F50" s="642"/>
      <c r="G50" s="642"/>
      <c r="H50" s="642"/>
      <c r="I50" s="642"/>
      <c r="J50" s="642"/>
      <c r="K50" s="642"/>
      <c r="L50" s="642"/>
      <c r="M50" s="642"/>
      <c r="N50" s="642"/>
      <c r="S50" s="466"/>
      <c r="T50" s="466"/>
      <c r="U50" s="466"/>
      <c r="V50" s="466"/>
      <c r="W50" s="466"/>
      <c r="X50" s="466"/>
      <c r="Y50" s="2"/>
      <c r="Z50" s="2"/>
      <c r="AA50" s="466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66"/>
      <c r="AA51" s="466"/>
    </row>
    <row r="52" spans="1:28" ht="12.5">
      <c r="B52" s="2"/>
      <c r="C52" s="2"/>
      <c r="D52" s="2"/>
      <c r="E52" s="2"/>
      <c r="F52" s="2"/>
      <c r="G52" s="613"/>
      <c r="H52" s="627"/>
      <c r="I52" s="627"/>
      <c r="J52" s="627"/>
      <c r="K52" s="627"/>
      <c r="L52" s="627"/>
      <c r="M52" s="1"/>
      <c r="N52" s="613"/>
      <c r="P52" s="1"/>
      <c r="Q52" s="466"/>
      <c r="R52" s="466"/>
      <c r="S52" s="466"/>
      <c r="T52" s="466"/>
      <c r="U52" s="466"/>
      <c r="V52" s="466"/>
      <c r="W52" s="466"/>
      <c r="X52" s="466"/>
      <c r="Y52" s="466"/>
      <c r="Z52" s="466"/>
      <c r="AA52" s="466"/>
    </row>
    <row r="53" spans="1:28" ht="12.5">
      <c r="B53" s="2"/>
      <c r="C53" s="2"/>
      <c r="D53" s="2"/>
      <c r="E53" s="2"/>
      <c r="F53" s="2"/>
      <c r="G53" s="628"/>
      <c r="H53" s="628"/>
      <c r="I53" s="628"/>
      <c r="J53" s="628"/>
      <c r="K53" s="628"/>
      <c r="L53" s="628"/>
      <c r="M53" s="1"/>
      <c r="N53" s="613"/>
      <c r="P53" s="613"/>
      <c r="Q53" s="466"/>
      <c r="R53" s="466"/>
      <c r="S53" s="466"/>
      <c r="T53" s="466"/>
      <c r="U53" s="466"/>
      <c r="V53" s="466"/>
      <c r="W53" s="466"/>
      <c r="X53" s="466"/>
      <c r="Y53" s="466"/>
      <c r="Z53" s="466"/>
      <c r="AA53" s="466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613"/>
      <c r="H55" s="627"/>
      <c r="I55" s="627"/>
      <c r="J55" s="627"/>
      <c r="K55" s="627"/>
      <c r="L55" s="627"/>
      <c r="M55" s="1"/>
      <c r="N55" s="613"/>
      <c r="P55" s="1"/>
      <c r="Q55" s="1"/>
      <c r="R55" s="1"/>
      <c r="S55" s="1"/>
      <c r="AB55" s="641"/>
    </row>
    <row r="56" spans="1:28" ht="13">
      <c r="B56" s="2"/>
      <c r="C56" s="2"/>
      <c r="D56" s="2"/>
      <c r="E56" s="2"/>
      <c r="F56" s="2"/>
      <c r="H56" s="642"/>
      <c r="I56" s="642"/>
      <c r="J56" s="642"/>
      <c r="K56" s="642"/>
      <c r="L56" s="642"/>
      <c r="M56" s="642"/>
      <c r="N56" s="642"/>
      <c r="P56" s="613"/>
      <c r="Q56" s="629"/>
      <c r="R56" s="629"/>
      <c r="S56" s="629"/>
      <c r="T56" s="629"/>
      <c r="U56" s="629"/>
      <c r="V56" s="629"/>
      <c r="W56" s="629"/>
      <c r="X56" s="629"/>
      <c r="Y56" s="629"/>
      <c r="Z56" s="629"/>
      <c r="AA56" s="630"/>
    </row>
    <row r="57" spans="1:28" ht="12.5">
      <c r="B57" s="2"/>
      <c r="C57" s="2"/>
      <c r="D57" s="2"/>
      <c r="E57" s="2"/>
      <c r="F57" s="2"/>
      <c r="G57" s="631"/>
      <c r="H57" s="1"/>
      <c r="I57" s="1"/>
      <c r="J57" s="1"/>
      <c r="K57" s="1"/>
      <c r="L57" s="1"/>
      <c r="M57" s="1"/>
      <c r="N57" s="631"/>
      <c r="P57" s="613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630"/>
      <c r="AB57" s="632"/>
    </row>
    <row r="58" spans="1:28" ht="10.5">
      <c r="A58" s="62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624"/>
      <c r="R58" s="624"/>
      <c r="S58" s="624"/>
      <c r="T58" s="624"/>
      <c r="AA58" s="632"/>
    </row>
    <row r="59" spans="1:28">
      <c r="A59" s="623"/>
      <c r="B59" s="633"/>
      <c r="C59" s="633"/>
      <c r="D59" s="633"/>
      <c r="E59" s="633"/>
      <c r="F59" s="2"/>
      <c r="G59" s="2"/>
      <c r="H59" s="1"/>
      <c r="I59" s="1"/>
      <c r="J59" s="1"/>
      <c r="K59" s="1"/>
      <c r="L59" s="1"/>
      <c r="M59" s="1"/>
      <c r="T59" s="2"/>
      <c r="X59" s="228"/>
      <c r="AA59" s="634"/>
      <c r="AB59" s="182"/>
    </row>
    <row r="60" spans="1:28">
      <c r="A60" s="635"/>
      <c r="B60" s="636"/>
      <c r="C60" s="636"/>
      <c r="D60" s="636"/>
      <c r="E60" s="636"/>
      <c r="H60" s="1"/>
      <c r="I60" s="1"/>
      <c r="J60" s="1"/>
      <c r="K60" s="1"/>
      <c r="L60" s="1"/>
      <c r="M60" s="1"/>
      <c r="T60" s="2"/>
      <c r="X60" s="228"/>
      <c r="AA60" s="634"/>
      <c r="AB60" s="182"/>
    </row>
    <row r="61" spans="1:28" ht="10.5">
      <c r="A61" s="634"/>
      <c r="B61" s="636"/>
      <c r="C61" s="636"/>
      <c r="D61" s="636"/>
      <c r="E61" s="636"/>
      <c r="H61" s="1"/>
      <c r="I61" s="1"/>
      <c r="J61" s="1"/>
      <c r="K61" s="1"/>
      <c r="L61" s="1"/>
      <c r="M61" s="1"/>
      <c r="P61" s="613"/>
      <c r="Q61" s="1"/>
      <c r="T61" s="2"/>
      <c r="X61" s="228"/>
      <c r="AA61" s="637"/>
    </row>
    <row r="62" spans="1:28">
      <c r="A62" s="634"/>
      <c r="B62" s="636"/>
      <c r="C62" s="636"/>
      <c r="D62" s="636"/>
      <c r="E62" s="63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634"/>
      <c r="B63" s="636"/>
      <c r="C63" s="636"/>
      <c r="D63" s="636"/>
      <c r="E63" s="63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634"/>
      <c r="B64" s="636"/>
      <c r="C64" s="636"/>
      <c r="D64" s="636"/>
      <c r="E64" s="63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638"/>
      <c r="B65" s="636"/>
      <c r="C65" s="636"/>
      <c r="D65" s="636"/>
      <c r="E65" s="63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634"/>
      <c r="B66" s="636"/>
      <c r="C66" s="636"/>
      <c r="D66" s="636"/>
      <c r="E66" s="63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639"/>
      <c r="B67" s="636"/>
      <c r="C67" s="51"/>
      <c r="M67" s="1"/>
    </row>
    <row r="68" spans="1:19" ht="12.75" customHeight="1">
      <c r="A68" s="640"/>
      <c r="B68" s="636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458</v>
      </c>
    </row>
    <row r="5" spans="1:6">
      <c r="A5" s="522" t="s">
        <v>230</v>
      </c>
      <c r="B5" s="522" t="s">
        <v>318</v>
      </c>
      <c r="C5" s="522" t="s">
        <v>319</v>
      </c>
      <c r="D5" t="s">
        <v>457</v>
      </c>
      <c r="E5" t="s">
        <v>459</v>
      </c>
      <c r="F5" t="s">
        <v>468</v>
      </c>
    </row>
    <row r="6" spans="1:6">
      <c r="A6">
        <v>2025</v>
      </c>
      <c r="B6">
        <v>1</v>
      </c>
      <c r="C6" t="s">
        <v>321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322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460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323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408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409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410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411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412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413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414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415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416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417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418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461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419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420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421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422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423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424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425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426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427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428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429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430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462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431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432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433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434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435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436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437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438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439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440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441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442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463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443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444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445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446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447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448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449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450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451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452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453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454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464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455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465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466</v>
      </c>
      <c r="B63">
        <v>0</v>
      </c>
      <c r="C63" t="s">
        <v>320</v>
      </c>
      <c r="D63" s="466"/>
      <c r="E63" s="466"/>
      <c r="F63" s="521">
        <v>2442913.9843363357</v>
      </c>
    </row>
    <row r="64" spans="1:6">
      <c r="A64" t="s">
        <v>467</v>
      </c>
      <c r="D64" s="466"/>
      <c r="E64" s="466"/>
      <c r="F64" s="521">
        <v>2442913.9843363357</v>
      </c>
    </row>
    <row r="65" spans="1:6">
      <c r="A65" t="s">
        <v>456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66" t="s">
        <v>339</v>
      </c>
      <c r="B1" s="766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66" t="s">
        <v>335</v>
      </c>
      <c r="B2" s="766"/>
      <c r="C2" s="765" t="s">
        <v>336</v>
      </c>
      <c r="D2" s="765"/>
      <c r="E2" s="765" t="s">
        <v>337</v>
      </c>
      <c r="F2" s="765"/>
      <c r="G2" s="765" t="s">
        <v>338</v>
      </c>
      <c r="H2" s="765"/>
    </row>
    <row r="3" spans="1:9">
      <c r="A3" s="766" t="s">
        <v>332</v>
      </c>
      <c r="B3" s="766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67" t="s">
        <v>146</v>
      </c>
      <c r="B4" s="767"/>
      <c r="C4" s="442" t="s">
        <v>333</v>
      </c>
      <c r="D4" s="442" t="s">
        <v>334</v>
      </c>
      <c r="E4" s="442" t="s">
        <v>333</v>
      </c>
      <c r="F4" s="442" t="s">
        <v>334</v>
      </c>
      <c r="G4" s="442" t="s">
        <v>333</v>
      </c>
      <c r="H4" s="442" t="s">
        <v>334</v>
      </c>
      <c r="I4" s="425"/>
    </row>
    <row r="5" spans="1:9">
      <c r="A5" s="431">
        <v>1</v>
      </c>
      <c r="B5" s="431" t="s">
        <v>147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148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149</v>
      </c>
      <c r="C7" s="443">
        <f>SUM('Lease Rent'!R3:R8)</f>
        <v>0</v>
      </c>
      <c r="D7" s="443">
        <f t="shared" si="0"/>
        <v>0</v>
      </c>
      <c r="E7" s="443">
        <f>SUM('Lease Rent'!R9:R10)</f>
        <v>0</v>
      </c>
      <c r="F7" s="443">
        <f t="shared" si="1"/>
        <v>0</v>
      </c>
      <c r="G7" s="443">
        <f t="shared" si="2"/>
        <v>0</v>
      </c>
      <c r="H7" s="443">
        <f t="shared" si="3"/>
        <v>0</v>
      </c>
      <c r="I7" s="422"/>
    </row>
    <row r="8" spans="1:9">
      <c r="A8" s="431">
        <v>4</v>
      </c>
      <c r="B8" s="431" t="s">
        <v>150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324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151</v>
      </c>
      <c r="C10" s="443">
        <f>'Rent Calculation'!$F$84/'FY wise Rental'!$H$3*'FY wise Rental'!C$3</f>
        <v>0</v>
      </c>
      <c r="D10" s="443">
        <f t="shared" si="0"/>
        <v>0</v>
      </c>
      <c r="E10" s="443">
        <f>'Rent Calculation'!$F$84/'FY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152</v>
      </c>
      <c r="C11" s="443">
        <f>'Rent Calculation'!$F$83/'FY wise Rental'!$H$3*'FY wise Rental'!C$3</f>
        <v>383811.81288581615</v>
      </c>
      <c r="D11" s="443">
        <f t="shared" si="0"/>
        <v>12.060928224157543</v>
      </c>
      <c r="E11" s="443">
        <f>'Rent Calculation'!$F$83/'FY wise Rental'!$H$3*'FY wise Rental'!E$3</f>
        <v>127937.27096193872</v>
      </c>
      <c r="F11" s="443">
        <f t="shared" si="1"/>
        <v>12.060928224157543</v>
      </c>
      <c r="G11" s="443">
        <f t="shared" si="2"/>
        <v>511749.08384775487</v>
      </c>
      <c r="H11" s="443">
        <f t="shared" si="3"/>
        <v>12.060928224157543</v>
      </c>
      <c r="I11" s="422"/>
    </row>
    <row r="12" spans="1:9">
      <c r="A12" s="431">
        <v>7</v>
      </c>
      <c r="B12" s="431" t="s">
        <v>153</v>
      </c>
      <c r="C12" s="443">
        <f>(SUM(C5:C11)+C21)*7%</f>
        <v>5617451.2680279287</v>
      </c>
      <c r="D12" s="443">
        <f>C12/$C$1/C$3</f>
        <v>176.52316648873889</v>
      </c>
      <c r="E12" s="443">
        <f>(SUM(E5:E11)+E21)*7%</f>
        <v>790099.24146733573</v>
      </c>
      <c r="F12" s="443">
        <f>E12/$C$1/E$3</f>
        <v>74.484395123089868</v>
      </c>
      <c r="G12" s="443">
        <f>(SUM(G5:G11)+G21)*7%</f>
        <v>6407550.5094952649</v>
      </c>
      <c r="H12" s="443">
        <f>G12/$C$1/H$3</f>
        <v>151.01347364732666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57902300.846998334</v>
      </c>
      <c r="D13" s="445">
        <f t="shared" ref="D13:H13" si="4">SUM(D5:D12)</f>
        <v>1819.5257964532318</v>
      </c>
      <c r="E13" s="442">
        <f t="shared" si="4"/>
        <v>2755746.5124292746</v>
      </c>
      <c r="F13" s="445">
        <f t="shared" si="4"/>
        <v>259.79029129259686</v>
      </c>
      <c r="G13" s="442">
        <f t="shared" si="4"/>
        <v>60658047.359427609</v>
      </c>
      <c r="H13" s="442">
        <f t="shared" si="4"/>
        <v>1429.5919201630732</v>
      </c>
      <c r="I13" s="425"/>
    </row>
    <row r="14" spans="1:9" ht="13">
      <c r="A14" s="767" t="s">
        <v>154</v>
      </c>
      <c r="B14" s="767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139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140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141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142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143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155</v>
      </c>
      <c r="C20" s="443">
        <f>'Rent Calculation'!$F$98/'FY wise Rental'!$H$3*'FY wise Rental'!C$3</f>
        <v>0</v>
      </c>
      <c r="D20" s="443">
        <f t="shared" si="5"/>
        <v>0</v>
      </c>
      <c r="E20" s="443">
        <f>'Rent Calculation'!$G103*'FY wise Rental'!$C$1/'FY wise Rental'!$H$3*'FY wise Rental'!E$3</f>
        <v>0</v>
      </c>
      <c r="F20" s="443">
        <f t="shared" si="6"/>
        <v>0</v>
      </c>
      <c r="G20" s="443">
        <f t="shared" si="7"/>
        <v>0</v>
      </c>
      <c r="H20" s="443">
        <f t="shared" si="8"/>
        <v>0</v>
      </c>
      <c r="I20" s="422"/>
    </row>
    <row r="21" spans="1:9" s="432" customFormat="1" ht="13">
      <c r="A21" s="444">
        <v>7</v>
      </c>
      <c r="B21" s="444" t="s">
        <v>156</v>
      </c>
      <c r="C21" s="442">
        <f>SUM(C15:C20)</f>
        <v>27964454.25</v>
      </c>
      <c r="D21" s="442">
        <f t="shared" ref="D21:H21" si="9">SUM(D15:D20)</f>
        <v>878.75689130320541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37285939</v>
      </c>
      <c r="H21" s="442">
        <f t="shared" si="9"/>
        <v>878.75689130320541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67" t="s">
        <v>157</v>
      </c>
      <c r="B23" s="767"/>
      <c r="C23" s="442">
        <f>C13+C21</f>
        <v>85866755.096998334</v>
      </c>
      <c r="D23" s="445">
        <f t="shared" ref="D23:H23" si="10">D13+D21</f>
        <v>2698.2826877564371</v>
      </c>
      <c r="E23" s="442">
        <f t="shared" si="10"/>
        <v>12077231.262429275</v>
      </c>
      <c r="F23" s="445">
        <f t="shared" si="10"/>
        <v>1138.5471825958023</v>
      </c>
      <c r="G23" s="442">
        <f t="shared" si="10"/>
        <v>97943986.359427601</v>
      </c>
      <c r="H23" s="442">
        <f t="shared" si="10"/>
        <v>2308.3488114662787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A23:B23"/>
    <mergeCell ref="C2:D2"/>
    <mergeCell ref="E2:F2"/>
    <mergeCell ref="G2:H2"/>
    <mergeCell ref="A3:B3"/>
    <mergeCell ref="A14:B14"/>
    <mergeCell ref="A1:B1"/>
    <mergeCell ref="A2:B2"/>
    <mergeCell ref="A4:B4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O39" sqref="O39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E25</f>
        <v>0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</v>
      </c>
      <c r="M3" s="348">
        <f>J3*$K$1</f>
        <v>157.98578949562497</v>
      </c>
      <c r="N3" s="397">
        <f>K3+L3</f>
        <v>1291.6799999999998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0</v>
      </c>
      <c r="S3" s="397">
        <f t="shared" ref="S3:S10" si="3">D3*E3*J3</f>
        <v>1466366.1523628905</v>
      </c>
      <c r="T3" s="397">
        <f>SUM(Q3:S3)</f>
        <v>13455266.152362891</v>
      </c>
      <c r="U3" s="467">
        <f>T3/12</f>
        <v>1121272.1793635741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0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</v>
      </c>
      <c r="M4" s="348">
        <f t="shared" ref="M4:M8" si="7">J4*$K$1</f>
        <v>157.98578949562497</v>
      </c>
      <c r="N4" s="397">
        <f t="shared" ref="N4:N8" si="8">K4+L4</f>
        <v>1291.6799999999998</v>
      </c>
      <c r="O4" s="351"/>
      <c r="P4" s="496">
        <f>P3+1</f>
        <v>2027</v>
      </c>
      <c r="Q4" s="397">
        <f t="shared" si="1"/>
        <v>1712700</v>
      </c>
      <c r="R4" s="397">
        <f t="shared" si="2"/>
        <v>0</v>
      </c>
      <c r="S4" s="397">
        <f t="shared" si="3"/>
        <v>209480.87890898436</v>
      </c>
      <c r="T4" s="397">
        <f t="shared" ref="T4:T10" si="9">SUM(Q4:S4)</f>
        <v>1922180.8789089844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0</v>
      </c>
      <c r="J5" s="347">
        <f>J4*1.05</f>
        <v>15.411099867187501</v>
      </c>
      <c r="K5" s="347">
        <f t="shared" si="6"/>
        <v>1291.6799999999998</v>
      </c>
      <c r="L5" s="348">
        <f t="shared" si="0"/>
        <v>0</v>
      </c>
      <c r="M5" s="348">
        <f t="shared" si="7"/>
        <v>165.88507897040625</v>
      </c>
      <c r="N5" s="397">
        <f t="shared" si="8"/>
        <v>1291.6799999999998</v>
      </c>
      <c r="O5" s="351"/>
      <c r="P5" s="496">
        <f>P4</f>
        <v>2027</v>
      </c>
      <c r="Q5" s="397">
        <f t="shared" si="1"/>
        <v>11988900</v>
      </c>
      <c r="R5" s="397">
        <f t="shared" si="2"/>
        <v>0</v>
      </c>
      <c r="S5" s="397">
        <f t="shared" si="3"/>
        <v>1539684.4599810352</v>
      </c>
      <c r="T5" s="397">
        <f t="shared" si="9"/>
        <v>13528584.459981035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0</v>
      </c>
      <c r="J6" s="347">
        <f>J5</f>
        <v>15.411099867187501</v>
      </c>
      <c r="K6" s="347">
        <f t="shared" si="6"/>
        <v>1291.6799999999998</v>
      </c>
      <c r="L6" s="348">
        <f t="shared" si="0"/>
        <v>0</v>
      </c>
      <c r="M6" s="348">
        <f t="shared" si="7"/>
        <v>165.88507897040625</v>
      </c>
      <c r="N6" s="397">
        <f t="shared" si="8"/>
        <v>1291.6799999999998</v>
      </c>
      <c r="O6" s="351"/>
      <c r="P6" s="496">
        <f>P5+1</f>
        <v>2028</v>
      </c>
      <c r="Q6" s="397">
        <f t="shared" si="1"/>
        <v>1712700</v>
      </c>
      <c r="R6" s="397">
        <f t="shared" si="2"/>
        <v>0</v>
      </c>
      <c r="S6" s="397">
        <f t="shared" si="3"/>
        <v>219954.92285443359</v>
      </c>
      <c r="T6" s="397">
        <f t="shared" si="9"/>
        <v>1932654.9228544335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0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</v>
      </c>
      <c r="M7" s="348">
        <f t="shared" si="7"/>
        <v>174.17933291892655</v>
      </c>
      <c r="N7" s="397">
        <f t="shared" si="8"/>
        <v>1291.6799999999998</v>
      </c>
      <c r="O7" s="351"/>
      <c r="P7" s="496">
        <f>P6</f>
        <v>2028</v>
      </c>
      <c r="Q7" s="397">
        <f t="shared" si="1"/>
        <v>11988900</v>
      </c>
      <c r="R7" s="397">
        <f t="shared" si="2"/>
        <v>0</v>
      </c>
      <c r="S7" s="397">
        <f t="shared" si="3"/>
        <v>1616668.6829800869</v>
      </c>
      <c r="T7" s="397">
        <f t="shared" si="9"/>
        <v>13605568.682980087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0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</v>
      </c>
      <c r="M8" s="348">
        <f t="shared" si="7"/>
        <v>174.17933291892655</v>
      </c>
      <c r="N8" s="397">
        <f t="shared" si="8"/>
        <v>1291.6799999999998</v>
      </c>
      <c r="O8" s="351"/>
      <c r="P8" s="496">
        <f>P7+1</f>
        <v>2029</v>
      </c>
      <c r="Q8" s="397">
        <f t="shared" si="1"/>
        <v>1712700</v>
      </c>
      <c r="R8" s="397">
        <f t="shared" si="2"/>
        <v>0</v>
      </c>
      <c r="S8" s="397">
        <f t="shared" si="3"/>
        <v>230952.66899715527</v>
      </c>
      <c r="T8" s="397">
        <f t="shared" si="9"/>
        <v>1943652.6689971553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0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</v>
      </c>
      <c r="M9" s="348">
        <f t="shared" ref="M9:M10" si="18">J9*$K$1</f>
        <v>174.17933291892655</v>
      </c>
      <c r="N9" s="397">
        <f t="shared" ref="N9:N10" si="19">K9+L9</f>
        <v>1291.6799999999998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0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</v>
      </c>
      <c r="M10" s="348">
        <f t="shared" si="18"/>
        <v>174.17933291892655</v>
      </c>
      <c r="N10" s="397">
        <f t="shared" si="19"/>
        <v>1291.6799999999998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0</v>
      </c>
      <c r="S11" s="398">
        <f>SUM(S3:S10)</f>
        <v>5283107.7660845863</v>
      </c>
      <c r="T11" s="398">
        <f>SUM(T3:T10)</f>
        <v>46387907.766084582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407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6" t="s">
        <v>230</v>
      </c>
      <c r="H18" s="586" t="s">
        <v>246</v>
      </c>
      <c r="I18" s="586" t="s">
        <v>407</v>
      </c>
      <c r="J18" s="587" t="s">
        <v>66</v>
      </c>
      <c r="K18" s="587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4" t="s">
        <v>256</v>
      </c>
      <c r="C21" s="594" t="s">
        <v>257</v>
      </c>
      <c r="D21" s="594" t="s">
        <v>258</v>
      </c>
      <c r="E21" s="594" t="s">
        <v>259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260</v>
      </c>
      <c r="C22" s="352"/>
      <c r="D22" s="395"/>
      <c r="E22" s="352">
        <f>C22*D22</f>
        <v>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261</v>
      </c>
      <c r="C23" s="352"/>
      <c r="D23" s="395"/>
      <c r="E23" s="352">
        <f>C23*D23</f>
        <v>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0</v>
      </c>
      <c r="E24" s="396">
        <f>E22+E23</f>
        <v>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0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7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6"/>
      <c r="N29" s="577"/>
      <c r="O29" s="577"/>
    </row>
    <row r="30" spans="1:20" ht="26.5" thickBot="1">
      <c r="A30" s="588" t="s">
        <v>230</v>
      </c>
      <c r="B30" s="589" t="s">
        <v>244</v>
      </c>
      <c r="C30" s="589" t="s">
        <v>245</v>
      </c>
      <c r="D30" s="589" t="s">
        <v>246</v>
      </c>
      <c r="E30" s="589" t="s">
        <v>248</v>
      </c>
      <c r="F30" s="589" t="s">
        <v>247</v>
      </c>
      <c r="G30" s="589" t="s">
        <v>249</v>
      </c>
      <c r="H30" s="589" t="s">
        <v>250</v>
      </c>
      <c r="I30" s="590" t="s">
        <v>251</v>
      </c>
      <c r="J30" s="589" t="s">
        <v>66</v>
      </c>
      <c r="K30" s="590" t="s">
        <v>252</v>
      </c>
      <c r="L30" s="590" t="s">
        <v>254</v>
      </c>
      <c r="M30" s="591" t="s">
        <v>29</v>
      </c>
      <c r="N30" s="592" t="s">
        <v>407</v>
      </c>
      <c r="O30" s="593" t="s">
        <v>66</v>
      </c>
      <c r="P30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120</f>
        <v>120</v>
      </c>
      <c r="I31" s="479"/>
      <c r="J31" s="482">
        <f>15.48</f>
        <v>15.48</v>
      </c>
      <c r="K31" s="479">
        <f t="shared" ref="K31:K62" si="26">H31*E31</f>
        <v>1141800</v>
      </c>
      <c r="L31" s="481">
        <f t="shared" ref="L31:L62" si="27">J31*E31</f>
        <v>147292.20000000001</v>
      </c>
      <c r="M31" s="483">
        <f t="shared" ref="M31:M36" si="28">I31+K31+L31</f>
        <v>1289092.2</v>
      </c>
      <c r="N31" s="501"/>
      <c r="O31" s="543"/>
      <c r="P31" s="574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4"/>
      <c r="H32" s="486">
        <v>120</v>
      </c>
      <c r="I32" s="485"/>
      <c r="J32" s="469">
        <v>15.48</v>
      </c>
      <c r="K32" s="485">
        <f t="shared" si="26"/>
        <v>1141800</v>
      </c>
      <c r="L32" s="486">
        <f t="shared" si="27"/>
        <v>147292.20000000001</v>
      </c>
      <c r="M32" s="467">
        <f t="shared" si="28"/>
        <v>1289092.2</v>
      </c>
      <c r="N32" s="465"/>
      <c r="O32" s="545"/>
      <c r="P32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4"/>
      <c r="H33" s="486">
        <v>120</v>
      </c>
      <c r="I33" s="485"/>
      <c r="J33" s="469">
        <f t="shared" ref="J33:J42" si="32">J32</f>
        <v>15.48</v>
      </c>
      <c r="K33" s="485">
        <f t="shared" si="26"/>
        <v>1141800</v>
      </c>
      <c r="L33" s="486">
        <f t="shared" si="27"/>
        <v>147292.20000000001</v>
      </c>
      <c r="M33" s="467">
        <f t="shared" si="28"/>
        <v>1289092.2</v>
      </c>
      <c r="N33" s="465"/>
      <c r="O33" s="545"/>
      <c r="P33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4"/>
      <c r="H34" s="486">
        <v>120</v>
      </c>
      <c r="I34" s="485"/>
      <c r="J34" s="469">
        <f t="shared" si="32"/>
        <v>15.48</v>
      </c>
      <c r="K34" s="485">
        <f t="shared" si="26"/>
        <v>1141800</v>
      </c>
      <c r="L34" s="486">
        <f t="shared" si="27"/>
        <v>147292.20000000001</v>
      </c>
      <c r="M34" s="467">
        <f t="shared" si="28"/>
        <v>1289092.2</v>
      </c>
      <c r="N34" s="465"/>
      <c r="O34" s="545"/>
      <c r="P34"/>
    </row>
    <row r="35" spans="1:16" ht="13">
      <c r="A35" s="484">
        <f t="shared" si="29"/>
        <v>2026</v>
      </c>
      <c r="B35" s="468">
        <f t="shared" ref="B35:B36" si="33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4"/>
      <c r="H35" s="486">
        <v>120</v>
      </c>
      <c r="I35" s="485"/>
      <c r="J35" s="469">
        <f t="shared" si="32"/>
        <v>15.48</v>
      </c>
      <c r="K35" s="485">
        <f t="shared" si="26"/>
        <v>1141800</v>
      </c>
      <c r="L35" s="486">
        <f t="shared" si="27"/>
        <v>147292.20000000001</v>
      </c>
      <c r="M35" s="467">
        <f t="shared" si="28"/>
        <v>1289092.2</v>
      </c>
      <c r="N35" s="465"/>
      <c r="O35" s="545"/>
      <c r="P35"/>
    </row>
    <row r="36" spans="1:16" ht="13">
      <c r="A36" s="484">
        <f t="shared" si="29"/>
        <v>2026</v>
      </c>
      <c r="B36" s="468">
        <f t="shared" si="33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4"/>
      <c r="H36" s="486">
        <v>120</v>
      </c>
      <c r="I36" s="485"/>
      <c r="J36" s="469">
        <f t="shared" si="32"/>
        <v>15.48</v>
      </c>
      <c r="K36" s="485">
        <f t="shared" si="26"/>
        <v>1141800</v>
      </c>
      <c r="L36" s="486">
        <f t="shared" si="27"/>
        <v>147292.20000000001</v>
      </c>
      <c r="M36" s="467">
        <f t="shared" si="28"/>
        <v>1289092.2</v>
      </c>
      <c r="N36" s="465"/>
      <c r="O36" s="545"/>
      <c r="P36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v>120</v>
      </c>
      <c r="I37" s="485"/>
      <c r="J37" s="469">
        <f t="shared" si="32"/>
        <v>15.48</v>
      </c>
      <c r="K37" s="485">
        <f t="shared" si="26"/>
        <v>1141800</v>
      </c>
      <c r="L37" s="486">
        <f t="shared" si="27"/>
        <v>147292.20000000001</v>
      </c>
      <c r="M37" s="467">
        <f>I37+K37+L37</f>
        <v>1289092.2</v>
      </c>
      <c r="N37" s="485"/>
      <c r="O37" s="504"/>
      <c r="P37" s="471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v>120</v>
      </c>
      <c r="I38" s="490"/>
      <c r="J38" s="492">
        <f t="shared" si="32"/>
        <v>15.48</v>
      </c>
      <c r="K38" s="490">
        <f t="shared" si="26"/>
        <v>1141800</v>
      </c>
      <c r="L38" s="491">
        <f t="shared" si="27"/>
        <v>147292.20000000001</v>
      </c>
      <c r="M38" s="493">
        <f t="shared" ref="M38:M84" si="34">I38+K38+L38</f>
        <v>1289092.2</v>
      </c>
      <c r="N38" s="490"/>
      <c r="O38" s="508"/>
      <c r="P38"/>
    </row>
    <row r="39" spans="1:16">
      <c r="A39" s="484">
        <f>A38+1</f>
        <v>2027</v>
      </c>
      <c r="B39" s="468">
        <f t="shared" ref="B39:B84" si="35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v>120</v>
      </c>
      <c r="I39" s="485"/>
      <c r="J39" s="469">
        <f t="shared" si="32"/>
        <v>15.48</v>
      </c>
      <c r="K39" s="485">
        <f t="shared" si="26"/>
        <v>1141800</v>
      </c>
      <c r="L39" s="486">
        <f t="shared" si="27"/>
        <v>147292.20000000001</v>
      </c>
      <c r="M39" s="467">
        <f t="shared" si="34"/>
        <v>1289092.2</v>
      </c>
      <c r="N39" s="485">
        <f>SUM(K31:K38)</f>
        <v>9134400</v>
      </c>
      <c r="O39" s="504">
        <f>SUM(L31:L38)</f>
        <v>1178337.5999999999</v>
      </c>
      <c r="P39"/>
    </row>
    <row r="40" spans="1:16">
      <c r="A40">
        <f>A39</f>
        <v>2027</v>
      </c>
      <c r="B40" s="468">
        <f t="shared" si="35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v>120</v>
      </c>
      <c r="I40" s="485"/>
      <c r="J40" s="469">
        <f t="shared" si="32"/>
        <v>15.48</v>
      </c>
      <c r="K40" s="485">
        <f t="shared" si="26"/>
        <v>1141800</v>
      </c>
      <c r="L40" s="486">
        <f t="shared" si="27"/>
        <v>147292.20000000001</v>
      </c>
      <c r="M40" s="467">
        <f t="shared" si="34"/>
        <v>1289092.2</v>
      </c>
      <c r="N40" s="485"/>
      <c r="O40" s="504"/>
      <c r="P40"/>
    </row>
    <row r="41" spans="1:16">
      <c r="A41" s="484">
        <f>A40</f>
        <v>2027</v>
      </c>
      <c r="B41" s="468">
        <f t="shared" si="35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v>120</v>
      </c>
      <c r="I41" s="485"/>
      <c r="J41" s="469">
        <f t="shared" si="32"/>
        <v>15.48</v>
      </c>
      <c r="K41" s="485">
        <f t="shared" si="26"/>
        <v>1141800</v>
      </c>
      <c r="L41" s="486">
        <f t="shared" si="27"/>
        <v>147292.20000000001</v>
      </c>
      <c r="M41" s="467">
        <f t="shared" si="34"/>
        <v>1289092.2</v>
      </c>
      <c r="N41" s="485"/>
      <c r="O41" s="504"/>
      <c r="P41"/>
    </row>
    <row r="42" spans="1:16">
      <c r="A42" s="484">
        <f>A41</f>
        <v>2027</v>
      </c>
      <c r="B42" s="468">
        <f t="shared" si="35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v>120</v>
      </c>
      <c r="I42" s="485"/>
      <c r="J42" s="469">
        <f t="shared" si="32"/>
        <v>15.48</v>
      </c>
      <c r="K42" s="485">
        <f t="shared" si="26"/>
        <v>1141800</v>
      </c>
      <c r="L42" s="486">
        <f t="shared" si="27"/>
        <v>147292.20000000001</v>
      </c>
      <c r="M42" s="467">
        <f t="shared" si="34"/>
        <v>1289092.2</v>
      </c>
      <c r="N42" s="485"/>
      <c r="O42" s="504"/>
      <c r="P42"/>
    </row>
    <row r="43" spans="1:16">
      <c r="A43" s="484">
        <f>A42</f>
        <v>2027</v>
      </c>
      <c r="B43" s="468">
        <f t="shared" si="35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v>120</v>
      </c>
      <c r="I43" s="485"/>
      <c r="J43" s="469">
        <f>J42*1.05</f>
        <v>16.254000000000001</v>
      </c>
      <c r="K43" s="485">
        <f t="shared" si="26"/>
        <v>1141800</v>
      </c>
      <c r="L43" s="486">
        <f t="shared" si="27"/>
        <v>154656.81000000003</v>
      </c>
      <c r="M43" s="467">
        <f t="shared" si="34"/>
        <v>1296456.81</v>
      </c>
      <c r="N43" s="485"/>
      <c r="O43" s="504"/>
      <c r="P43"/>
    </row>
    <row r="44" spans="1:16">
      <c r="A44" s="484">
        <f>A43</f>
        <v>2027</v>
      </c>
      <c r="B44" s="468">
        <f t="shared" si="35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v>120</v>
      </c>
      <c r="I44" s="485"/>
      <c r="J44" s="469">
        <f>J43</f>
        <v>16.254000000000001</v>
      </c>
      <c r="K44" s="485">
        <f t="shared" si="26"/>
        <v>1141800</v>
      </c>
      <c r="L44" s="486">
        <f t="shared" si="27"/>
        <v>154656.81000000003</v>
      </c>
      <c r="M44" s="467">
        <f t="shared" si="34"/>
        <v>1296456.81</v>
      </c>
      <c r="N44" s="485"/>
      <c r="O44" s="504"/>
      <c r="P44"/>
    </row>
    <row r="45" spans="1:16">
      <c r="A45" s="484">
        <f t="shared" ref="A45:A50" si="36">A44</f>
        <v>2027</v>
      </c>
      <c r="B45" s="468">
        <f t="shared" si="35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v>120</v>
      </c>
      <c r="I45" s="485"/>
      <c r="J45" s="469">
        <f t="shared" ref="J45:J54" si="37">J44</f>
        <v>16.254000000000001</v>
      </c>
      <c r="K45" s="485">
        <f t="shared" si="26"/>
        <v>1141800</v>
      </c>
      <c r="L45" s="486">
        <f t="shared" si="27"/>
        <v>154656.81000000003</v>
      </c>
      <c r="M45" s="467">
        <f t="shared" si="34"/>
        <v>1296456.81</v>
      </c>
      <c r="N45" s="485"/>
      <c r="O45" s="504"/>
      <c r="P45"/>
    </row>
    <row r="46" spans="1:16">
      <c r="A46" s="484">
        <f t="shared" si="36"/>
        <v>2027</v>
      </c>
      <c r="B46" s="468">
        <f t="shared" si="35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v>120</v>
      </c>
      <c r="I46" s="485"/>
      <c r="J46" s="469">
        <f t="shared" si="37"/>
        <v>16.254000000000001</v>
      </c>
      <c r="K46" s="485">
        <f t="shared" si="26"/>
        <v>1141800</v>
      </c>
      <c r="L46" s="486">
        <f t="shared" si="27"/>
        <v>154656.81000000003</v>
      </c>
      <c r="M46" s="467">
        <f t="shared" si="34"/>
        <v>1296456.81</v>
      </c>
      <c r="N46" s="485"/>
      <c r="O46" s="504"/>
      <c r="P46"/>
    </row>
    <row r="47" spans="1:16">
      <c r="A47" s="484">
        <f t="shared" si="36"/>
        <v>2027</v>
      </c>
      <c r="B47" s="468">
        <f t="shared" si="35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v>120</v>
      </c>
      <c r="I47" s="485"/>
      <c r="J47" s="469">
        <f t="shared" si="37"/>
        <v>16.254000000000001</v>
      </c>
      <c r="K47" s="485">
        <f t="shared" si="26"/>
        <v>1141800</v>
      </c>
      <c r="L47" s="486">
        <f t="shared" si="27"/>
        <v>154656.81000000003</v>
      </c>
      <c r="M47" s="467">
        <f t="shared" si="34"/>
        <v>1296456.81</v>
      </c>
      <c r="N47" s="485"/>
      <c r="O47" s="504"/>
      <c r="P47"/>
    </row>
    <row r="48" spans="1:16">
      <c r="A48" s="484">
        <f t="shared" si="36"/>
        <v>2027</v>
      </c>
      <c r="B48" s="468">
        <f t="shared" si="35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v>120</v>
      </c>
      <c r="I48" s="485"/>
      <c r="J48" s="469">
        <f t="shared" si="37"/>
        <v>16.254000000000001</v>
      </c>
      <c r="K48" s="485">
        <f t="shared" si="26"/>
        <v>1141800</v>
      </c>
      <c r="L48" s="486">
        <f t="shared" si="27"/>
        <v>154656.81000000003</v>
      </c>
      <c r="M48" s="467">
        <f t="shared" si="34"/>
        <v>1296456.81</v>
      </c>
      <c r="N48" s="485"/>
      <c r="O48" s="504"/>
      <c r="P48"/>
    </row>
    <row r="49" spans="1:16">
      <c r="A49" s="484">
        <f t="shared" si="36"/>
        <v>2027</v>
      </c>
      <c r="B49" s="468">
        <f t="shared" si="35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v>120</v>
      </c>
      <c r="I49" s="485"/>
      <c r="J49" s="469">
        <f t="shared" si="37"/>
        <v>16.254000000000001</v>
      </c>
      <c r="K49" s="485">
        <f t="shared" si="26"/>
        <v>1141800</v>
      </c>
      <c r="L49" s="486">
        <f t="shared" si="27"/>
        <v>154656.81000000003</v>
      </c>
      <c r="M49" s="467">
        <f t="shared" si="34"/>
        <v>1296456.81</v>
      </c>
      <c r="N49" s="485"/>
      <c r="O49" s="504"/>
      <c r="P49"/>
    </row>
    <row r="50" spans="1:16" ht="13" thickBot="1">
      <c r="A50" s="487">
        <f t="shared" si="36"/>
        <v>2027</v>
      </c>
      <c r="B50" s="488">
        <f t="shared" si="35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v>120</v>
      </c>
      <c r="I50" s="490"/>
      <c r="J50" s="492">
        <f t="shared" si="37"/>
        <v>16.254000000000001</v>
      </c>
      <c r="K50" s="490">
        <f t="shared" si="26"/>
        <v>1141800</v>
      </c>
      <c r="L50" s="491">
        <f t="shared" si="27"/>
        <v>154656.81000000003</v>
      </c>
      <c r="M50" s="493">
        <f t="shared" si="34"/>
        <v>1296456.81</v>
      </c>
      <c r="N50" s="490"/>
      <c r="O50" s="508"/>
      <c r="P50"/>
    </row>
    <row r="51" spans="1:16">
      <c r="A51" s="484">
        <f>A50+1</f>
        <v>2028</v>
      </c>
      <c r="B51" s="468">
        <f t="shared" si="35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v>120</v>
      </c>
      <c r="I51" s="485"/>
      <c r="J51" s="469">
        <f t="shared" si="37"/>
        <v>16.254000000000001</v>
      </c>
      <c r="K51" s="485">
        <f t="shared" si="26"/>
        <v>1141800</v>
      </c>
      <c r="L51" s="486">
        <f t="shared" si="27"/>
        <v>154656.81000000003</v>
      </c>
      <c r="M51" s="467">
        <f t="shared" si="34"/>
        <v>1296456.81</v>
      </c>
      <c r="N51" s="485">
        <f>SUM(K39:K50)</f>
        <v>13701600</v>
      </c>
      <c r="O51" s="504">
        <f>SUM(L39:L50)</f>
        <v>1826423.2800000005</v>
      </c>
      <c r="P51"/>
    </row>
    <row r="52" spans="1:16">
      <c r="A52" s="484">
        <f>A51</f>
        <v>2028</v>
      </c>
      <c r="B52" s="468">
        <f t="shared" si="35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v>120</v>
      </c>
      <c r="I52" s="485"/>
      <c r="J52" s="469">
        <f t="shared" si="37"/>
        <v>16.254000000000001</v>
      </c>
      <c r="K52" s="485">
        <f t="shared" si="26"/>
        <v>1141800</v>
      </c>
      <c r="L52" s="486">
        <f t="shared" si="27"/>
        <v>154656.81000000003</v>
      </c>
      <c r="M52" s="467">
        <f t="shared" si="34"/>
        <v>1296456.81</v>
      </c>
      <c r="N52" s="485"/>
      <c r="O52" s="504"/>
      <c r="P52"/>
    </row>
    <row r="53" spans="1:16">
      <c r="A53" s="484">
        <f>A52</f>
        <v>2028</v>
      </c>
      <c r="B53" s="468">
        <f t="shared" si="35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v>120</v>
      </c>
      <c r="I53" s="485"/>
      <c r="J53" s="469">
        <f t="shared" si="37"/>
        <v>16.254000000000001</v>
      </c>
      <c r="K53" s="485">
        <f t="shared" si="26"/>
        <v>1141800</v>
      </c>
      <c r="L53" s="486">
        <f t="shared" si="27"/>
        <v>154656.81000000003</v>
      </c>
      <c r="M53" s="467">
        <f t="shared" si="34"/>
        <v>1296456.81</v>
      </c>
      <c r="N53" s="485"/>
      <c r="O53" s="504"/>
      <c r="P53"/>
    </row>
    <row r="54" spans="1:16">
      <c r="A54" s="484">
        <f t="shared" ref="A54:A62" si="38">A53</f>
        <v>2028</v>
      </c>
      <c r="B54" s="468">
        <f t="shared" si="35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v>120</v>
      </c>
      <c r="I54" s="485"/>
      <c r="J54" s="469">
        <f t="shared" si="37"/>
        <v>16.254000000000001</v>
      </c>
      <c r="K54" s="485">
        <f t="shared" si="26"/>
        <v>1141800</v>
      </c>
      <c r="L54" s="486">
        <f t="shared" si="27"/>
        <v>154656.81000000003</v>
      </c>
      <c r="M54" s="467">
        <f t="shared" si="34"/>
        <v>1296456.81</v>
      </c>
      <c r="N54" s="485"/>
      <c r="O54" s="504"/>
      <c r="P54"/>
    </row>
    <row r="55" spans="1:16">
      <c r="A55" s="484">
        <f t="shared" si="38"/>
        <v>2028</v>
      </c>
      <c r="B55" s="468">
        <f t="shared" si="35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v>120</v>
      </c>
      <c r="I55" s="485"/>
      <c r="J55" s="469">
        <f>J54*1.05</f>
        <v>17.066700000000001</v>
      </c>
      <c r="K55" s="485">
        <f t="shared" si="26"/>
        <v>1141800</v>
      </c>
      <c r="L55" s="486">
        <f t="shared" si="27"/>
        <v>162389.65050000002</v>
      </c>
      <c r="M55" s="467">
        <f t="shared" si="34"/>
        <v>1304189.6505</v>
      </c>
      <c r="N55" s="485"/>
      <c r="O55" s="504"/>
      <c r="P55"/>
    </row>
    <row r="56" spans="1:16">
      <c r="A56" s="484">
        <f t="shared" si="38"/>
        <v>2028</v>
      </c>
      <c r="B56" s="468">
        <f t="shared" si="35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v>120</v>
      </c>
      <c r="I56" s="485"/>
      <c r="J56" s="469">
        <f>J55</f>
        <v>17.066700000000001</v>
      </c>
      <c r="K56" s="485">
        <f t="shared" si="26"/>
        <v>1141800</v>
      </c>
      <c r="L56" s="486">
        <f t="shared" si="27"/>
        <v>162389.65050000002</v>
      </c>
      <c r="M56" s="467">
        <f t="shared" si="34"/>
        <v>1304189.6505</v>
      </c>
      <c r="N56" s="485"/>
      <c r="O56" s="504"/>
      <c r="P56"/>
    </row>
    <row r="57" spans="1:16">
      <c r="A57" s="484">
        <f t="shared" si="38"/>
        <v>2028</v>
      </c>
      <c r="B57" s="468">
        <f t="shared" si="35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v>120</v>
      </c>
      <c r="I57" s="485"/>
      <c r="J57" s="469">
        <f t="shared" ref="J57:J59" si="39">J56</f>
        <v>17.066700000000001</v>
      </c>
      <c r="K57" s="485">
        <f t="shared" si="26"/>
        <v>1141800</v>
      </c>
      <c r="L57" s="486">
        <f t="shared" si="27"/>
        <v>162389.65050000002</v>
      </c>
      <c r="M57" s="467">
        <f t="shared" si="34"/>
        <v>1304189.6505</v>
      </c>
      <c r="N57" s="485"/>
      <c r="O57" s="504"/>
      <c r="P57"/>
    </row>
    <row r="58" spans="1:16">
      <c r="A58" s="484">
        <f t="shared" si="38"/>
        <v>2028</v>
      </c>
      <c r="B58" s="468">
        <f t="shared" si="35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v>120</v>
      </c>
      <c r="I58" s="485"/>
      <c r="J58" s="469">
        <f t="shared" si="39"/>
        <v>17.066700000000001</v>
      </c>
      <c r="K58" s="485">
        <f t="shared" si="26"/>
        <v>1141800</v>
      </c>
      <c r="L58" s="486">
        <f t="shared" si="27"/>
        <v>162389.65050000002</v>
      </c>
      <c r="M58" s="467">
        <f t="shared" si="34"/>
        <v>1304189.6505</v>
      </c>
      <c r="N58" s="485"/>
      <c r="O58" s="504"/>
      <c r="P58"/>
    </row>
    <row r="59" spans="1:16">
      <c r="A59" s="484">
        <f t="shared" si="38"/>
        <v>2028</v>
      </c>
      <c r="B59" s="468">
        <f t="shared" si="35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v>120</v>
      </c>
      <c r="I59" s="485"/>
      <c r="J59" s="469">
        <f t="shared" si="39"/>
        <v>17.066700000000001</v>
      </c>
      <c r="K59" s="485">
        <f t="shared" si="26"/>
        <v>1141800</v>
      </c>
      <c r="L59" s="486">
        <f t="shared" si="27"/>
        <v>162389.65050000002</v>
      </c>
      <c r="M59" s="467">
        <f t="shared" si="34"/>
        <v>1304189.6505</v>
      </c>
      <c r="N59" s="485"/>
      <c r="O59" s="504"/>
      <c r="P59"/>
    </row>
    <row r="60" spans="1:16">
      <c r="A60" s="484">
        <f t="shared" si="38"/>
        <v>2028</v>
      </c>
      <c r="B60" s="468">
        <f t="shared" si="35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v>120</v>
      </c>
      <c r="I60" s="485"/>
      <c r="J60" s="469">
        <f t="shared" ref="J60:J84" si="40">J59</f>
        <v>17.066700000000001</v>
      </c>
      <c r="K60" s="485">
        <f t="shared" si="26"/>
        <v>1141800</v>
      </c>
      <c r="L60" s="486">
        <f t="shared" si="27"/>
        <v>162389.65050000002</v>
      </c>
      <c r="M60" s="467">
        <f t="shared" si="34"/>
        <v>1304189.6505</v>
      </c>
      <c r="N60" s="485"/>
      <c r="O60" s="504"/>
      <c r="P60"/>
    </row>
    <row r="61" spans="1:16">
      <c r="A61" s="484">
        <f t="shared" si="38"/>
        <v>2028</v>
      </c>
      <c r="B61" s="468">
        <f t="shared" si="35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v>120</v>
      </c>
      <c r="I61" s="485"/>
      <c r="J61" s="469">
        <f>J60</f>
        <v>17.066700000000001</v>
      </c>
      <c r="K61" s="485">
        <f t="shared" si="26"/>
        <v>1141800</v>
      </c>
      <c r="L61" s="486">
        <f t="shared" si="27"/>
        <v>162389.65050000002</v>
      </c>
      <c r="M61" s="467">
        <f t="shared" si="34"/>
        <v>1304189.6505</v>
      </c>
      <c r="N61" s="485"/>
      <c r="O61" s="504"/>
      <c r="P61"/>
    </row>
    <row r="62" spans="1:16" ht="13" thickBot="1">
      <c r="A62" s="487">
        <f t="shared" si="38"/>
        <v>2028</v>
      </c>
      <c r="B62" s="488">
        <f t="shared" si="35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v>120</v>
      </c>
      <c r="I62" s="490"/>
      <c r="J62" s="492">
        <f>J61</f>
        <v>17.066700000000001</v>
      </c>
      <c r="K62" s="490">
        <f t="shared" si="26"/>
        <v>1141800</v>
      </c>
      <c r="L62" s="491">
        <f t="shared" si="27"/>
        <v>162389.65050000002</v>
      </c>
      <c r="M62" s="493">
        <f t="shared" si="34"/>
        <v>1304189.6505</v>
      </c>
      <c r="N62" s="490"/>
      <c r="O62" s="508"/>
      <c r="P62"/>
    </row>
    <row r="63" spans="1:16">
      <c r="A63">
        <f>A62+1</f>
        <v>2029</v>
      </c>
      <c r="B63" s="468">
        <f t="shared" si="35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v>120</v>
      </c>
      <c r="I63" s="485"/>
      <c r="J63" s="469">
        <f t="shared" ref="J63:J72" si="41">J62</f>
        <v>17.066700000000001</v>
      </c>
      <c r="K63" s="485">
        <f t="shared" ref="K63:K94" si="42">H63*E63</f>
        <v>1141800</v>
      </c>
      <c r="L63" s="486">
        <f t="shared" ref="L63:L94" si="43">J63*E63</f>
        <v>162389.65050000002</v>
      </c>
      <c r="M63" s="467">
        <f t="shared" si="34"/>
        <v>1304189.6505</v>
      </c>
      <c r="N63" s="485">
        <f>SUM(K51:K62)</f>
        <v>13701600</v>
      </c>
      <c r="O63" s="504">
        <f>SUM(L51:L62)</f>
        <v>1917744.4440000001</v>
      </c>
      <c r="P63"/>
    </row>
    <row r="64" spans="1:16">
      <c r="A64" s="484">
        <f>A63</f>
        <v>2029</v>
      </c>
      <c r="B64" s="468">
        <f t="shared" si="35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v>120</v>
      </c>
      <c r="I64" s="485"/>
      <c r="J64" s="469">
        <f t="shared" si="41"/>
        <v>17.066700000000001</v>
      </c>
      <c r="K64" s="485">
        <f t="shared" si="42"/>
        <v>1141800</v>
      </c>
      <c r="L64" s="486">
        <f t="shared" si="43"/>
        <v>162389.65050000002</v>
      </c>
      <c r="M64" s="467">
        <f t="shared" si="34"/>
        <v>1304189.6505</v>
      </c>
      <c r="N64" s="485"/>
      <c r="O64" s="504"/>
      <c r="P64"/>
    </row>
    <row r="65" spans="1:16">
      <c r="A65" s="484">
        <f>A64</f>
        <v>2029</v>
      </c>
      <c r="B65" s="468">
        <f t="shared" si="35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v>120</v>
      </c>
      <c r="I65" s="485"/>
      <c r="J65" s="469">
        <f t="shared" si="41"/>
        <v>17.066700000000001</v>
      </c>
      <c r="K65" s="485">
        <f t="shared" si="42"/>
        <v>1141800</v>
      </c>
      <c r="L65" s="486">
        <f t="shared" si="43"/>
        <v>162389.65050000002</v>
      </c>
      <c r="M65" s="467">
        <f t="shared" si="34"/>
        <v>1304189.6505</v>
      </c>
      <c r="N65" s="485"/>
      <c r="O65" s="504"/>
      <c r="P65"/>
    </row>
    <row r="66" spans="1:16">
      <c r="A66" s="484">
        <f t="shared" ref="A66:A74" si="44">A65</f>
        <v>2029</v>
      </c>
      <c r="B66" s="468">
        <f t="shared" si="35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v>120</v>
      </c>
      <c r="I66" s="485"/>
      <c r="J66" s="469">
        <f t="shared" si="41"/>
        <v>17.066700000000001</v>
      </c>
      <c r="K66" s="485">
        <f t="shared" si="42"/>
        <v>1141800</v>
      </c>
      <c r="L66" s="486">
        <f t="shared" si="43"/>
        <v>162389.65050000002</v>
      </c>
      <c r="M66" s="467">
        <f t="shared" si="34"/>
        <v>1304189.6505</v>
      </c>
      <c r="N66" s="485"/>
      <c r="O66" s="504"/>
      <c r="P66"/>
    </row>
    <row r="67" spans="1:16">
      <c r="A67" s="484">
        <f t="shared" si="44"/>
        <v>2029</v>
      </c>
      <c r="B67" s="468">
        <f t="shared" si="35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H66*1.15</f>
        <v>138</v>
      </c>
      <c r="I67" s="485"/>
      <c r="J67" s="469">
        <f>J66*1.05</f>
        <v>17.920035000000002</v>
      </c>
      <c r="K67" s="485">
        <f t="shared" si="42"/>
        <v>1313070</v>
      </c>
      <c r="L67" s="486">
        <f t="shared" si="43"/>
        <v>170509.13302500002</v>
      </c>
      <c r="M67" s="467">
        <f t="shared" si="34"/>
        <v>1483579.1330250001</v>
      </c>
      <c r="N67" s="485"/>
      <c r="O67" s="504"/>
      <c r="P67"/>
    </row>
    <row r="68" spans="1:16">
      <c r="A68" s="484">
        <f t="shared" si="44"/>
        <v>2029</v>
      </c>
      <c r="B68" s="468">
        <f t="shared" si="35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/>
      <c r="J68" s="469">
        <f>J67</f>
        <v>17.920035000000002</v>
      </c>
      <c r="K68" s="485">
        <f t="shared" si="42"/>
        <v>1313070</v>
      </c>
      <c r="L68" s="486">
        <f t="shared" si="43"/>
        <v>170509.13302500002</v>
      </c>
      <c r="M68" s="467">
        <f t="shared" si="34"/>
        <v>1483579.1330250001</v>
      </c>
      <c r="N68" s="485"/>
      <c r="O68" s="504"/>
      <c r="P68"/>
    </row>
    <row r="69" spans="1:16">
      <c r="A69" s="484">
        <f t="shared" si="44"/>
        <v>2029</v>
      </c>
      <c r="B69" s="468">
        <f t="shared" si="35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H102" si="45">H68</f>
        <v>138</v>
      </c>
      <c r="I69" s="485"/>
      <c r="J69" s="469">
        <f t="shared" si="41"/>
        <v>17.920035000000002</v>
      </c>
      <c r="K69" s="485">
        <f t="shared" si="42"/>
        <v>1313070</v>
      </c>
      <c r="L69" s="486">
        <f t="shared" si="43"/>
        <v>170509.13302500002</v>
      </c>
      <c r="M69" s="467">
        <f t="shared" si="34"/>
        <v>1483579.1330250001</v>
      </c>
      <c r="N69" s="485"/>
      <c r="O69" s="504"/>
      <c r="P69"/>
    </row>
    <row r="70" spans="1:16">
      <c r="A70" s="484">
        <f t="shared" si="44"/>
        <v>2029</v>
      </c>
      <c r="B70" s="468">
        <f t="shared" si="35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5"/>
        <v>138</v>
      </c>
      <c r="I70" s="485"/>
      <c r="J70" s="469">
        <f t="shared" si="41"/>
        <v>17.920035000000002</v>
      </c>
      <c r="K70" s="485">
        <f t="shared" si="42"/>
        <v>1313070</v>
      </c>
      <c r="L70" s="486">
        <f t="shared" si="43"/>
        <v>170509.13302500002</v>
      </c>
      <c r="M70" s="467">
        <f t="shared" si="34"/>
        <v>1483579.1330250001</v>
      </c>
      <c r="N70" s="485"/>
      <c r="O70" s="504"/>
      <c r="P70"/>
    </row>
    <row r="71" spans="1:16">
      <c r="A71" s="484">
        <f t="shared" si="44"/>
        <v>2029</v>
      </c>
      <c r="B71" s="468">
        <f t="shared" si="35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5"/>
        <v>138</v>
      </c>
      <c r="I71" s="485"/>
      <c r="J71" s="469">
        <f t="shared" si="41"/>
        <v>17.920035000000002</v>
      </c>
      <c r="K71" s="485">
        <f t="shared" si="42"/>
        <v>1313070</v>
      </c>
      <c r="L71" s="486">
        <f t="shared" si="43"/>
        <v>170509.13302500002</v>
      </c>
      <c r="M71" s="467">
        <f t="shared" si="34"/>
        <v>1483579.1330250001</v>
      </c>
      <c r="N71" s="485"/>
      <c r="O71" s="504"/>
      <c r="P71"/>
    </row>
    <row r="72" spans="1:16">
      <c r="A72" s="484">
        <f t="shared" si="44"/>
        <v>2029</v>
      </c>
      <c r="B72" s="468">
        <f t="shared" si="35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5"/>
        <v>138</v>
      </c>
      <c r="I72" s="485"/>
      <c r="J72" s="469">
        <f t="shared" si="41"/>
        <v>17.920035000000002</v>
      </c>
      <c r="K72" s="485">
        <f t="shared" si="42"/>
        <v>1313070</v>
      </c>
      <c r="L72" s="486">
        <f t="shared" si="43"/>
        <v>170509.13302500002</v>
      </c>
      <c r="M72" s="467">
        <f t="shared" si="34"/>
        <v>1483579.1330250001</v>
      </c>
      <c r="N72" s="485"/>
      <c r="O72" s="504"/>
      <c r="P72"/>
    </row>
    <row r="73" spans="1:16">
      <c r="A73" s="484">
        <f t="shared" si="44"/>
        <v>2029</v>
      </c>
      <c r="B73" s="468">
        <f t="shared" si="35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5"/>
        <v>138</v>
      </c>
      <c r="I73" s="485"/>
      <c r="J73" s="469">
        <f>J72</f>
        <v>17.920035000000002</v>
      </c>
      <c r="K73" s="485">
        <f t="shared" si="42"/>
        <v>1313070</v>
      </c>
      <c r="L73" s="486">
        <f t="shared" si="43"/>
        <v>170509.13302500002</v>
      </c>
      <c r="M73" s="467">
        <f t="shared" si="34"/>
        <v>1483579.1330250001</v>
      </c>
      <c r="N73" s="485"/>
      <c r="O73" s="504"/>
      <c r="P73"/>
    </row>
    <row r="74" spans="1:16" ht="13" thickBot="1">
      <c r="A74" s="487">
        <f t="shared" si="44"/>
        <v>2029</v>
      </c>
      <c r="B74" s="488">
        <f t="shared" si="35"/>
        <v>47331</v>
      </c>
      <c r="C74" s="488">
        <f t="shared" ref="C74" si="46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5"/>
        <v>138</v>
      </c>
      <c r="I74" s="490"/>
      <c r="J74" s="492">
        <f t="shared" si="40"/>
        <v>17.920035000000002</v>
      </c>
      <c r="K74" s="490">
        <f t="shared" si="42"/>
        <v>1313070</v>
      </c>
      <c r="L74" s="491">
        <f t="shared" si="43"/>
        <v>170509.13302500002</v>
      </c>
      <c r="M74" s="493">
        <f t="shared" si="34"/>
        <v>1483579.1330250001</v>
      </c>
      <c r="N74" s="490"/>
      <c r="O74" s="508"/>
      <c r="P74"/>
    </row>
    <row r="75" spans="1:16">
      <c r="A75">
        <f>A74+1</f>
        <v>2030</v>
      </c>
      <c r="B75" s="468">
        <f t="shared" si="35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5"/>
        <v>138</v>
      </c>
      <c r="I75" s="485"/>
      <c r="J75" s="469">
        <f t="shared" si="40"/>
        <v>17.920035000000002</v>
      </c>
      <c r="K75" s="485">
        <f t="shared" si="42"/>
        <v>1313070</v>
      </c>
      <c r="L75" s="486">
        <f t="shared" si="43"/>
        <v>170509.13302500002</v>
      </c>
      <c r="M75" s="467">
        <f t="shared" si="34"/>
        <v>1483579.1330250001</v>
      </c>
      <c r="N75" s="485">
        <f>SUM(K63:K74)</f>
        <v>15071760</v>
      </c>
      <c r="O75" s="504">
        <f>SUM(L63:L74)</f>
        <v>2013631.6662000006</v>
      </c>
      <c r="P75"/>
    </row>
    <row r="76" spans="1:16">
      <c r="A76" s="484">
        <f>A75</f>
        <v>2030</v>
      </c>
      <c r="B76" s="468">
        <f t="shared" si="35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5"/>
        <v>138</v>
      </c>
      <c r="I76" s="485"/>
      <c r="J76" s="469">
        <f t="shared" si="40"/>
        <v>17.920035000000002</v>
      </c>
      <c r="K76" s="485">
        <f t="shared" si="42"/>
        <v>1313070</v>
      </c>
      <c r="L76" s="486">
        <f t="shared" si="43"/>
        <v>170509.13302500002</v>
      </c>
      <c r="M76" s="467">
        <f t="shared" si="34"/>
        <v>1483579.1330250001</v>
      </c>
      <c r="N76" s="485"/>
      <c r="O76" s="504"/>
      <c r="P76"/>
    </row>
    <row r="77" spans="1:16">
      <c r="A77" s="484">
        <f>A76</f>
        <v>2030</v>
      </c>
      <c r="B77" s="468">
        <f t="shared" si="35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5"/>
        <v>138</v>
      </c>
      <c r="I77" s="485"/>
      <c r="J77" s="469">
        <f t="shared" si="40"/>
        <v>17.920035000000002</v>
      </c>
      <c r="K77" s="485">
        <f t="shared" si="42"/>
        <v>1313070</v>
      </c>
      <c r="L77" s="486">
        <f t="shared" si="43"/>
        <v>170509.13302500002</v>
      </c>
      <c r="M77" s="467">
        <f t="shared" si="34"/>
        <v>1483579.1330250001</v>
      </c>
      <c r="N77" s="485"/>
      <c r="O77" s="504"/>
      <c r="P77"/>
    </row>
    <row r="78" spans="1:16">
      <c r="A78" s="484">
        <f t="shared" ref="A78:A86" si="47">A77</f>
        <v>2030</v>
      </c>
      <c r="B78" s="468">
        <f t="shared" si="35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5"/>
        <v>138</v>
      </c>
      <c r="I78" s="485"/>
      <c r="J78" s="469">
        <f t="shared" si="40"/>
        <v>17.920035000000002</v>
      </c>
      <c r="K78" s="485">
        <f t="shared" si="42"/>
        <v>1313070</v>
      </c>
      <c r="L78" s="486">
        <f t="shared" si="43"/>
        <v>170509.13302500002</v>
      </c>
      <c r="M78" s="467">
        <f t="shared" si="34"/>
        <v>1483579.1330250001</v>
      </c>
      <c r="N78" s="485"/>
      <c r="O78" s="504"/>
      <c r="P78"/>
    </row>
    <row r="79" spans="1:16">
      <c r="A79" s="484">
        <f t="shared" si="47"/>
        <v>2030</v>
      </c>
      <c r="B79" s="468">
        <f t="shared" si="35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5"/>
        <v>138</v>
      </c>
      <c r="I79" s="485"/>
      <c r="J79" s="469">
        <f>J78*1.05</f>
        <v>18.816036750000002</v>
      </c>
      <c r="K79" s="485">
        <f t="shared" si="42"/>
        <v>1313070</v>
      </c>
      <c r="L79" s="486">
        <f t="shared" si="43"/>
        <v>179034.58967625003</v>
      </c>
      <c r="M79" s="467">
        <f t="shared" si="34"/>
        <v>1492104.58967625</v>
      </c>
      <c r="N79" s="485"/>
      <c r="O79" s="504"/>
      <c r="P79"/>
    </row>
    <row r="80" spans="1:16">
      <c r="A80" s="484">
        <f t="shared" si="47"/>
        <v>2030</v>
      </c>
      <c r="B80" s="468">
        <f t="shared" si="35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5"/>
        <v>138</v>
      </c>
      <c r="I80" s="485"/>
      <c r="J80" s="469">
        <f>J79</f>
        <v>18.816036750000002</v>
      </c>
      <c r="K80" s="485">
        <f t="shared" si="42"/>
        <v>1313070</v>
      </c>
      <c r="L80" s="486">
        <f t="shared" si="43"/>
        <v>179034.58967625003</v>
      </c>
      <c r="M80" s="467">
        <f t="shared" si="34"/>
        <v>1492104.58967625</v>
      </c>
      <c r="N80" s="485"/>
      <c r="O80" s="504"/>
      <c r="P80"/>
    </row>
    <row r="81" spans="1:16">
      <c r="A81" s="484">
        <f t="shared" si="47"/>
        <v>2030</v>
      </c>
      <c r="B81" s="468">
        <f t="shared" si="35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5"/>
        <v>138</v>
      </c>
      <c r="I81" s="485"/>
      <c r="J81" s="469">
        <f t="shared" si="40"/>
        <v>18.816036750000002</v>
      </c>
      <c r="K81" s="485">
        <f t="shared" si="42"/>
        <v>1313070</v>
      </c>
      <c r="L81" s="486">
        <f t="shared" si="43"/>
        <v>179034.58967625003</v>
      </c>
      <c r="M81" s="467">
        <f t="shared" si="34"/>
        <v>1492104.58967625</v>
      </c>
      <c r="N81" s="485"/>
      <c r="O81" s="504"/>
      <c r="P81"/>
    </row>
    <row r="82" spans="1:16">
      <c r="A82" s="484">
        <f t="shared" si="47"/>
        <v>2030</v>
      </c>
      <c r="B82" s="468">
        <f t="shared" si="35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5"/>
        <v>138</v>
      </c>
      <c r="I82" s="485"/>
      <c r="J82" s="469">
        <f t="shared" si="40"/>
        <v>18.816036750000002</v>
      </c>
      <c r="K82" s="485">
        <f t="shared" si="42"/>
        <v>1313070</v>
      </c>
      <c r="L82" s="486">
        <f t="shared" si="43"/>
        <v>179034.58967625003</v>
      </c>
      <c r="M82" s="467">
        <f t="shared" si="34"/>
        <v>1492104.58967625</v>
      </c>
      <c r="N82" s="485"/>
      <c r="O82" s="504"/>
      <c r="P82"/>
    </row>
    <row r="83" spans="1:16">
      <c r="A83" s="484">
        <f t="shared" si="47"/>
        <v>2030</v>
      </c>
      <c r="B83" s="468">
        <f t="shared" si="35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5"/>
        <v>138</v>
      </c>
      <c r="I83" s="485"/>
      <c r="J83" s="469">
        <f t="shared" si="40"/>
        <v>18.816036750000002</v>
      </c>
      <c r="K83" s="485">
        <f t="shared" si="42"/>
        <v>1313070</v>
      </c>
      <c r="L83" s="486">
        <f t="shared" si="43"/>
        <v>179034.58967625003</v>
      </c>
      <c r="M83" s="467">
        <f t="shared" si="34"/>
        <v>1492104.58967625</v>
      </c>
      <c r="N83" s="485"/>
      <c r="O83" s="504"/>
      <c r="P83"/>
    </row>
    <row r="84" spans="1:16">
      <c r="A84" s="484">
        <f t="shared" si="47"/>
        <v>2030</v>
      </c>
      <c r="B84" s="468">
        <f t="shared" si="35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5"/>
        <v>138</v>
      </c>
      <c r="I84" s="485"/>
      <c r="J84" s="469">
        <f t="shared" si="40"/>
        <v>18.816036750000002</v>
      </c>
      <c r="K84" s="485">
        <f t="shared" si="42"/>
        <v>1313070</v>
      </c>
      <c r="L84" s="486">
        <f t="shared" si="43"/>
        <v>179034.58967625003</v>
      </c>
      <c r="M84" s="467">
        <f t="shared" si="34"/>
        <v>1492104.58967625</v>
      </c>
      <c r="N84" s="485"/>
      <c r="O84" s="504"/>
      <c r="P84"/>
    </row>
    <row r="85" spans="1:16">
      <c r="A85" s="484">
        <f t="shared" si="47"/>
        <v>2030</v>
      </c>
      <c r="B85" s="468">
        <f t="shared" ref="B85:B96" si="48">C84+1</f>
        <v>47665</v>
      </c>
      <c r="C85" s="468">
        <f t="shared" ref="C85:C90" si="49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5"/>
        <v>138</v>
      </c>
      <c r="I85" s="485"/>
      <c r="J85" s="469">
        <f t="shared" ref="J85" si="50">J84</f>
        <v>18.816036750000002</v>
      </c>
      <c r="K85" s="485">
        <f t="shared" si="42"/>
        <v>1313070</v>
      </c>
      <c r="L85" s="486">
        <f t="shared" si="43"/>
        <v>179034.58967625003</v>
      </c>
      <c r="M85" s="467">
        <f t="shared" ref="M85:M96" si="51">I85+K85+L85</f>
        <v>1492104.58967625</v>
      </c>
      <c r="N85" s="485"/>
      <c r="O85" s="504"/>
      <c r="P85"/>
    </row>
    <row r="86" spans="1:16" ht="13" thickBot="1">
      <c r="A86" s="487">
        <f t="shared" si="47"/>
        <v>2030</v>
      </c>
      <c r="B86" s="488">
        <f t="shared" si="48"/>
        <v>47696</v>
      </c>
      <c r="C86" s="488">
        <f t="shared" si="49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5"/>
        <v>138</v>
      </c>
      <c r="I86" s="490"/>
      <c r="J86" s="492">
        <f t="shared" ref="J86" si="52">J85</f>
        <v>18.816036750000002</v>
      </c>
      <c r="K86" s="490">
        <f t="shared" si="42"/>
        <v>1313070</v>
      </c>
      <c r="L86" s="491">
        <f t="shared" si="43"/>
        <v>179034.58967625003</v>
      </c>
      <c r="M86" s="493">
        <f t="shared" si="51"/>
        <v>1492104.58967625</v>
      </c>
      <c r="N86" s="490"/>
      <c r="O86" s="508"/>
      <c r="P86"/>
    </row>
    <row r="87" spans="1:16">
      <c r="A87" s="476">
        <f>A86+1</f>
        <v>2031</v>
      </c>
      <c r="B87" s="477">
        <f t="shared" si="48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5"/>
        <v>138</v>
      </c>
      <c r="I87" s="485"/>
      <c r="J87" s="469">
        <f t="shared" ref="J87" si="53">J86</f>
        <v>18.816036750000002</v>
      </c>
      <c r="K87" s="485">
        <f t="shared" si="42"/>
        <v>1313070</v>
      </c>
      <c r="L87" s="486">
        <f t="shared" si="43"/>
        <v>179034.58967625003</v>
      </c>
      <c r="M87" s="467">
        <f t="shared" si="51"/>
        <v>1492104.58967625</v>
      </c>
      <c r="N87" s="485">
        <f>SUM(K75:K86)</f>
        <v>15756840</v>
      </c>
      <c r="O87" s="504">
        <f>SUM(L75:L86)</f>
        <v>2114313.2495100005</v>
      </c>
      <c r="P87"/>
    </row>
    <row r="88" spans="1:16">
      <c r="A88" s="484">
        <f>A87</f>
        <v>2031</v>
      </c>
      <c r="B88" s="468">
        <f t="shared" si="48"/>
        <v>47757</v>
      </c>
      <c r="C88" s="468">
        <f t="shared" si="49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5"/>
        <v>138</v>
      </c>
      <c r="I88" s="485"/>
      <c r="J88" s="469">
        <f t="shared" ref="J88" si="54">J87</f>
        <v>18.816036750000002</v>
      </c>
      <c r="K88" s="485">
        <f t="shared" si="42"/>
        <v>1313070</v>
      </c>
      <c r="L88" s="486">
        <f t="shared" si="43"/>
        <v>179034.58967625003</v>
      </c>
      <c r="M88" s="467">
        <f t="shared" si="51"/>
        <v>1492104.58967625</v>
      </c>
      <c r="N88" s="485"/>
      <c r="O88" s="504"/>
      <c r="P88"/>
    </row>
    <row r="89" spans="1:16">
      <c r="A89" s="484">
        <f>A88</f>
        <v>2031</v>
      </c>
      <c r="B89" s="468">
        <f t="shared" si="48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5"/>
        <v>138</v>
      </c>
      <c r="I89" s="485"/>
      <c r="J89" s="469">
        <f t="shared" ref="J89" si="55">J88</f>
        <v>18.816036750000002</v>
      </c>
      <c r="K89" s="485">
        <f t="shared" si="42"/>
        <v>1313070</v>
      </c>
      <c r="L89" s="486">
        <f t="shared" si="43"/>
        <v>179034.58967625003</v>
      </c>
      <c r="M89" s="467">
        <f t="shared" si="51"/>
        <v>1492104.58967625</v>
      </c>
      <c r="N89" s="485"/>
      <c r="O89" s="504"/>
      <c r="P89"/>
    </row>
    <row r="90" spans="1:16">
      <c r="A90" s="484">
        <f t="shared" ref="A90:A98" si="56">A89</f>
        <v>2031</v>
      </c>
      <c r="B90" s="468">
        <f t="shared" si="48"/>
        <v>47818</v>
      </c>
      <c r="C90" s="468">
        <f t="shared" si="49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5"/>
        <v>138</v>
      </c>
      <c r="I90" s="485"/>
      <c r="J90" s="469">
        <f t="shared" ref="J90" si="57">J89</f>
        <v>18.816036750000002</v>
      </c>
      <c r="K90" s="485">
        <f t="shared" si="42"/>
        <v>1313070</v>
      </c>
      <c r="L90" s="486">
        <f t="shared" si="43"/>
        <v>179034.58967625003</v>
      </c>
      <c r="M90" s="467">
        <f t="shared" si="51"/>
        <v>1492104.58967625</v>
      </c>
      <c r="N90" s="485"/>
      <c r="O90" s="504"/>
      <c r="P90"/>
    </row>
    <row r="91" spans="1:16">
      <c r="A91" s="484">
        <f t="shared" si="56"/>
        <v>2031</v>
      </c>
      <c r="B91" s="468">
        <f t="shared" si="48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5"/>
        <v>138</v>
      </c>
      <c r="I91" s="485"/>
      <c r="J91" s="469">
        <f>J90*1.05</f>
        <v>19.756838587500003</v>
      </c>
      <c r="K91" s="485">
        <f t="shared" si="42"/>
        <v>1313070</v>
      </c>
      <c r="L91" s="486">
        <f t="shared" si="43"/>
        <v>187986.31916006253</v>
      </c>
      <c r="M91" s="467">
        <f t="shared" si="51"/>
        <v>1501056.3191600626</v>
      </c>
      <c r="N91" s="485"/>
      <c r="O91" s="504"/>
      <c r="P91"/>
    </row>
    <row r="92" spans="1:16">
      <c r="A92" s="484">
        <f t="shared" si="56"/>
        <v>2031</v>
      </c>
      <c r="B92" s="468">
        <f t="shared" si="48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5"/>
        <v>138</v>
      </c>
      <c r="I92" s="485"/>
      <c r="J92" s="469">
        <f>J91</f>
        <v>19.756838587500003</v>
      </c>
      <c r="K92" s="485">
        <f t="shared" si="42"/>
        <v>1313070</v>
      </c>
      <c r="L92" s="486">
        <f t="shared" si="43"/>
        <v>187986.31916006253</v>
      </c>
      <c r="M92" s="467">
        <f t="shared" si="51"/>
        <v>1501056.3191600626</v>
      </c>
      <c r="N92" s="485"/>
      <c r="O92" s="504"/>
      <c r="P92"/>
    </row>
    <row r="93" spans="1:16">
      <c r="A93" s="484">
        <f t="shared" si="56"/>
        <v>2031</v>
      </c>
      <c r="B93" s="468">
        <f t="shared" si="48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5"/>
        <v>138</v>
      </c>
      <c r="I93" s="485"/>
      <c r="J93" s="469">
        <f t="shared" ref="J93" si="58">J92</f>
        <v>19.756838587500003</v>
      </c>
      <c r="K93" s="485">
        <f t="shared" si="42"/>
        <v>1313070</v>
      </c>
      <c r="L93" s="486">
        <f t="shared" si="43"/>
        <v>187986.31916006253</v>
      </c>
      <c r="M93" s="467">
        <f t="shared" si="51"/>
        <v>1501056.3191600626</v>
      </c>
      <c r="N93" s="485"/>
      <c r="O93" s="504"/>
      <c r="P93"/>
    </row>
    <row r="94" spans="1:16">
      <c r="A94" s="484">
        <f t="shared" si="56"/>
        <v>2031</v>
      </c>
      <c r="B94" s="468">
        <f t="shared" si="48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5"/>
        <v>138</v>
      </c>
      <c r="I94" s="485"/>
      <c r="J94" s="469">
        <f t="shared" ref="J94" si="59">J93</f>
        <v>19.756838587500003</v>
      </c>
      <c r="K94" s="485">
        <f t="shared" si="42"/>
        <v>1313070</v>
      </c>
      <c r="L94" s="486">
        <f t="shared" si="43"/>
        <v>187986.31916006253</v>
      </c>
      <c r="M94" s="467">
        <f t="shared" si="51"/>
        <v>1501056.3191600626</v>
      </c>
      <c r="N94" s="485"/>
      <c r="O94" s="504"/>
      <c r="P94"/>
    </row>
    <row r="95" spans="1:16">
      <c r="A95" s="484">
        <f t="shared" si="56"/>
        <v>2031</v>
      </c>
      <c r="B95" s="468">
        <f t="shared" si="48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5"/>
        <v>138</v>
      </c>
      <c r="I95" s="485"/>
      <c r="J95" s="469">
        <f t="shared" ref="J95" si="60">J94</f>
        <v>19.756838587500003</v>
      </c>
      <c r="K95" s="485">
        <f t="shared" ref="K95:K102" si="61">H95*E95</f>
        <v>1313070</v>
      </c>
      <c r="L95" s="486">
        <f t="shared" ref="L95:L102" si="62">J95*E95</f>
        <v>187986.31916006253</v>
      </c>
      <c r="M95" s="467">
        <f t="shared" si="51"/>
        <v>1501056.3191600626</v>
      </c>
      <c r="N95" s="485"/>
      <c r="O95" s="504"/>
      <c r="P95"/>
    </row>
    <row r="96" spans="1:16">
      <c r="A96" s="484">
        <f t="shared" si="56"/>
        <v>2031</v>
      </c>
      <c r="B96" s="468">
        <f t="shared" si="48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5"/>
        <v>138</v>
      </c>
      <c r="I96" s="485"/>
      <c r="J96" s="469">
        <f t="shared" ref="J96" si="63">J95</f>
        <v>19.756838587500003</v>
      </c>
      <c r="K96" s="485">
        <f t="shared" si="61"/>
        <v>1313070</v>
      </c>
      <c r="L96" s="486">
        <f t="shared" si="62"/>
        <v>187986.31916006253</v>
      </c>
      <c r="M96" s="467">
        <f t="shared" si="51"/>
        <v>1501056.3191600626</v>
      </c>
      <c r="N96" s="485"/>
      <c r="O96" s="504"/>
      <c r="P96"/>
    </row>
    <row r="97" spans="1:18">
      <c r="A97" s="484">
        <f t="shared" si="56"/>
        <v>2031</v>
      </c>
      <c r="B97" s="468">
        <f t="shared" ref="B97:B102" si="64">C96+1</f>
        <v>48030</v>
      </c>
      <c r="C97" s="468">
        <f t="shared" ref="C97:C102" si="65">B97+30</f>
        <v>48060</v>
      </c>
      <c r="D97">
        <v>1</v>
      </c>
      <c r="E97" s="485">
        <f t="shared" ref="E97:F102" si="66">E96</f>
        <v>9515</v>
      </c>
      <c r="F97" s="485">
        <f t="shared" si="66"/>
        <v>883.96506874767749</v>
      </c>
      <c r="H97" s="486">
        <f t="shared" si="45"/>
        <v>138</v>
      </c>
      <c r="I97" s="485"/>
      <c r="J97" s="469">
        <f t="shared" ref="J97" si="67">J96</f>
        <v>19.756838587500003</v>
      </c>
      <c r="K97" s="485">
        <f t="shared" si="61"/>
        <v>1313070</v>
      </c>
      <c r="L97" s="486">
        <f t="shared" si="62"/>
        <v>187986.31916006253</v>
      </c>
      <c r="M97" s="467">
        <f t="shared" ref="M97:M102" si="68">I97+K97+L97</f>
        <v>1501056.3191600626</v>
      </c>
      <c r="N97" s="485"/>
      <c r="O97" s="504"/>
      <c r="P97"/>
    </row>
    <row r="98" spans="1:18" ht="13" thickBot="1">
      <c r="A98" s="487">
        <f t="shared" si="56"/>
        <v>2031</v>
      </c>
      <c r="B98" s="488">
        <f t="shared" si="64"/>
        <v>48061</v>
      </c>
      <c r="C98" s="488">
        <f t="shared" si="65"/>
        <v>48091</v>
      </c>
      <c r="D98" s="489">
        <v>1</v>
      </c>
      <c r="E98" s="490">
        <f t="shared" si="66"/>
        <v>9515</v>
      </c>
      <c r="F98" s="490">
        <f t="shared" si="66"/>
        <v>883.96506874767749</v>
      </c>
      <c r="G98" s="489"/>
      <c r="H98" s="491">
        <f t="shared" si="45"/>
        <v>138</v>
      </c>
      <c r="I98" s="490"/>
      <c r="J98" s="492">
        <f t="shared" ref="J98" si="69">J97</f>
        <v>19.756838587500003</v>
      </c>
      <c r="K98" s="490">
        <f t="shared" si="61"/>
        <v>1313070</v>
      </c>
      <c r="L98" s="491">
        <f t="shared" si="62"/>
        <v>187986.31916006253</v>
      </c>
      <c r="M98" s="493">
        <f t="shared" si="68"/>
        <v>1501056.3191600626</v>
      </c>
      <c r="N98" s="490"/>
      <c r="O98" s="508"/>
      <c r="P98"/>
    </row>
    <row r="99" spans="1:18">
      <c r="A99" s="484">
        <f>A98+1</f>
        <v>2032</v>
      </c>
      <c r="B99" s="468">
        <f t="shared" si="64"/>
        <v>48092</v>
      </c>
      <c r="C99" s="468">
        <f>B99+30-1</f>
        <v>48121</v>
      </c>
      <c r="D99">
        <v>1</v>
      </c>
      <c r="E99" s="485">
        <f t="shared" si="66"/>
        <v>9515</v>
      </c>
      <c r="F99" s="485">
        <f t="shared" si="66"/>
        <v>883.96506874767749</v>
      </c>
      <c r="H99" s="486">
        <f t="shared" si="45"/>
        <v>138</v>
      </c>
      <c r="I99" s="485"/>
      <c r="J99" s="469">
        <f t="shared" ref="J99" si="70">J98</f>
        <v>19.756838587500003</v>
      </c>
      <c r="K99" s="485">
        <f t="shared" si="61"/>
        <v>1313070</v>
      </c>
      <c r="L99" s="486">
        <f t="shared" si="62"/>
        <v>187986.31916006253</v>
      </c>
      <c r="M99" s="467">
        <f t="shared" si="68"/>
        <v>1501056.3191600626</v>
      </c>
      <c r="N99" s="485">
        <f>SUM(K87:K98)</f>
        <v>15756840</v>
      </c>
      <c r="O99" s="504">
        <f>SUM(L87:L98)</f>
        <v>2220028.9119855007</v>
      </c>
      <c r="P99"/>
    </row>
    <row r="100" spans="1:18">
      <c r="A100" s="484">
        <f>A99</f>
        <v>2032</v>
      </c>
      <c r="B100" s="468">
        <f t="shared" si="64"/>
        <v>48122</v>
      </c>
      <c r="C100" s="468">
        <f t="shared" si="65"/>
        <v>48152</v>
      </c>
      <c r="D100">
        <v>1</v>
      </c>
      <c r="E100" s="485">
        <f t="shared" si="66"/>
        <v>9515</v>
      </c>
      <c r="F100" s="485">
        <f t="shared" si="66"/>
        <v>883.96506874767749</v>
      </c>
      <c r="H100" s="486">
        <f t="shared" si="45"/>
        <v>138</v>
      </c>
      <c r="I100" s="485"/>
      <c r="J100" s="469">
        <f t="shared" ref="J100" si="71">J99</f>
        <v>19.756838587500003</v>
      </c>
      <c r="K100" s="485">
        <f t="shared" si="61"/>
        <v>1313070</v>
      </c>
      <c r="L100" s="486">
        <f t="shared" si="62"/>
        <v>187986.31916006253</v>
      </c>
      <c r="M100" s="467">
        <f t="shared" si="68"/>
        <v>1501056.3191600626</v>
      </c>
      <c r="N100" s="485"/>
      <c r="O100" s="504"/>
      <c r="P100"/>
    </row>
    <row r="101" spans="1:18">
      <c r="A101" s="484">
        <f t="shared" ref="A101:A102" si="72">A100</f>
        <v>2032</v>
      </c>
      <c r="B101" s="468">
        <f t="shared" si="64"/>
        <v>48153</v>
      </c>
      <c r="C101" s="468">
        <f>B101+30-1</f>
        <v>48182</v>
      </c>
      <c r="D101">
        <v>1</v>
      </c>
      <c r="E101" s="485">
        <f t="shared" si="66"/>
        <v>9515</v>
      </c>
      <c r="F101" s="485">
        <f t="shared" si="66"/>
        <v>883.96506874767749</v>
      </c>
      <c r="H101" s="486">
        <f t="shared" si="45"/>
        <v>138</v>
      </c>
      <c r="I101" s="485"/>
      <c r="J101" s="469">
        <f t="shared" ref="J101" si="73">J100</f>
        <v>19.756838587500003</v>
      </c>
      <c r="K101" s="485">
        <f t="shared" si="61"/>
        <v>1313070</v>
      </c>
      <c r="L101" s="486">
        <f t="shared" si="62"/>
        <v>187986.31916006253</v>
      </c>
      <c r="M101" s="467">
        <f t="shared" si="68"/>
        <v>1501056.3191600626</v>
      </c>
      <c r="N101" s="485"/>
      <c r="O101" s="504"/>
      <c r="P101"/>
    </row>
    <row r="102" spans="1:18" ht="13" thickBot="1">
      <c r="A102" s="487">
        <f t="shared" si="72"/>
        <v>2032</v>
      </c>
      <c r="B102" s="488">
        <f t="shared" si="64"/>
        <v>48183</v>
      </c>
      <c r="C102" s="488">
        <f t="shared" si="65"/>
        <v>48213</v>
      </c>
      <c r="D102" s="489">
        <v>1</v>
      </c>
      <c r="E102" s="490">
        <f t="shared" si="66"/>
        <v>9515</v>
      </c>
      <c r="F102" s="490">
        <f t="shared" si="66"/>
        <v>883.96506874767749</v>
      </c>
      <c r="G102" s="489"/>
      <c r="H102" s="491">
        <f t="shared" si="45"/>
        <v>138</v>
      </c>
      <c r="I102" s="490"/>
      <c r="J102" s="492">
        <f t="shared" ref="J102" si="74">J101</f>
        <v>19.756838587500003</v>
      </c>
      <c r="K102" s="490">
        <f t="shared" si="61"/>
        <v>1313070</v>
      </c>
      <c r="L102" s="491">
        <f t="shared" si="62"/>
        <v>187986.31916006253</v>
      </c>
      <c r="M102" s="493">
        <f t="shared" si="68"/>
        <v>1501056.3191600626</v>
      </c>
      <c r="N102" s="490"/>
      <c r="O102" s="508"/>
      <c r="P102"/>
    </row>
    <row r="103" spans="1:18">
      <c r="N103" s="485">
        <f>SUM(K99:K102)</f>
        <v>5252280</v>
      </c>
      <c r="O103" s="504">
        <f>SUM(L99:L102)</f>
        <v>751945.27664025011</v>
      </c>
      <c r="P103" s="471"/>
      <c r="Q103" s="471"/>
      <c r="R103" s="471"/>
    </row>
    <row r="104" spans="1:18">
      <c r="K104" s="471">
        <f>SUM(K31:K102)</f>
        <v>88375320</v>
      </c>
      <c r="L104" s="471">
        <f>SUM(L31:L102)</f>
        <v>12022424.428335754</v>
      </c>
      <c r="M104" s="471">
        <f>SUM(M31:M102)</f>
        <v>100397744.42833562</v>
      </c>
      <c r="N104" s="471">
        <f>SUM(N31:N103)</f>
        <v>88375320</v>
      </c>
      <c r="O104" s="575">
        <f>SUM(O31:O103)</f>
        <v>12022424.428335754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68" t="s">
        <v>29</v>
      </c>
      <c r="C11" s="768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256</v>
      </c>
      <c r="C13" s="344" t="s">
        <v>257</v>
      </c>
      <c r="D13" s="344" t="s">
        <v>258</v>
      </c>
      <c r="E13" s="344" t="s">
        <v>259</v>
      </c>
      <c r="F13" s="339"/>
      <c r="G13" s="468" t="s">
        <v>383</v>
      </c>
      <c r="J13" s="473" t="s">
        <v>402</v>
      </c>
      <c r="K13" s="473" t="s">
        <v>403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260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384</v>
      </c>
      <c r="H14" s="468" t="s">
        <v>385</v>
      </c>
      <c r="J14" s="518">
        <v>4500</v>
      </c>
      <c r="K14" s="518">
        <v>2000</v>
      </c>
      <c r="L14" s="472" t="s">
        <v>400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261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386</v>
      </c>
      <c r="H15" s="468" t="s">
        <v>387</v>
      </c>
      <c r="J15" s="518">
        <v>4500</v>
      </c>
      <c r="K15" s="518">
        <v>2000</v>
      </c>
      <c r="L15" s="472" t="s">
        <v>401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388</v>
      </c>
      <c r="H16" s="468" t="s">
        <v>389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390</v>
      </c>
      <c r="H17" s="468" t="s">
        <v>391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392</v>
      </c>
      <c r="H18" s="468" t="s">
        <v>393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394</v>
      </c>
      <c r="H19" s="468" t="s">
        <v>395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396</v>
      </c>
      <c r="H20" s="468" t="s">
        <v>397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398</v>
      </c>
      <c r="H21" s="468" t="s">
        <v>399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405</v>
      </c>
      <c r="H22" s="468" t="s">
        <v>406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404</v>
      </c>
      <c r="H23" s="468" t="s">
        <v>406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230</v>
      </c>
      <c r="B29" s="474" t="s">
        <v>244</v>
      </c>
      <c r="C29" s="474" t="s">
        <v>245</v>
      </c>
      <c r="D29" s="474" t="s">
        <v>246</v>
      </c>
      <c r="E29" s="474" t="s">
        <v>248</v>
      </c>
      <c r="F29" s="474" t="s">
        <v>247</v>
      </c>
      <c r="G29" s="474" t="s">
        <v>249</v>
      </c>
      <c r="H29" s="474" t="s">
        <v>250</v>
      </c>
      <c r="I29" s="475" t="s">
        <v>251</v>
      </c>
      <c r="J29" s="474" t="s">
        <v>66</v>
      </c>
      <c r="K29" s="475" t="s">
        <v>252</v>
      </c>
      <c r="L29" s="475" t="s">
        <v>254</v>
      </c>
      <c r="M29" s="470" t="s">
        <v>29</v>
      </c>
      <c r="N29" s="499" t="s">
        <v>294</v>
      </c>
      <c r="O29" s="500" t="s">
        <v>407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28" sqref="B28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69" t="s">
        <v>262</v>
      </c>
      <c r="B1" s="770"/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1"/>
    </row>
    <row r="2" spans="1:15">
      <c r="A2" s="178" t="s">
        <v>263</v>
      </c>
      <c r="B2" s="255" t="s">
        <v>264</v>
      </c>
      <c r="C2" s="263"/>
      <c r="D2" s="262" t="s">
        <v>237</v>
      </c>
      <c r="E2" s="179"/>
      <c r="F2" s="180" t="s">
        <v>494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265</v>
      </c>
      <c r="B3" s="256">
        <f>B6+B12+B18</f>
        <v>34000000</v>
      </c>
      <c r="C3" s="264"/>
      <c r="D3" s="169" t="s">
        <v>266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70">
        <v>0</v>
      </c>
      <c r="N3" s="571">
        <v>0</v>
      </c>
    </row>
    <row r="4" spans="1:15">
      <c r="A4" s="170" t="s">
        <v>267</v>
      </c>
      <c r="B4" s="265">
        <f>+'Rent Calculation'!F30</f>
        <v>7.1099999999999997E-2</v>
      </c>
      <c r="C4" s="264"/>
      <c r="D4" s="169" t="s">
        <v>268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265</v>
      </c>
      <c r="B6" s="361">
        <v>14000000</v>
      </c>
      <c r="C6" s="264"/>
      <c r="D6" s="169" t="s">
        <v>269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270</v>
      </c>
      <c r="B7" s="299">
        <f>E3/12</f>
        <v>6</v>
      </c>
      <c r="C7" s="264"/>
      <c r="D7" s="169" t="s">
        <v>271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266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70">
        <v>0</v>
      </c>
      <c r="N9" s="571">
        <v>0</v>
      </c>
      <c r="O9" s="121">
        <v>12</v>
      </c>
    </row>
    <row r="10" spans="1:15">
      <c r="A10" s="170"/>
      <c r="B10" s="127"/>
      <c r="C10" s="264"/>
      <c r="D10" s="169" t="s">
        <v>268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265</v>
      </c>
      <c r="B12" s="258">
        <v>5000000</v>
      </c>
      <c r="C12" s="264"/>
      <c r="D12" s="169" t="s">
        <v>269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270</v>
      </c>
      <c r="B13" s="299">
        <f>E9/12</f>
        <v>2.5</v>
      </c>
      <c r="C13" s="264"/>
      <c r="D13" s="169" t="s">
        <v>271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266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268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265</v>
      </c>
      <c r="B18" s="258">
        <v>15000000</v>
      </c>
      <c r="C18" s="264"/>
      <c r="D18" s="169" t="s">
        <v>269</v>
      </c>
      <c r="E18" s="297"/>
      <c r="F18" s="155">
        <f>IF(F15&lt;&gt;0,$B$18/$B$19,0)</f>
        <v>3750000</v>
      </c>
      <c r="G18" s="595">
        <f t="shared" ref="G18:N18" si="5">IF(G15&lt;&gt;0,$B$18/$B$19,0)</f>
        <v>3750000</v>
      </c>
      <c r="H18" s="595">
        <f t="shared" si="5"/>
        <v>3750000</v>
      </c>
      <c r="I18" s="595">
        <f t="shared" si="5"/>
        <v>3750000</v>
      </c>
      <c r="J18" s="595">
        <f t="shared" si="5"/>
        <v>3750000</v>
      </c>
      <c r="K18" s="595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270</v>
      </c>
      <c r="B19" s="304">
        <f>E15/12</f>
        <v>4</v>
      </c>
      <c r="C19" s="264"/>
      <c r="D19" s="169" t="s">
        <v>271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272</v>
      </c>
      <c r="B21" s="596">
        <f>+'Rent Calculation'!F21</f>
        <v>9515</v>
      </c>
      <c r="C21" s="597"/>
      <c r="D21" s="598" t="s">
        <v>273</v>
      </c>
      <c r="E21" s="599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274</v>
      </c>
      <c r="B22" s="259">
        <f>+B21/10.764</f>
        <v>883.96506874767749</v>
      </c>
      <c r="C22" s="264"/>
      <c r="D22" s="169" t="s">
        <v>275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276</v>
      </c>
      <c r="B23" s="446" t="str">
        <f>F2</f>
        <v>2026</v>
      </c>
      <c r="C23" s="264"/>
      <c r="D23" s="169" t="s">
        <v>277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278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279</v>
      </c>
      <c r="B27" s="260">
        <f>E30*E9</f>
        <v>16508961.805555558</v>
      </c>
      <c r="C27" s="264"/>
      <c r="D27" s="169" t="s">
        <v>499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281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8" customFormat="1" ht="13" thickBot="1">
      <c r="A30" s="600" t="s">
        <v>282</v>
      </c>
      <c r="B30" s="601">
        <f>+E30/B22</f>
        <v>622.53447144859001</v>
      </c>
      <c r="C30" s="602"/>
      <c r="D30" s="603" t="s">
        <v>283</v>
      </c>
      <c r="E30" s="604">
        <f>IFERROR(SUM(F26:N27)/E3,0)</f>
        <v>550298.72685185191</v>
      </c>
      <c r="F30" s="605"/>
      <c r="G30" s="605"/>
      <c r="H30" s="605"/>
      <c r="I30" s="605"/>
      <c r="J30" s="605"/>
      <c r="K30" s="606"/>
      <c r="L30" s="606"/>
      <c r="M30" s="606"/>
      <c r="N30" s="607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69"/>
      <c r="B35" s="770"/>
      <c r="C35" s="770"/>
      <c r="D35" s="770"/>
      <c r="E35" s="770"/>
      <c r="F35" s="770"/>
      <c r="G35" s="770"/>
      <c r="H35" s="770"/>
      <c r="I35" s="770"/>
      <c r="J35" s="770"/>
      <c r="K35" s="770"/>
      <c r="L35" s="770"/>
      <c r="M35" s="770"/>
      <c r="N35" s="770"/>
      <c r="O35" s="771"/>
    </row>
    <row r="36" spans="1:15" outlineLevel="1">
      <c r="A36" s="306" t="s">
        <v>263</v>
      </c>
      <c r="B36" s="307" t="s">
        <v>40</v>
      </c>
      <c r="C36" s="263"/>
      <c r="D36" s="308" t="s">
        <v>237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265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267</v>
      </c>
      <c r="B38" s="317">
        <f>B4</f>
        <v>7.1099999999999997E-2</v>
      </c>
      <c r="C38" s="264"/>
      <c r="D38" s="318" t="s">
        <v>284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265</v>
      </c>
      <c r="B40" s="320">
        <f>+F38</f>
        <v>14000000</v>
      </c>
      <c r="C40" s="264"/>
      <c r="D40" s="314" t="s">
        <v>266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270</v>
      </c>
      <c r="B41" s="336">
        <f>E40/12</f>
        <v>6</v>
      </c>
      <c r="C41" s="264"/>
      <c r="D41" s="314" t="s">
        <v>268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269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271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265</v>
      </c>
      <c r="B45" s="320">
        <f>+G38</f>
        <v>12000000</v>
      </c>
      <c r="C45" s="264"/>
      <c r="D45" s="314" t="s">
        <v>266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270</v>
      </c>
      <c r="B46" s="336">
        <f>E45/12</f>
        <v>5</v>
      </c>
      <c r="C46" s="264"/>
      <c r="D46" s="314" t="s">
        <v>268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269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271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265</v>
      </c>
      <c r="B50" s="320">
        <f>+H38</f>
        <v>5000000</v>
      </c>
      <c r="C50" s="264"/>
      <c r="D50" s="314" t="s">
        <v>266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270</v>
      </c>
      <c r="B51" s="447">
        <f>E50/12</f>
        <v>4</v>
      </c>
      <c r="C51" s="264"/>
      <c r="D51" s="314" t="s">
        <v>268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269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271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265</v>
      </c>
      <c r="B55" s="320">
        <f>+I38</f>
        <v>6000000</v>
      </c>
      <c r="C55" s="313"/>
      <c r="D55" s="314" t="s">
        <v>266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270</v>
      </c>
      <c r="B56" s="530">
        <f>E55/12</f>
        <v>3</v>
      </c>
      <c r="C56" s="313"/>
      <c r="D56" s="314" t="s">
        <v>268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269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271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265</v>
      </c>
      <c r="B60" s="320">
        <f>J38</f>
        <v>6000000</v>
      </c>
      <c r="C60" s="313"/>
      <c r="D60" s="314" t="s">
        <v>266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270</v>
      </c>
      <c r="B61" s="530">
        <f>E60/12</f>
        <v>2</v>
      </c>
      <c r="C61" s="313"/>
      <c r="D61" s="314" t="s">
        <v>268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269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271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265</v>
      </c>
      <c r="B65" s="320">
        <f>+K38</f>
        <v>0</v>
      </c>
      <c r="C65" s="313"/>
      <c r="D65" s="314" t="s">
        <v>266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270</v>
      </c>
      <c r="B66" s="323"/>
      <c r="C66" s="313"/>
      <c r="D66" s="314" t="s">
        <v>268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269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271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265</v>
      </c>
      <c r="B70" s="320">
        <f>+L38</f>
        <v>0</v>
      </c>
      <c r="C70" s="313"/>
      <c r="D70" s="314" t="s">
        <v>266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270</v>
      </c>
      <c r="B71" s="323"/>
      <c r="C71" s="313"/>
      <c r="D71" s="314" t="s">
        <v>268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269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271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265</v>
      </c>
      <c r="B75" s="320">
        <f>+M38</f>
        <v>0</v>
      </c>
      <c r="C75" s="313"/>
      <c r="D75" s="314" t="s">
        <v>266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270</v>
      </c>
      <c r="B76" s="323"/>
      <c r="C76" s="313"/>
      <c r="D76" s="314" t="s">
        <v>268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269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271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272</v>
      </c>
      <c r="B81" s="328">
        <f>B21</f>
        <v>9515</v>
      </c>
      <c r="C81" s="313"/>
      <c r="D81" s="314" t="s">
        <v>273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274</v>
      </c>
      <c r="B82" s="256">
        <f>+B81/10.764</f>
        <v>883.96506874767749</v>
      </c>
      <c r="C82" s="313"/>
      <c r="D82" s="314" t="s">
        <v>275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276</v>
      </c>
      <c r="B83" s="448" t="str">
        <f>B23</f>
        <v>2026</v>
      </c>
      <c r="C83" s="313"/>
      <c r="D83" s="314" t="s">
        <v>277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278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279</v>
      </c>
      <c r="B87" s="260">
        <f>E90*E47</f>
        <v>0</v>
      </c>
      <c r="C87" s="313"/>
      <c r="D87" s="314" t="s">
        <v>280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281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282</v>
      </c>
      <c r="B90" s="331">
        <f>IFERROR(+E90/B82,0)</f>
        <v>793.70382737782461</v>
      </c>
      <c r="C90" s="332"/>
      <c r="D90" s="333" t="s">
        <v>283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72"/>
      <c r="B92" s="773"/>
      <c r="C92" s="773"/>
      <c r="D92" s="773"/>
      <c r="E92" s="773"/>
      <c r="F92" s="773"/>
      <c r="G92" s="773"/>
      <c r="H92" s="773"/>
      <c r="I92" s="773"/>
      <c r="J92" s="773"/>
      <c r="K92" s="773"/>
      <c r="L92" s="773"/>
      <c r="M92" s="773"/>
      <c r="N92" s="773"/>
      <c r="O92" s="774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285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9"/>
      <c r="M95" s="579"/>
      <c r="N95" s="579"/>
      <c r="O95" s="580"/>
    </row>
    <row r="96" spans="1:15">
      <c r="A96" s="170" t="s">
        <v>500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501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E16" sqref="E16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9"/>
      <c r="B8" s="610" t="s">
        <v>36</v>
      </c>
      <c r="C8" s="611" t="s">
        <v>286</v>
      </c>
      <c r="D8" s="611" t="s">
        <v>287</v>
      </c>
    </row>
    <row r="9" spans="1:13">
      <c r="A9" s="286" t="s">
        <v>57</v>
      </c>
      <c r="B9" s="365">
        <v>0</v>
      </c>
      <c r="C9" s="365">
        <f>+B9*'Rent Calculation'!F29/12*33.5</f>
        <v>0</v>
      </c>
      <c r="D9" s="288"/>
      <c r="F9" s="367"/>
    </row>
    <row r="10" spans="1:13">
      <c r="A10" s="286" t="s">
        <v>288</v>
      </c>
      <c r="B10" s="365">
        <f>'Rent Calculation'!F68</f>
        <v>11418000</v>
      </c>
      <c r="C10" s="365">
        <f>+B10*'Rent Calculation'!F29/12*D10</f>
        <v>7193340</v>
      </c>
      <c r="D10" s="288">
        <f>'Rent Calculation'!F55</f>
        <v>72</v>
      </c>
      <c r="E10" s="367"/>
      <c r="F10" s="367"/>
    </row>
    <row r="11" spans="1:13">
      <c r="A11" s="286" t="s">
        <v>289</v>
      </c>
      <c r="B11" s="365">
        <f>'Rent Calculation'!F72</f>
        <v>0</v>
      </c>
      <c r="C11" s="365">
        <f>+B11*'Rent Calculation'!F29/12*D11</f>
        <v>0</v>
      </c>
      <c r="D11" s="288">
        <f>D10</f>
        <v>72</v>
      </c>
      <c r="E11" s="367"/>
      <c r="F11" s="294"/>
    </row>
    <row r="12" spans="1:13">
      <c r="A12" s="286" t="s">
        <v>472</v>
      </c>
      <c r="B12" s="365">
        <f>+'Rent Calculation'!F70</f>
        <v>500000</v>
      </c>
      <c r="C12" s="365">
        <f>+B12*'Rent Calculation'!F29*3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>
        <f>AVERAGE(D10:D12)</f>
        <v>72</v>
      </c>
      <c r="E13" s="367"/>
      <c r="F13" s="294"/>
    </row>
    <row r="14" spans="1:13">
      <c r="A14" s="197" t="s">
        <v>290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291</v>
      </c>
      <c r="B15" s="390">
        <f>'Rent Calculation'!F29</f>
        <v>0.105</v>
      </c>
      <c r="C15" s="197"/>
      <c r="D15" s="289"/>
      <c r="E15" s="367"/>
      <c r="F15" s="294"/>
    </row>
    <row r="16" spans="1:13">
      <c r="A16" s="197" t="s">
        <v>292</v>
      </c>
      <c r="B16" s="197">
        <f>'Rent Calculation'!F55</f>
        <v>72</v>
      </c>
      <c r="C16" s="197"/>
      <c r="D16" s="289"/>
      <c r="E16" s="367"/>
      <c r="F16" s="294"/>
    </row>
    <row r="17" spans="1:8" ht="13">
      <c r="A17" s="287" t="s">
        <v>293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325</v>
      </c>
      <c r="B21" s="435" t="s">
        <v>326</v>
      </c>
      <c r="C21" s="435" t="s">
        <v>327</v>
      </c>
      <c r="D21" s="434"/>
    </row>
    <row r="22" spans="1:8">
      <c r="A22" s="435" t="s">
        <v>328</v>
      </c>
      <c r="B22" s="366">
        <f>'Rent Calculation'!F21</f>
        <v>9515</v>
      </c>
      <c r="C22" s="573">
        <f>'Rent Calculation'!G21</f>
        <v>883.96506874767749</v>
      </c>
      <c r="D22" s="435" t="s">
        <v>329</v>
      </c>
      <c r="G22" s="528"/>
    </row>
    <row r="23" spans="1:8" ht="25">
      <c r="A23" s="436" t="s">
        <v>330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75" t="s">
        <v>473</v>
      </c>
      <c r="C3" s="776"/>
      <c r="D3" s="776"/>
      <c r="E3" s="776"/>
      <c r="F3" s="777"/>
      <c r="G3" s="775" t="s">
        <v>473</v>
      </c>
      <c r="H3" s="776"/>
      <c r="I3" s="776"/>
      <c r="J3" s="776"/>
      <c r="K3" s="777"/>
      <c r="L3" s="775" t="s">
        <v>473</v>
      </c>
      <c r="M3" s="776"/>
      <c r="N3" s="776"/>
      <c r="O3" s="776"/>
      <c r="P3" s="777"/>
      <c r="Q3" s="775" t="s">
        <v>473</v>
      </c>
      <c r="R3" s="776"/>
      <c r="S3" s="776"/>
      <c r="T3" s="776"/>
      <c r="U3" s="777"/>
      <c r="V3" s="775" t="s">
        <v>473</v>
      </c>
      <c r="W3" s="776"/>
      <c r="X3" s="776"/>
      <c r="Y3" s="776"/>
      <c r="Z3" s="777"/>
      <c r="AA3" s="775" t="s">
        <v>473</v>
      </c>
      <c r="AB3" s="776"/>
      <c r="AC3" s="776"/>
      <c r="AD3" s="776"/>
      <c r="AE3" s="777"/>
    </row>
    <row r="4" spans="1:31" ht="13.25" customHeight="1">
      <c r="A4" s="258"/>
      <c r="B4" s="778" t="s">
        <v>474</v>
      </c>
      <c r="C4" s="779"/>
      <c r="D4" s="779"/>
      <c r="E4" s="779"/>
      <c r="F4" s="780"/>
      <c r="G4" s="778" t="s">
        <v>474</v>
      </c>
      <c r="H4" s="779"/>
      <c r="I4" s="779"/>
      <c r="J4" s="779"/>
      <c r="K4" s="780"/>
      <c r="L4" s="778" t="s">
        <v>474</v>
      </c>
      <c r="M4" s="779"/>
      <c r="N4" s="779"/>
      <c r="O4" s="779"/>
      <c r="P4" s="780"/>
      <c r="Q4" s="778" t="s">
        <v>474</v>
      </c>
      <c r="R4" s="779"/>
      <c r="S4" s="779"/>
      <c r="T4" s="779"/>
      <c r="U4" s="780"/>
      <c r="V4" s="778" t="s">
        <v>474</v>
      </c>
      <c r="W4" s="779"/>
      <c r="X4" s="779"/>
      <c r="Y4" s="779"/>
      <c r="Z4" s="780"/>
      <c r="AA4" s="778" t="s">
        <v>474</v>
      </c>
      <c r="AB4" s="779"/>
      <c r="AC4" s="779"/>
      <c r="AD4" s="779"/>
      <c r="AE4" s="781"/>
    </row>
    <row r="5" spans="1:31" ht="13">
      <c r="A5" s="450" t="s">
        <v>342</v>
      </c>
      <c r="B5" s="452" t="s">
        <v>364</v>
      </c>
      <c r="C5" s="188" t="s">
        <v>360</v>
      </c>
      <c r="D5" s="188" t="s">
        <v>361</v>
      </c>
      <c r="E5" s="188" t="s">
        <v>362</v>
      </c>
      <c r="F5" s="453" t="s">
        <v>363</v>
      </c>
      <c r="G5" s="458" t="s">
        <v>365</v>
      </c>
      <c r="H5" s="291" t="s">
        <v>366</v>
      </c>
      <c r="I5" s="291" t="s">
        <v>367</v>
      </c>
      <c r="J5" s="291" t="s">
        <v>368</v>
      </c>
      <c r="K5" s="459" t="s">
        <v>369</v>
      </c>
      <c r="L5" s="452" t="s">
        <v>370</v>
      </c>
      <c r="M5" s="188" t="s">
        <v>371</v>
      </c>
      <c r="N5" s="188" t="s">
        <v>372</v>
      </c>
      <c r="O5" s="188" t="s">
        <v>373</v>
      </c>
      <c r="P5" s="453" t="s">
        <v>374</v>
      </c>
      <c r="Q5" s="452" t="s">
        <v>375</v>
      </c>
      <c r="R5" s="188" t="s">
        <v>376</v>
      </c>
      <c r="S5" s="188" t="s">
        <v>377</v>
      </c>
      <c r="T5" s="188" t="s">
        <v>378</v>
      </c>
      <c r="U5" s="453" t="s">
        <v>379</v>
      </c>
      <c r="V5" s="452" t="s">
        <v>475</v>
      </c>
      <c r="W5" s="452" t="s">
        <v>475</v>
      </c>
      <c r="X5" s="452" t="s">
        <v>475</v>
      </c>
      <c r="Y5" s="452" t="s">
        <v>475</v>
      </c>
      <c r="Z5" s="452" t="s">
        <v>475</v>
      </c>
      <c r="AA5" s="452" t="s">
        <v>476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343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344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345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346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347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348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349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350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351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352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353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354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355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356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357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358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359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317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230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380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204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381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382</v>
      </c>
      <c r="H28">
        <v>700</v>
      </c>
    </row>
    <row r="29" spans="1:31">
      <c r="A29" s="465"/>
    </row>
  </sheetData>
  <mergeCells count="12">
    <mergeCell ref="B3:F3"/>
    <mergeCell ref="B4:F4"/>
    <mergeCell ref="G3:K3"/>
    <mergeCell ref="G4:K4"/>
    <mergeCell ref="L3:P3"/>
    <mergeCell ref="L4:P4"/>
    <mergeCell ref="V3:Z3"/>
    <mergeCell ref="V4:Z4"/>
    <mergeCell ref="AA3:AE3"/>
    <mergeCell ref="AA4:AE4"/>
    <mergeCell ref="Q3:U3"/>
    <mergeCell ref="Q4:U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2026-06-03T15:55:15Z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