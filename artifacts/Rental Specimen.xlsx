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B7B9F044-A016-413E-891F-9FA7AFE17EE9}" xr6:coauthVersionLast="47" xr6:coauthVersionMax="47" xr10:uidLastSave="{00000000-0000-0000-0000-000000000000}"/>
  <bookViews>
    <workbookView xWindow="28680" yWindow="-120" windowWidth="29040" windowHeight="15720" tabRatio="764" activeTab="2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2" i="2" l="1"/>
  <c r="F43" i="2"/>
  <c r="F32" i="2"/>
  <c r="O87" i="3"/>
  <c r="O88" i="3" s="1"/>
  <c r="O83" i="3"/>
  <c r="O82" i="3"/>
  <c r="O77" i="3"/>
  <c r="O78" i="3" s="1"/>
  <c r="O72" i="3"/>
  <c r="O73" i="3" s="1"/>
  <c r="E85" i="3"/>
  <c r="E86" i="3" s="1"/>
  <c r="E80" i="3"/>
  <c r="E81" i="3" s="1"/>
  <c r="E70" i="3"/>
  <c r="E75" i="3"/>
  <c r="E76" i="3" s="1"/>
  <c r="B85" i="3"/>
  <c r="B80" i="3"/>
  <c r="N82" i="3"/>
  <c r="N83" i="3" s="1"/>
  <c r="F90" i="3"/>
  <c r="O18" i="3"/>
  <c r="O19" i="3" s="1"/>
  <c r="O12" i="3"/>
  <c r="O13" i="3" s="1"/>
  <c r="O6" i="3"/>
  <c r="O7" i="3" s="1"/>
  <c r="U15" i="1"/>
  <c r="Q26" i="1"/>
  <c r="F118" i="2"/>
  <c r="G117" i="2"/>
  <c r="G118" i="2" s="1"/>
  <c r="C17" i="4"/>
  <c r="D25" i="4"/>
  <c r="O27" i="3" l="1"/>
  <c r="C11" i="4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B60" i="3"/>
  <c r="N18" i="3"/>
  <c r="N19" i="3" s="1"/>
  <c r="M18" i="3"/>
  <c r="M19" i="3" s="1"/>
  <c r="L18" i="3"/>
  <c r="L19" i="3" s="1"/>
  <c r="K18" i="3"/>
  <c r="K19" i="3" s="1"/>
  <c r="N6" i="3"/>
  <c r="N7" i="3" s="1"/>
  <c r="M6" i="3"/>
  <c r="M7" i="3" s="1"/>
  <c r="E9" i="3"/>
  <c r="B13" i="3" s="1"/>
  <c r="B37" i="3"/>
  <c r="F78" i="2" s="1"/>
  <c r="G78" i="2" s="1"/>
  <c r="E71" i="3"/>
  <c r="O67" i="3"/>
  <c r="O68" i="3" s="1"/>
  <c r="N67" i="3"/>
  <c r="N68" i="3" s="1"/>
  <c r="M67" i="3"/>
  <c r="M68" i="3" s="1"/>
  <c r="L67" i="3"/>
  <c r="L68" i="3" s="1"/>
  <c r="O62" i="3"/>
  <c r="O63" i="3" s="1"/>
  <c r="N62" i="3"/>
  <c r="N63" i="3" s="1"/>
  <c r="M62" i="3"/>
  <c r="M63" i="3" s="1"/>
  <c r="E65" i="3"/>
  <c r="E66" i="3" s="1"/>
  <c r="E60" i="3"/>
  <c r="E61" i="3" s="1"/>
  <c r="O57" i="3"/>
  <c r="O58" i="3" s="1"/>
  <c r="N57" i="3"/>
  <c r="N58" i="3" s="1"/>
  <c r="M57" i="3"/>
  <c r="M58" i="3" s="1"/>
  <c r="E55" i="3"/>
  <c r="K57" i="3" s="1"/>
  <c r="K58" i="3" s="1"/>
  <c r="O52" i="3"/>
  <c r="O53" i="3" s="1"/>
  <c r="N52" i="3"/>
  <c r="N53" i="3" s="1"/>
  <c r="M52" i="3"/>
  <c r="M53" i="3" s="1"/>
  <c r="E50" i="3"/>
  <c r="H52" i="3" s="1"/>
  <c r="H53" i="3" s="1"/>
  <c r="O47" i="3"/>
  <c r="O48" i="3" s="1"/>
  <c r="N47" i="3"/>
  <c r="N48" i="3" s="1"/>
  <c r="M47" i="3"/>
  <c r="M48" i="3" s="1"/>
  <c r="E45" i="3"/>
  <c r="K47" i="3" s="1"/>
  <c r="K48" i="3" s="1"/>
  <c r="O42" i="3"/>
  <c r="O43" i="3" s="1"/>
  <c r="N42" i="3"/>
  <c r="N43" i="3" s="1"/>
  <c r="M42" i="3"/>
  <c r="M43" i="3" s="1"/>
  <c r="E40" i="3"/>
  <c r="E41" i="3" s="1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104" i="3"/>
  <c r="F79" i="2" s="1"/>
  <c r="I79" i="2" s="1"/>
  <c r="J79" i="2" s="1"/>
  <c r="J160" i="2" s="1"/>
  <c r="F50" i="2"/>
  <c r="I50" i="2" s="1"/>
  <c r="F38" i="2"/>
  <c r="G38" i="2" s="1"/>
  <c r="J33" i="11"/>
  <c r="J34" i="11" s="1"/>
  <c r="A33" i="11"/>
  <c r="F140" i="2"/>
  <c r="G140" i="2" s="1"/>
  <c r="G21" i="2"/>
  <c r="D3" i="11"/>
  <c r="E15" i="3"/>
  <c r="E16" i="3" s="1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 s="1"/>
  <c r="G43" i="2"/>
  <c r="E3" i="11"/>
  <c r="E4" i="11" s="1"/>
  <c r="E5" i="11" s="1"/>
  <c r="E3" i="3"/>
  <c r="E4" i="3" s="1"/>
  <c r="Q27" i="1"/>
  <c r="J12" i="1" s="1"/>
  <c r="R27" i="1"/>
  <c r="J13" i="1" s="1"/>
  <c r="S27" i="1"/>
  <c r="J14" i="1" s="1"/>
  <c r="T27" i="1"/>
  <c r="J15" i="1" s="1"/>
  <c r="Q28" i="1"/>
  <c r="I12" i="1" s="1"/>
  <c r="R28" i="1"/>
  <c r="I13" i="1" s="1"/>
  <c r="S28" i="1"/>
  <c r="I14" i="1" s="1"/>
  <c r="T28" i="1"/>
  <c r="I15" i="1" s="1"/>
  <c r="B15" i="4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 s="1"/>
  <c r="M77" i="3"/>
  <c r="M78" i="3" s="1"/>
  <c r="N72" i="3"/>
  <c r="N73" i="3" s="1"/>
  <c r="M72" i="3"/>
  <c r="M73" i="3" s="1"/>
  <c r="L72" i="3"/>
  <c r="L73" i="3" s="1"/>
  <c r="K67" i="3"/>
  <c r="K68" i="3" s="1"/>
  <c r="B75" i="3"/>
  <c r="B70" i="3"/>
  <c r="B65" i="3"/>
  <c r="B55" i="3"/>
  <c r="B50" i="3"/>
  <c r="B45" i="3"/>
  <c r="B40" i="3"/>
  <c r="U27" i="1"/>
  <c r="J16" i="1" s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I17" i="1" s="1"/>
  <c r="W28" i="1"/>
  <c r="I18" i="1" s="1"/>
  <c r="X28" i="1"/>
  <c r="I19" i="1" s="1"/>
  <c r="Y28" i="1"/>
  <c r="I20" i="1" s="1"/>
  <c r="Z28" i="1"/>
  <c r="I21" i="1" s="1"/>
  <c r="V27" i="1"/>
  <c r="J17" i="1" s="1"/>
  <c r="W27" i="1"/>
  <c r="J18" i="1" s="1"/>
  <c r="X27" i="1"/>
  <c r="J19" i="1" s="1"/>
  <c r="Y27" i="1"/>
  <c r="J20" i="1" s="1"/>
  <c r="Z27" i="1"/>
  <c r="J21" i="1" s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G45" i="2"/>
  <c r="G23" i="2"/>
  <c r="J220" i="2"/>
  <c r="I117" i="2"/>
  <c r="J117" i="2" s="1"/>
  <c r="I118" i="2"/>
  <c r="J118" i="2" s="1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M4" i="11"/>
  <c r="J5" i="11"/>
  <c r="M3" i="11"/>
  <c r="F36" i="3"/>
  <c r="G36" i="3" s="1"/>
  <c r="H36" i="3" s="1"/>
  <c r="I36" i="3" s="1"/>
  <c r="J36" i="3" s="1"/>
  <c r="K36" i="3" s="1"/>
  <c r="L36" i="3" s="1"/>
  <c r="M36" i="3" s="1"/>
  <c r="N36" i="3" s="1"/>
  <c r="O36" i="3" s="1"/>
  <c r="G2" i="3"/>
  <c r="H2" i="3" s="1"/>
  <c r="I2" i="3" s="1"/>
  <c r="J2" i="3" s="1"/>
  <c r="K2" i="3" s="1"/>
  <c r="L2" i="3" s="1"/>
  <c r="M2" i="3" s="1"/>
  <c r="N2" i="3" s="1"/>
  <c r="O2" i="3" s="1"/>
  <c r="B23" i="3"/>
  <c r="B92" i="3" s="1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R5" i="11"/>
  <c r="E33" i="11"/>
  <c r="M32" i="11"/>
  <c r="E34" i="11"/>
  <c r="K33" i="11"/>
  <c r="I67" i="2"/>
  <c r="G67" i="2"/>
  <c r="J67" i="2" s="1"/>
  <c r="I32" i="2"/>
  <c r="J32" i="2" s="1"/>
  <c r="G32" i="2"/>
  <c r="H47" i="3" l="1"/>
  <c r="H48" i="3" s="1"/>
  <c r="B56" i="3"/>
  <c r="J52" i="3"/>
  <c r="J53" i="3" s="1"/>
  <c r="G47" i="3"/>
  <c r="G48" i="3" s="1"/>
  <c r="I52" i="3"/>
  <c r="I53" i="3" s="1"/>
  <c r="E46" i="3"/>
  <c r="L57" i="3"/>
  <c r="L58" i="3" s="1"/>
  <c r="E56" i="3"/>
  <c r="B51" i="3"/>
  <c r="I57" i="3"/>
  <c r="I58" i="3" s="1"/>
  <c r="L47" i="3"/>
  <c r="L48" i="3" s="1"/>
  <c r="M27" i="3"/>
  <c r="M96" i="3"/>
  <c r="AA27" i="1"/>
  <c r="J57" i="3"/>
  <c r="J58" i="3" s="1"/>
  <c r="N27" i="3"/>
  <c r="B41" i="3"/>
  <c r="J23" i="1"/>
  <c r="B46" i="3"/>
  <c r="K52" i="3"/>
  <c r="K53" i="3" s="1"/>
  <c r="E51" i="3"/>
  <c r="I47" i="3"/>
  <c r="I48" i="3" s="1"/>
  <c r="L52" i="3"/>
  <c r="L53" i="3" s="1"/>
  <c r="B19" i="3"/>
  <c r="B22" i="3"/>
  <c r="B90" i="3"/>
  <c r="B7" i="3"/>
  <c r="B61" i="3"/>
  <c r="F27" i="2"/>
  <c r="I27" i="2" s="1"/>
  <c r="J27" i="2" s="1"/>
  <c r="J62" i="3"/>
  <c r="J63" i="3" s="1"/>
  <c r="K62" i="3"/>
  <c r="K63" i="3" s="1"/>
  <c r="J47" i="3"/>
  <c r="J48" i="3" s="1"/>
  <c r="N96" i="3"/>
  <c r="L62" i="3"/>
  <c r="L63" i="3" s="1"/>
  <c r="O96" i="3"/>
  <c r="O98" i="3" s="1"/>
  <c r="C22" i="4"/>
  <c r="G91" i="2"/>
  <c r="F160" i="2"/>
  <c r="B28" i="2"/>
  <c r="B29" i="2" s="1"/>
  <c r="B30" i="2" s="1"/>
  <c r="G79" i="2"/>
  <c r="G160" i="2" s="1"/>
  <c r="B105" i="3"/>
  <c r="F100" i="2" s="1"/>
  <c r="G190" i="2"/>
  <c r="G191" i="2" s="1"/>
  <c r="G192" i="2" s="1"/>
  <c r="J192" i="2" s="1"/>
  <c r="I160" i="2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AA28" i="1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L42" i="3" l="1"/>
  <c r="L43" i="3" s="1"/>
  <c r="L96" i="3" s="1"/>
  <c r="J42" i="3"/>
  <c r="J43" i="3" s="1"/>
  <c r="H42" i="3"/>
  <c r="H43" i="3" s="1"/>
  <c r="H96" i="3" s="1"/>
  <c r="I42" i="3"/>
  <c r="I43" i="3" s="1"/>
  <c r="I96" i="3" s="1"/>
  <c r="F42" i="3"/>
  <c r="F43" i="3" s="1"/>
  <c r="F96" i="3" s="1"/>
  <c r="F91" i="3" s="1"/>
  <c r="K42" i="3"/>
  <c r="K43" i="3" s="1"/>
  <c r="K96" i="3"/>
  <c r="G42" i="3"/>
  <c r="G43" i="3" s="1"/>
  <c r="G96" i="3" s="1"/>
  <c r="J18" i="3"/>
  <c r="J19" i="3" s="1"/>
  <c r="I18" i="3"/>
  <c r="I19" i="3" s="1"/>
  <c r="H18" i="3"/>
  <c r="H19" i="3" s="1"/>
  <c r="G18" i="3"/>
  <c r="G19" i="3" s="1"/>
  <c r="F18" i="3"/>
  <c r="F19" i="3" s="1"/>
  <c r="G27" i="2"/>
  <c r="F102" i="2"/>
  <c r="G102" i="2" s="1"/>
  <c r="J96" i="3"/>
  <c r="B106" i="3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91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L13" i="3"/>
  <c r="I6" i="3"/>
  <c r="I7" i="3" s="1"/>
  <c r="H6" i="3"/>
  <c r="H7" i="3" s="1"/>
  <c r="K6" i="3"/>
  <c r="K7" i="3" s="1"/>
  <c r="K27" i="3" s="1"/>
  <c r="J6" i="3"/>
  <c r="J7" i="3" s="1"/>
  <c r="F77" i="2"/>
  <c r="I77" i="2" s="1"/>
  <c r="I158" i="2" s="1"/>
  <c r="G6" i="3"/>
  <c r="G7" i="3" s="1"/>
  <c r="F6" i="3"/>
  <c r="F7" i="3" s="1"/>
  <c r="L6" i="3"/>
  <c r="L7" i="3" s="1"/>
  <c r="B3" i="3"/>
  <c r="F21" i="3" s="1"/>
  <c r="H27" i="3" l="1"/>
  <c r="G27" i="3"/>
  <c r="E96" i="3"/>
  <c r="J27" i="3"/>
  <c r="G90" i="3"/>
  <c r="F92" i="3"/>
  <c r="F95" i="3" s="1"/>
  <c r="F98" i="3" s="1"/>
  <c r="I27" i="3"/>
  <c r="L27" i="3"/>
  <c r="F27" i="3"/>
  <c r="F22" i="3" s="1"/>
  <c r="I102" i="2"/>
  <c r="J102" i="2" s="1"/>
  <c r="I161" i="2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G26" i="1"/>
  <c r="H26" i="1" s="1"/>
  <c r="G77" i="2"/>
  <c r="F75" i="2"/>
  <c r="F158" i="2"/>
  <c r="E27" i="3" l="1"/>
  <c r="G91" i="3"/>
  <c r="H90" i="3" s="1"/>
  <c r="H91" i="3" s="1"/>
  <c r="I90" i="3" s="1"/>
  <c r="I91" i="3" s="1"/>
  <c r="J90" i="3" s="1"/>
  <c r="J91" i="3" s="1"/>
  <c r="K90" i="3" s="1"/>
  <c r="K91" i="3" s="1"/>
  <c r="L90" i="3" s="1"/>
  <c r="G21" i="3"/>
  <c r="G22" i="3" s="1"/>
  <c r="H21" i="3" s="1"/>
  <c r="H22" i="3" s="1"/>
  <c r="I21" i="3" s="1"/>
  <c r="I22" i="3" s="1"/>
  <c r="F23" i="3"/>
  <c r="F26" i="3" s="1"/>
  <c r="F29" i="3" s="1"/>
  <c r="AA26" i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26" i="1"/>
  <c r="I75" i="2"/>
  <c r="J75" i="2" s="1"/>
  <c r="J77" i="2"/>
  <c r="J158" i="2" s="1"/>
  <c r="J161" i="2" s="1"/>
  <c r="G158" i="2"/>
  <c r="G75" i="2"/>
  <c r="F161" i="2"/>
  <c r="J92" i="3" l="1"/>
  <c r="J95" i="3" s="1"/>
  <c r="J98" i="3" s="1"/>
  <c r="H92" i="3"/>
  <c r="H95" i="3" s="1"/>
  <c r="H98" i="3" s="1"/>
  <c r="I92" i="3"/>
  <c r="I95" i="3" s="1"/>
  <c r="I98" i="3" s="1"/>
  <c r="G92" i="3"/>
  <c r="G95" i="3" s="1"/>
  <c r="G98" i="3" s="1"/>
  <c r="G23" i="3"/>
  <c r="G26" i="3" s="1"/>
  <c r="G29" i="3" s="1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91" i="3"/>
  <c r="M90" i="3" s="1"/>
  <c r="K92" i="3"/>
  <c r="K95" i="3" s="1"/>
  <c r="H23" i="3"/>
  <c r="H26" i="3" s="1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92" i="3"/>
  <c r="L95" i="3" s="1"/>
  <c r="L98" i="3" s="1"/>
  <c r="K98" i="3"/>
  <c r="M91" i="3"/>
  <c r="N90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92" i="3"/>
  <c r="M95" i="3" s="1"/>
  <c r="M98" i="3" s="1"/>
  <c r="N91" i="3"/>
  <c r="O90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92" i="3"/>
  <c r="N95" i="3" s="1"/>
  <c r="O91" i="3"/>
  <c r="O92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98" i="3"/>
  <c r="E99" i="3"/>
  <c r="B98" i="3" s="1"/>
  <c r="E95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9" i="3"/>
  <c r="B96" i="3"/>
  <c r="F99" i="2"/>
  <c r="L29" i="3"/>
  <c r="M23" i="3"/>
  <c r="M26" i="3" s="1"/>
  <c r="M29" i="3" s="1"/>
  <c r="N22" i="3"/>
  <c r="N23" i="3" l="1"/>
  <c r="N26" i="3" s="1"/>
  <c r="N29" i="3" s="1"/>
  <c r="O21" i="3"/>
  <c r="O22" i="3" s="1"/>
  <c r="O23" i="3" s="1"/>
  <c r="O26" i="3" s="1"/>
  <c r="O29" i="3" s="1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 l="1"/>
  <c r="E30" i="3"/>
  <c r="B27" i="3" s="1"/>
  <c r="J46" i="11"/>
  <c r="L45" i="11"/>
  <c r="Q30" i="1"/>
  <c r="K45" i="11"/>
  <c r="M45" i="11" s="1"/>
  <c r="E46" i="11"/>
  <c r="H81" i="11"/>
  <c r="M44" i="11"/>
  <c r="B29" i="3" l="1"/>
  <c r="F98" i="2" s="1"/>
  <c r="G98" i="2" s="1"/>
  <c r="B30" i="3"/>
  <c r="Q22" i="1"/>
  <c r="Q23" i="1" s="1"/>
  <c r="H82" i="11"/>
  <c r="E47" i="11"/>
  <c r="K46" i="11"/>
  <c r="L46" i="11"/>
  <c r="J47" i="11"/>
  <c r="F103" i="2" l="1"/>
  <c r="F107" i="2" s="1"/>
  <c r="I98" i="2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<sst xmlns="http://schemas.openxmlformats.org/spreadsheetml/2006/main" count="562" uniqueCount="333">
  <si>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</si>
  <si>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</si>
  <si>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</si>
  <si>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</si>
  <si>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</si>
  <si>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</si>
  <si>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</si>
  <si>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</si>
  <si>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</si>
  <si>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</si>
  <si>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</si>
  <si>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</si>
  <si>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</si>
  <si>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</si>
  <si>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</si>
  <si>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</si>
  <si>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</si>
  <si>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</si>
  <si>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</si>
  <si>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</si>
  <si>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</si>
  <si>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</si>
  <si>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</si>
  <si>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</si>
  <si>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</si>
  <si>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</si>
  <si>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</si>
  <si>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</si>
  <si>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</si>
  <si>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</si>
  <si>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</si>
  <si>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</si>
  <si>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</si>
  <si>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</si>
  <si>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</si>
  <si>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</si>
  <si>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</si>
  <si>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</si>
  <si>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</si>
  <si>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</si>
  <si>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</si>
  <si>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</si>
  <si>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</si>
  <si>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</si>
  <si>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</si>
  <si>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</si>
  <si>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</si>
  <si>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</si>
  <si>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</si>
  <si>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</si>
  <si>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</si>
  <si>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</si>
  <si>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</si>
  <si>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</si>
  <si>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</si>
  <si>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</si>
  <si>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</si>
  <si>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</si>
  <si>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</si>
  <si>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</si>
  <si>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</si>
  <si>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</si>
  <si>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</si>
  <si>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</si>
  <si>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</si>
  <si>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</si>
  <si>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</si>
  <si>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</si>
  <si>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</si>
  <si>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</si>
  <si>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</si>
  <si>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</si>
  <si>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</si>
  <si>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</si>
  <si>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</si>
  <si>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</si>
  <si>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</si>
  <si>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</si>
  <si>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</si>
  <si>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</si>
  <si>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</si>
  <si>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</si>
  <si>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</si>
  <si>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</si>
  <si>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</si>
  <si>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</si>
  <si>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</si>
  <si>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</si>
  <si>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</si>
  <si>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</si>
  <si>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</si>
  <si>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</si>
  <si>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</si>
  <si>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</si>
  <si>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</si>
  <si>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</si>
  <si>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</si>
  <si>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</si>
  <si>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</si>
  <si>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</si>
  <si>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</si>
  <si>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</si>
  <si>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</si>
  <si>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</si>
  <si>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</si>
  <si>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</si>
  <si>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</si>
  <si>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</si>
  <si>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</si>
  <si>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</si>
  <si>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</si>
  <si>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</si>
  <si>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</si>
  <si>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</si>
  <si>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</si>
  <si>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</si>
  <si>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</si>
  <si>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</si>
  <si>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</si>
  <si>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</si>
  <si>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</si>
  <si>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</si>
  <si>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</si>
  <si>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</si>
  <si>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</si>
  <si>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</si>
  <si>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</si>
  <si>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</si>
  <si>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</si>
  <si>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</si>
  <si>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</si>
  <si>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</si>
  <si>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</si>
  <si>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</si>
  <si>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</si>
  <si>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</si>
  <si>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</si>
  <si>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</si>
  <si>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</si>
  <si>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</si>
  <si>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</si>
  <si>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</si>
  <si>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</si>
  <si>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</si>
  <si>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</si>
  <si>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</si>
  <si>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</si>
  <si>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</si>
  <si>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</si>
  <si>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</si>
  <si>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</si>
  <si>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</si>
  <si>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</si>
  <si>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</si>
  <si>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</si>
  <si>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</si>
  <si>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</si>
  <si>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</si>
  <si>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</si>
  <si>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</si>
  <si>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</si>
  <si>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</si>
  <si>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</si>
  <si>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</si>
  <si>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</si>
  <si>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</si>
  <si>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</si>
  <si>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</si>
  <si>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</si>
  <si>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</si>
  <si>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</si>
  <si>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</si>
  <si>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</si>
  <si>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</si>
  <si>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</si>
  <si>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</si>
  <si>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</si>
  <si>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</si>
  <si>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</si>
  <si>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</si>
  <si>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</si>
  <si>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</si>
  <si>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</si>
  <si>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</si>
  <si>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</si>
  <si>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</si>
  <si>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</si>
  <si>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</si>
  <si>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</si>
  <si>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</si>
  <si>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</si>
  <si>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</si>
  <si>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</si>
  <si>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</si>
  <si>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</si>
  <si>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</si>
  <si>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</si>
  <si>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</si>
  <si>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</si>
  <si>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</si>
  <si>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</si>
  <si>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</si>
  <si>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</si>
  <si>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</si>
  <si>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</si>
  <si>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</si>
  <si>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</si>
  <si>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</si>
  <si>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</si>
  <si>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</si>
  <si>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</si>
  <si>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</si>
  <si>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</si>
  <si>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</si>
  <si>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</si>
  <si>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</si>
  <si>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</si>
  <si>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</si>
  <si>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</si>
  <si>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</si>
  <si>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</si>
  <si>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</si>
  <si>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</si>
  <si>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</si>
  <si>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</si>
  <si>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</si>
  <si>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</si>
  <si>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</si>
  <si>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</si>
  <si>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</si>
  <si>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</si>
  <si>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</si>
  <si>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</si>
  <si>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</si>
  <si>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</si>
  <si>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</si>
  <si>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</si>
  <si>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</si>
  <si>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</si>
  <si>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</si>
  <si>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</si>
  <si>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</si>
  <si>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</si>
  <si>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</si>
  <si>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</si>
  <si>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</si>
  <si>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</si>
  <si>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</si>
  <si>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</si>
  <si>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</si>
  <si>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</si>
  <si>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</si>
  <si>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</si>
  <si>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</si>
  <si>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</si>
  <si>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</si>
  <si>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</si>
  <si>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</si>
  <si>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</si>
  <si>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</si>
  <si>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</si>
  <si>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</si>
  <si>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</si>
  <si>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</si>
  <si>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</si>
  <si>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</si>
  <si>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</si>
  <si>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</si>
  <si>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</si>
  <si>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</si>
  <si>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</si>
  <si>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</si>
  <si>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</si>
  <si>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</si>
  <si>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</si>
  <si>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</si>
  <si>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</si>
  <si>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</si>
  <si>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</si>
  <si>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</si>
  <si>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</si>
  <si>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</si>
  <si>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</si>
  <si>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</si>
  <si>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</si>
  <si>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</si>
  <si>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</si>
  <si>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</si>
  <si>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</si>
  <si>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</si>
  <si>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</si>
  <si>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</si>
  <si>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</si>
  <si>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</si>
  <si>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</si>
  <si>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</si>
  <si>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</si>
  <si>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</si>
  <si>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</si>
  <si>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</si>
  <si>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</si>
  <si>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</si>
  <si>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</si>
  <si>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</si>
  <si>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</si>
  <si>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</si>
  <si>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</si>
  <si>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</si>
  <si>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</si>
  <si>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</si>
  <si>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</si>
  <si>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</si>
  <si>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</si>
  <si>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</si>
  <si>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</si>
  <si>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</si>
  <si>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</si>
  <si>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</si>
  <si>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</si>
  <si>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</si>
  <si>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</si>
  <si>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</si>
  <si>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</si>
  <si>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</si>
  <si>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</si>
  <si>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</si>
  <si>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</si>
  <si>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</si>
  <si>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</si>
  <si>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</si>
  <si>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</si>
  <si>
    <t>No. of  dedicated bike parks - chargeable</t>
  </si>
  <si>
    <t>Bikepark - charges per bike including Service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</si>
</sst>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2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0" borderId="12" xfId="184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  <xf numFmtId="43" fontId="4" fillId="7" borderId="29" xfId="21" applyFill="1" applyBorder="1"/>
    <xf numFmtId="167" fontId="0" fillId="0" borderId="29" xfId="21" applyNumberFormat="1" applyFont="1" applyBorder="1"/>
    <xf numFmtId="0" fontId="4" fillId="7" borderId="29" xfId="184" applyFill="1" applyBorder="1"/>
    <xf numFmtId="167" fontId="4" fillId="0" borderId="29" xfId="21" applyNumberFormat="1" applyBorder="1"/>
    <xf numFmtId="0" fontId="4" fillId="14" borderId="78" xfId="184" applyFill="1" applyBorder="1"/>
    <xf numFmtId="0" fontId="4" fillId="0" borderId="79" xfId="184" applyBorder="1"/>
    <xf numFmtId="0" fontId="4" fillId="0" borderId="27" xfId="184" applyBorder="1"/>
    <xf numFmtId="0" fontId="4" fillId="0" borderId="29" xfId="184" applyBorder="1"/>
    <xf numFmtId="0" fontId="4" fillId="0" borderId="4" xfId="184" applyBorder="1"/>
    <xf numFmtId="0" fontId="4" fillId="0" borderId="14" xfId="184" applyBorder="1"/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B9" sqref="B9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5"/>
      <c r="B1" s="491" t="s">
        <v>302</v>
      </c>
      <c r="C1" s="491" t="s">
        <v>303</v>
      </c>
    </row>
    <row r="2" spans="1:3">
      <c r="A2" s="465" t="s">
        <v>300</v>
      </c>
      <c r="B2" s="465" t="s">
        <v>298</v>
      </c>
      <c r="C2" s="465"/>
    </row>
    <row r="3" spans="1:3">
      <c r="A3" s="465" t="s">
        <v>301</v>
      </c>
      <c r="B3" s="465">
        <v>9515</v>
      </c>
      <c r="C3" s="465">
        <f>B3/10.764</f>
        <v>883.96506874767749</v>
      </c>
    </row>
    <row r="4" spans="1:3">
      <c r="A4" s="465" t="s">
        <v>304</v>
      </c>
      <c r="B4" s="492">
        <v>46113</v>
      </c>
      <c r="C4" s="465"/>
    </row>
    <row r="5" spans="1:3">
      <c r="A5" s="465" t="s">
        <v>305</v>
      </c>
      <c r="B5" s="492">
        <v>47938</v>
      </c>
      <c r="C5" s="465"/>
    </row>
    <row r="6" spans="1:3">
      <c r="A6" s="465" t="s">
        <v>306</v>
      </c>
      <c r="B6" s="465">
        <f>(B5-B4)/365</f>
        <v>5</v>
      </c>
      <c r="C6" s="465"/>
    </row>
    <row r="7" spans="1:3">
      <c r="A7" s="465" t="s">
        <v>307</v>
      </c>
      <c r="B7" s="465">
        <v>120</v>
      </c>
      <c r="C7" s="465"/>
    </row>
    <row r="8" spans="1:3">
      <c r="A8" s="465" t="s">
        <v>308</v>
      </c>
      <c r="B8" s="465">
        <v>15.48</v>
      </c>
      <c r="C8" s="465"/>
    </row>
    <row r="9" spans="1:3">
      <c r="A9" s="465" t="s">
        <v>36</v>
      </c>
      <c r="B9" s="505">
        <v>11418000</v>
      </c>
      <c r="C9" s="465"/>
    </row>
    <row r="10" spans="1:3">
      <c r="A10" s="465" t="s">
        <v>40</v>
      </c>
      <c r="B10" s="506">
        <v>43000000</v>
      </c>
      <c r="C10" s="465"/>
    </row>
    <row r="11" spans="1:3">
      <c r="A11" s="465" t="s">
        <v>309</v>
      </c>
      <c r="B11" s="506">
        <v>2500000</v>
      </c>
      <c r="C11" s="465"/>
    </row>
    <row r="12" spans="1:3">
      <c r="A12" s="465" t="s">
        <v>310</v>
      </c>
      <c r="B12" s="502">
        <v>0.105</v>
      </c>
      <c r="C12" s="465"/>
    </row>
    <row r="13" spans="1:3">
      <c r="A13" s="465" t="s">
        <v>311</v>
      </c>
      <c r="B13" s="502">
        <v>7.1099999999999997E-2</v>
      </c>
      <c r="C13" s="465"/>
    </row>
    <row r="14" spans="1:3">
      <c r="A14" s="465" t="s">
        <v>312</v>
      </c>
      <c r="B14" s="504" t="s">
        <v>313</v>
      </c>
      <c r="C14" s="504"/>
    </row>
    <row r="15" spans="1:3">
      <c r="A15" s="499" t="s">
        <v>314</v>
      </c>
      <c r="B15" s="465" t="s">
        <v>315</v>
      </c>
      <c r="C15" s="503"/>
    </row>
    <row r="16" spans="1:3">
      <c r="A16" s="465" t="s">
        <v>327</v>
      </c>
      <c r="B16" s="465">
        <v>80</v>
      </c>
      <c r="C16" s="465"/>
    </row>
    <row r="17" spans="1:3">
      <c r="A17" s="465" t="s">
        <v>329</v>
      </c>
      <c r="B17" s="465">
        <v>1500</v>
      </c>
      <c r="C17" s="465"/>
    </row>
    <row r="18" spans="1:3">
      <c r="A18" s="465" t="s">
        <v>328</v>
      </c>
      <c r="B18" s="465">
        <v>50</v>
      </c>
      <c r="C18" s="465"/>
    </row>
    <row r="19" spans="1:3">
      <c r="A19" s="465" t="s">
        <v>330</v>
      </c>
      <c r="B19" s="465">
        <v>1000</v>
      </c>
      <c r="C19" s="465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zoomScale="88" zoomScaleNormal="88" workbookViewId="0">
      <selection activeCell="G123" sqref="G123"/>
    </sheetView>
  </sheetViews>
  <sheetFormatPr defaultColWidth="8.90625" defaultRowHeight="12.5" outlineLevelCol="1"/>
  <cols>
    <col min="1" max="1" width="4.54296875" style="387" customWidth="1"/>
    <col min="2" max="2" width="8.90625" style="387"/>
    <col min="3" max="3" width="19.36328125" style="387" customWidth="1"/>
    <col min="4" max="4" width="40" style="387" customWidth="1"/>
    <col min="5" max="5" width="2.54296875" style="387" customWidth="1"/>
    <col min="6" max="7" width="15.453125" style="387" customWidth="1"/>
    <col min="8" max="8" width="1.6328125" style="387" customWidth="1"/>
    <col min="9" max="10" width="15.453125" style="387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87" bestFit="1" customWidth="1"/>
    <col min="20" max="20" width="16.6328125" style="387" bestFit="1" customWidth="1"/>
    <col min="21" max="21" width="19.08984375" style="387" bestFit="1" customWidth="1"/>
    <col min="22" max="22" width="14.08984375" style="387" bestFit="1" customWidth="1"/>
    <col min="23" max="23" width="10" style="387" bestFit="1" customWidth="1"/>
    <col min="24" max="25" width="14.08984375" style="387" bestFit="1" customWidth="1"/>
    <col min="26" max="26" width="14.90625" style="387" bestFit="1" customWidth="1"/>
    <col min="27" max="16384" width="8.90625" style="387"/>
  </cols>
  <sheetData>
    <row r="1" spans="1:10" ht="13.5" customHeight="1">
      <c r="A1" s="43"/>
      <c r="B1" s="643"/>
      <c r="C1" s="644"/>
      <c r="D1" s="644"/>
      <c r="E1" s="644"/>
      <c r="F1" s="644"/>
      <c r="G1" s="644"/>
      <c r="H1" s="644"/>
      <c r="I1" s="644"/>
      <c r="J1" s="645"/>
    </row>
    <row r="2" spans="1:10" ht="14.25" customHeight="1">
      <c r="A2" s="43"/>
      <c r="B2" s="646"/>
      <c r="C2" s="647"/>
      <c r="D2" s="647"/>
      <c r="E2" s="647"/>
      <c r="F2" s="647"/>
      <c r="G2" s="647"/>
      <c r="H2" s="647"/>
      <c r="I2" s="647"/>
      <c r="J2" s="648"/>
    </row>
    <row r="3" spans="1:10" ht="15" customHeight="1" thickBot="1">
      <c r="A3" s="43"/>
      <c r="B3" s="649"/>
      <c r="C3" s="650"/>
      <c r="D3" s="650"/>
      <c r="E3" s="650"/>
      <c r="F3" s="650"/>
      <c r="G3" s="650"/>
      <c r="H3" s="650"/>
      <c r="I3" s="647"/>
      <c r="J3" s="648"/>
    </row>
    <row r="4" spans="1:10" ht="13">
      <c r="A4" s="43"/>
      <c r="B4" s="670"/>
      <c r="C4" s="671"/>
      <c r="D4" s="671"/>
      <c r="E4" s="671"/>
      <c r="F4" s="671"/>
      <c r="G4" s="671"/>
      <c r="H4" s="389"/>
      <c r="I4" s="390"/>
      <c r="J4" s="391"/>
    </row>
    <row r="5" spans="1:10" ht="16">
      <c r="A5" s="43"/>
      <c r="B5" s="672" t="s">
        <v>66</v>
      </c>
      <c r="C5" s="673"/>
      <c r="D5" s="673"/>
      <c r="E5" s="673"/>
      <c r="F5" s="673"/>
      <c r="G5" s="674"/>
      <c r="H5" s="392"/>
      <c r="I5" s="469" t="s">
        <v>16</v>
      </c>
      <c r="J5" s="494">
        <v>105.02</v>
      </c>
    </row>
    <row r="6" spans="1:10" ht="13.5" thickBot="1">
      <c r="A6" s="43"/>
      <c r="B6" s="675"/>
      <c r="C6" s="676"/>
      <c r="D6" s="677"/>
      <c r="E6" s="44"/>
      <c r="F6" s="668">
        <v>10.763999999999999</v>
      </c>
      <c r="G6" s="669"/>
      <c r="H6" s="393"/>
      <c r="I6" s="656">
        <v>10.763999999999999</v>
      </c>
      <c r="J6" s="657"/>
    </row>
    <row r="7" spans="1:10" ht="26">
      <c r="A7" s="43"/>
      <c r="B7" s="470" t="s">
        <v>67</v>
      </c>
      <c r="C7" s="678" t="s">
        <v>68</v>
      </c>
      <c r="D7" s="679"/>
      <c r="E7" s="471"/>
      <c r="F7" s="471" t="s">
        <v>299</v>
      </c>
      <c r="G7" s="471" t="str">
        <f>+F7</f>
        <v>As on
 01/01/2026</v>
      </c>
      <c r="H7" s="389"/>
      <c r="I7" s="470" t="str">
        <f>F7</f>
        <v>As on
 01/01/2026</v>
      </c>
      <c r="J7" s="472" t="str">
        <f>I7</f>
        <v>As on
 01/01/2026</v>
      </c>
    </row>
    <row r="8" spans="1:10" ht="13">
      <c r="A8" s="43"/>
      <c r="B8" s="473"/>
      <c r="C8" s="474"/>
      <c r="D8" s="475"/>
      <c r="E8" s="476"/>
      <c r="F8" s="602" t="s">
        <v>69</v>
      </c>
      <c r="G8" s="636"/>
      <c r="H8" s="392"/>
      <c r="I8" s="637" t="s">
        <v>63</v>
      </c>
      <c r="J8" s="638"/>
    </row>
    <row r="9" spans="1:10" ht="13">
      <c r="A9" s="43"/>
      <c r="B9" s="637" t="s">
        <v>70</v>
      </c>
      <c r="C9" s="636"/>
      <c r="D9" s="603"/>
      <c r="E9" s="477"/>
      <c r="F9" s="364" t="s">
        <v>71</v>
      </c>
      <c r="G9" s="364" t="s">
        <v>72</v>
      </c>
      <c r="H9" s="392"/>
      <c r="I9" s="369" t="s">
        <v>71</v>
      </c>
      <c r="J9" s="236" t="s">
        <v>72</v>
      </c>
    </row>
    <row r="10" spans="1:10" ht="27" customHeight="1">
      <c r="A10" s="43"/>
      <c r="B10" s="478">
        <v>1</v>
      </c>
      <c r="C10" s="651" t="s">
        <v>73</v>
      </c>
      <c r="D10" s="610"/>
      <c r="E10" s="479"/>
      <c r="F10" s="662" t="s">
        <v>295</v>
      </c>
      <c r="G10" s="663"/>
      <c r="H10" s="392"/>
      <c r="I10" s="658" t="str">
        <f>+F10</f>
        <v>Chennai</v>
      </c>
      <c r="J10" s="659"/>
    </row>
    <row r="11" spans="1:10" ht="28.5" customHeight="1">
      <c r="A11" s="43"/>
      <c r="B11" s="154">
        <f>1+B10</f>
        <v>2</v>
      </c>
      <c r="C11" s="652" t="s">
        <v>74</v>
      </c>
      <c r="D11" s="653"/>
      <c r="E11" s="42"/>
      <c r="F11" s="662"/>
      <c r="G11" s="663"/>
      <c r="H11" s="392"/>
      <c r="I11" s="660">
        <f>+F11</f>
        <v>0</v>
      </c>
      <c r="J11" s="661"/>
    </row>
    <row r="12" spans="1:10" ht="27.75" customHeight="1">
      <c r="A12" s="43"/>
      <c r="B12" s="154">
        <f>1+B11</f>
        <v>3</v>
      </c>
      <c r="C12" s="596" t="s">
        <v>75</v>
      </c>
      <c r="D12" s="595"/>
      <c r="E12" s="480"/>
      <c r="F12" s="664"/>
      <c r="G12" s="665"/>
      <c r="H12" s="392"/>
      <c r="I12" s="680">
        <f>+F12</f>
        <v>0</v>
      </c>
      <c r="J12" s="681"/>
    </row>
    <row r="13" spans="1:10" ht="15.9" customHeight="1">
      <c r="A13" s="43"/>
      <c r="B13" s="154">
        <f t="shared" ref="B13:B30" si="0">1+B12</f>
        <v>4</v>
      </c>
      <c r="C13" s="596" t="s">
        <v>76</v>
      </c>
      <c r="D13" s="595"/>
      <c r="E13" s="42"/>
      <c r="F13" s="667"/>
      <c r="G13" s="665"/>
      <c r="H13" s="392"/>
      <c r="I13" s="680"/>
      <c r="J13" s="681"/>
    </row>
    <row r="14" spans="1:10" ht="48" customHeight="1">
      <c r="A14" s="43"/>
      <c r="B14" s="154">
        <f t="shared" si="0"/>
        <v>5</v>
      </c>
      <c r="C14" s="654" t="s">
        <v>77</v>
      </c>
      <c r="D14" s="655"/>
      <c r="E14" s="464"/>
      <c r="F14" s="664" t="s">
        <v>296</v>
      </c>
      <c r="G14" s="666"/>
      <c r="H14" s="392"/>
      <c r="I14" s="680" t="str">
        <f>+F14</f>
        <v>6th floor</v>
      </c>
      <c r="J14" s="681"/>
    </row>
    <row r="15" spans="1:10" ht="51.75" customHeight="1">
      <c r="A15" s="43"/>
      <c r="B15" s="154">
        <f t="shared" si="0"/>
        <v>6</v>
      </c>
      <c r="C15" s="596" t="s">
        <v>78</v>
      </c>
      <c r="D15" s="595"/>
      <c r="E15" s="50"/>
      <c r="F15" s="602"/>
      <c r="G15" s="636"/>
      <c r="H15" s="392"/>
      <c r="I15" s="637">
        <f>+F15</f>
        <v>0</v>
      </c>
      <c r="J15" s="638"/>
    </row>
    <row r="16" spans="1:10" ht="15.9" customHeight="1">
      <c r="A16" s="43"/>
      <c r="B16" s="154">
        <f t="shared" si="0"/>
        <v>7</v>
      </c>
      <c r="C16" s="596" t="s">
        <v>79</v>
      </c>
      <c r="D16" s="595"/>
      <c r="E16" s="50"/>
      <c r="F16" s="667"/>
      <c r="G16" s="665"/>
      <c r="H16" s="392"/>
      <c r="I16" s="680"/>
      <c r="J16" s="681"/>
    </row>
    <row r="17" spans="1:10" ht="15.9" customHeight="1">
      <c r="A17" s="43"/>
      <c r="B17" s="154">
        <f t="shared" si="0"/>
        <v>8</v>
      </c>
      <c r="C17" s="596" t="s">
        <v>80</v>
      </c>
      <c r="D17" s="595"/>
      <c r="E17" s="50"/>
      <c r="F17" s="664" t="s">
        <v>81</v>
      </c>
      <c r="G17" s="665"/>
      <c r="H17" s="392"/>
      <c r="I17" s="680" t="str">
        <f>+F17</f>
        <v>Warm Shell</v>
      </c>
      <c r="J17" s="681"/>
    </row>
    <row r="18" spans="1:10" ht="48" customHeight="1">
      <c r="A18" s="43"/>
      <c r="B18" s="154">
        <f t="shared" si="0"/>
        <v>9</v>
      </c>
      <c r="C18" s="596" t="s">
        <v>82</v>
      </c>
      <c r="D18" s="595"/>
      <c r="E18" s="155"/>
      <c r="F18" s="602">
        <f>F15</f>
        <v>0</v>
      </c>
      <c r="G18" s="636"/>
      <c r="H18" s="392"/>
      <c r="I18" s="637">
        <f>+F18</f>
        <v>0</v>
      </c>
      <c r="J18" s="638"/>
    </row>
    <row r="19" spans="1:10" ht="15.9" customHeight="1">
      <c r="A19" s="43"/>
      <c r="B19" s="154">
        <f t="shared" si="0"/>
        <v>10</v>
      </c>
      <c r="C19" s="596" t="s">
        <v>83</v>
      </c>
      <c r="D19" s="595"/>
      <c r="E19" s="155"/>
      <c r="F19" s="667"/>
      <c r="G19" s="665"/>
      <c r="H19" s="392"/>
      <c r="I19" s="680"/>
      <c r="J19" s="681"/>
    </row>
    <row r="20" spans="1:10" ht="15.9" customHeight="1">
      <c r="A20" s="43"/>
      <c r="B20" s="154">
        <f t="shared" si="0"/>
        <v>11</v>
      </c>
      <c r="C20" s="594" t="s">
        <v>84</v>
      </c>
      <c r="D20" s="595"/>
      <c r="E20" s="482"/>
      <c r="F20" s="48"/>
      <c r="G20" s="376"/>
      <c r="H20" s="392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596" t="s">
        <v>85</v>
      </c>
      <c r="D21" s="595"/>
      <c r="E21" s="482"/>
      <c r="F21" s="48">
        <f>Main!B3</f>
        <v>9515</v>
      </c>
      <c r="G21" s="376">
        <f>F21/F6</f>
        <v>883.96506874767749</v>
      </c>
      <c r="H21" s="392"/>
      <c r="I21" s="125">
        <f>+F21</f>
        <v>9515</v>
      </c>
      <c r="J21" s="49">
        <f>I21/I6</f>
        <v>883.96506874767749</v>
      </c>
    </row>
    <row r="22" spans="1:10" ht="15.9" customHeight="1">
      <c r="A22" s="483"/>
      <c r="B22" s="154">
        <f t="shared" si="0"/>
        <v>13</v>
      </c>
      <c r="C22" s="594" t="s">
        <v>86</v>
      </c>
      <c r="D22" s="595"/>
      <c r="E22" s="482"/>
      <c r="F22" s="48">
        <v>0</v>
      </c>
      <c r="G22" s="375">
        <v>0</v>
      </c>
      <c r="H22" s="392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596" t="s">
        <v>87</v>
      </c>
      <c r="D23" s="595"/>
      <c r="E23" s="482"/>
      <c r="F23" s="48">
        <f>+F21+F22</f>
        <v>9515</v>
      </c>
      <c r="G23" s="376">
        <f>+G21+G22</f>
        <v>883.96506874767749</v>
      </c>
      <c r="H23" s="392"/>
      <c r="I23" s="125">
        <f>+I21+I22</f>
        <v>9515</v>
      </c>
      <c r="J23" s="49">
        <f>+J21+J22</f>
        <v>883.96506874767749</v>
      </c>
    </row>
    <row r="24" spans="1:10" ht="15.9" customHeight="1">
      <c r="A24" s="484"/>
      <c r="B24" s="154">
        <f t="shared" si="0"/>
        <v>15</v>
      </c>
      <c r="C24" s="596" t="s">
        <v>88</v>
      </c>
      <c r="D24" s="595"/>
      <c r="E24" s="51"/>
      <c r="F24" s="48"/>
      <c r="G24" s="376">
        <f>F24</f>
        <v>0</v>
      </c>
      <c r="H24" s="392"/>
      <c r="I24" s="125">
        <f>+F24</f>
        <v>0</v>
      </c>
      <c r="J24" s="49">
        <f>I24</f>
        <v>0</v>
      </c>
    </row>
    <row r="25" spans="1:10" ht="15.9" customHeight="1">
      <c r="A25" s="484"/>
      <c r="B25" s="154">
        <f t="shared" si="0"/>
        <v>16</v>
      </c>
      <c r="C25" s="596" t="s">
        <v>89</v>
      </c>
      <c r="D25" s="595"/>
      <c r="E25" s="51"/>
      <c r="F25" s="48">
        <v>0</v>
      </c>
      <c r="G25" s="376">
        <f>+G23*G26</f>
        <v>0</v>
      </c>
      <c r="H25" s="392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596" t="s">
        <v>90</v>
      </c>
      <c r="D26" s="595"/>
      <c r="E26" s="52"/>
      <c r="F26" s="53">
        <f>F25/F23</f>
        <v>0</v>
      </c>
      <c r="G26" s="187">
        <f>+F26</f>
        <v>0</v>
      </c>
      <c r="H26" s="392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594" t="s">
        <v>91</v>
      </c>
      <c r="D27" s="595"/>
      <c r="E27" s="50"/>
      <c r="F27" s="281">
        <f>'CAPEX and PM'!E3</f>
        <v>72</v>
      </c>
      <c r="G27" s="281">
        <f>+F27</f>
        <v>72</v>
      </c>
      <c r="H27" s="392"/>
      <c r="I27" s="281">
        <f>+F27</f>
        <v>72</v>
      </c>
      <c r="J27" s="281">
        <f>+I27</f>
        <v>72</v>
      </c>
    </row>
    <row r="28" spans="1:10" ht="15.9" customHeight="1">
      <c r="A28" s="43"/>
      <c r="B28" s="154">
        <f t="shared" si="0"/>
        <v>19</v>
      </c>
      <c r="C28" s="594" t="s">
        <v>92</v>
      </c>
      <c r="D28" s="595"/>
      <c r="E28" s="56"/>
      <c r="F28" s="56">
        <f>Main!B12</f>
        <v>0.105</v>
      </c>
      <c r="G28" s="188">
        <f>SUM(F28)</f>
        <v>0.105</v>
      </c>
      <c r="H28" s="392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594" t="s">
        <v>93</v>
      </c>
      <c r="D29" s="595"/>
      <c r="E29" s="56"/>
      <c r="F29" s="52">
        <f>Main!B13</f>
        <v>7.1099999999999997E-2</v>
      </c>
      <c r="G29" s="189">
        <f>F29</f>
        <v>7.1099999999999997E-2</v>
      </c>
      <c r="H29" s="392"/>
      <c r="I29" s="173">
        <f>F29</f>
        <v>7.1099999999999997E-2</v>
      </c>
      <c r="J29" s="172">
        <f>I29</f>
        <v>7.1099999999999997E-2</v>
      </c>
    </row>
    <row r="30" spans="1:10" ht="15.9" customHeight="1">
      <c r="A30" s="43"/>
      <c r="B30" s="154">
        <f t="shared" si="0"/>
        <v>21</v>
      </c>
      <c r="C30" s="596" t="s">
        <v>94</v>
      </c>
      <c r="D30" s="595"/>
      <c r="E30" s="50"/>
      <c r="F30" s="48">
        <v>0</v>
      </c>
      <c r="G30" s="376">
        <f>F30</f>
        <v>0</v>
      </c>
      <c r="H30" s="392"/>
      <c r="I30" s="125">
        <f>+F30/J5</f>
        <v>0</v>
      </c>
      <c r="J30" s="49">
        <f>+G30/J5</f>
        <v>0</v>
      </c>
    </row>
    <row r="31" spans="1:10" ht="15.9" customHeight="1">
      <c r="A31" s="43"/>
      <c r="B31" s="682" t="s">
        <v>95</v>
      </c>
      <c r="C31" s="683"/>
      <c r="D31" s="684"/>
      <c r="E31" s="485"/>
      <c r="F31" s="364" t="s">
        <v>71</v>
      </c>
      <c r="G31" s="364" t="s">
        <v>72</v>
      </c>
      <c r="H31" s="392"/>
      <c r="I31" s="369" t="s">
        <v>71</v>
      </c>
      <c r="J31" s="236" t="s">
        <v>72</v>
      </c>
    </row>
    <row r="32" spans="1:10" ht="15.9" customHeight="1">
      <c r="A32" s="43"/>
      <c r="B32" s="154">
        <v>1</v>
      </c>
      <c r="C32" s="594" t="s">
        <v>96</v>
      </c>
      <c r="D32" s="595"/>
      <c r="E32" s="51"/>
      <c r="F32" s="48">
        <f>Main!B9/(Main!B3*Main!B7)</f>
        <v>10</v>
      </c>
      <c r="G32" s="192">
        <f>+F32</f>
        <v>10</v>
      </c>
      <c r="H32" s="392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594" t="s">
        <v>97</v>
      </c>
      <c r="D33" s="595"/>
      <c r="E33" s="51"/>
      <c r="F33" s="48">
        <v>0</v>
      </c>
      <c r="G33" s="376">
        <f>+F33</f>
        <v>0</v>
      </c>
      <c r="H33" s="392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594" t="s">
        <v>98</v>
      </c>
      <c r="D34" s="595"/>
      <c r="E34" s="51"/>
      <c r="F34" s="48">
        <v>0</v>
      </c>
      <c r="G34" s="376">
        <f>F34</f>
        <v>0</v>
      </c>
      <c r="H34" s="392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596" t="s">
        <v>99</v>
      </c>
      <c r="D35" s="595"/>
      <c r="E35" s="486"/>
      <c r="F35" s="60">
        <v>0</v>
      </c>
      <c r="G35" s="191">
        <v>0</v>
      </c>
      <c r="H35" s="392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594" t="s">
        <v>100</v>
      </c>
      <c r="D36" s="595"/>
      <c r="E36" s="486"/>
      <c r="F36" s="62">
        <f>'Lease Rent'!H37</f>
        <v>120</v>
      </c>
      <c r="G36" s="376">
        <f>+F36*F6</f>
        <v>1291.6799999999998</v>
      </c>
      <c r="H36" s="392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594" t="s">
        <v>101</v>
      </c>
      <c r="D37" s="595"/>
      <c r="E37" s="486"/>
      <c r="F37" s="62"/>
      <c r="G37" s="192">
        <f>F37*F3</f>
        <v>0</v>
      </c>
      <c r="H37" s="392"/>
      <c r="I37" s="130"/>
      <c r="J37" s="49"/>
    </row>
    <row r="38" spans="1:10" ht="15.9" customHeight="1">
      <c r="A38" s="43"/>
      <c r="B38" s="154">
        <f t="shared" si="1"/>
        <v>7</v>
      </c>
      <c r="C38" s="594" t="s">
        <v>102</v>
      </c>
      <c r="D38" s="595"/>
      <c r="E38" s="63"/>
      <c r="F38" s="62">
        <f>'Lease Rent'!J31</f>
        <v>15.48</v>
      </c>
      <c r="G38" s="192">
        <f>F38*F6</f>
        <v>166.62672000000001</v>
      </c>
      <c r="H38" s="392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594" t="s">
        <v>103</v>
      </c>
      <c r="D39" s="595"/>
      <c r="E39" s="486"/>
      <c r="F39" s="62">
        <f>F36</f>
        <v>120</v>
      </c>
      <c r="G39" s="376">
        <f>F39*F6</f>
        <v>1291.6799999999998</v>
      </c>
      <c r="H39" s="392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594" t="s">
        <v>104</v>
      </c>
      <c r="D40" s="595"/>
      <c r="E40" s="486"/>
      <c r="F40" s="62">
        <v>0</v>
      </c>
      <c r="G40" s="192">
        <f>F40*F6</f>
        <v>0</v>
      </c>
      <c r="H40" s="392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594" t="s">
        <v>105</v>
      </c>
      <c r="D41" s="595"/>
      <c r="E41" s="50"/>
      <c r="F41" s="106">
        <f>F38</f>
        <v>15.48</v>
      </c>
      <c r="G41" s="192">
        <f>F41*F6</f>
        <v>166.62672000000001</v>
      </c>
      <c r="H41" s="392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596" t="s">
        <v>106</v>
      </c>
      <c r="D42" s="595"/>
      <c r="E42" s="51"/>
      <c r="F42" s="101">
        <v>0</v>
      </c>
      <c r="G42" s="376">
        <f>+F42</f>
        <v>0</v>
      </c>
      <c r="H42" s="392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596" t="s">
        <v>107</v>
      </c>
      <c r="D43" s="595"/>
      <c r="E43" s="65"/>
      <c r="F43" s="60">
        <f>'Lease Rent'!D22</f>
        <v>80</v>
      </c>
      <c r="G43" s="191">
        <f>F43</f>
        <v>80</v>
      </c>
      <c r="H43" s="392"/>
      <c r="I43" s="129">
        <f>+F43</f>
        <v>80</v>
      </c>
      <c r="J43" s="61">
        <f>I43</f>
        <v>80</v>
      </c>
    </row>
    <row r="44" spans="1:10" ht="15.9" customHeight="1">
      <c r="A44" s="484"/>
      <c r="B44" s="154">
        <f t="shared" si="1"/>
        <v>13</v>
      </c>
      <c r="C44" s="596" t="s">
        <v>108</v>
      </c>
      <c r="D44" s="595"/>
      <c r="E44" s="51"/>
      <c r="F44" s="48">
        <f>'Lease Rent'!C22</f>
        <v>1500</v>
      </c>
      <c r="G44" s="376">
        <f>F44</f>
        <v>1500</v>
      </c>
      <c r="H44" s="392"/>
      <c r="I44" s="130">
        <f>+F44/$J$5</f>
        <v>14.282993715482766</v>
      </c>
      <c r="J44" s="61">
        <f>I44</f>
        <v>14.282993715482766</v>
      </c>
    </row>
    <row r="45" spans="1:10" ht="15.9" customHeight="1">
      <c r="A45" s="484"/>
      <c r="B45" s="154">
        <f t="shared" si="1"/>
        <v>14</v>
      </c>
      <c r="C45" s="594" t="s">
        <v>109</v>
      </c>
      <c r="D45" s="595"/>
      <c r="E45" s="51"/>
      <c r="F45" s="101">
        <v>0</v>
      </c>
      <c r="G45" s="376">
        <f>+F45</f>
        <v>0</v>
      </c>
      <c r="H45" s="392"/>
      <c r="I45" s="125"/>
      <c r="J45" s="49">
        <f>+I45</f>
        <v>0</v>
      </c>
    </row>
    <row r="46" spans="1:10" ht="15.9" customHeight="1">
      <c r="A46" s="484"/>
      <c r="B46" s="154">
        <f t="shared" si="1"/>
        <v>15</v>
      </c>
      <c r="C46" s="596" t="s">
        <v>331</v>
      </c>
      <c r="D46" s="595"/>
      <c r="E46" s="51"/>
      <c r="F46" s="48">
        <f>'Lease Rent'!D23</f>
        <v>50</v>
      </c>
      <c r="G46" s="376"/>
      <c r="H46" s="392"/>
      <c r="I46" s="125"/>
      <c r="J46" s="49"/>
    </row>
    <row r="47" spans="1:10" ht="15.9" customHeight="1">
      <c r="A47" s="484"/>
      <c r="B47" s="154">
        <f t="shared" si="1"/>
        <v>16</v>
      </c>
      <c r="C47" s="596" t="s">
        <v>332</v>
      </c>
      <c r="D47" s="595"/>
      <c r="E47" s="51"/>
      <c r="F47" s="48">
        <f>'Lease Rent'!C23</f>
        <v>1000</v>
      </c>
      <c r="G47" s="376"/>
      <c r="H47" s="392"/>
      <c r="I47" s="125"/>
      <c r="J47" s="49"/>
    </row>
    <row r="48" spans="1:10" ht="28.5" customHeight="1">
      <c r="A48" s="43"/>
      <c r="B48" s="641">
        <f>1+B47</f>
        <v>17</v>
      </c>
      <c r="C48" s="594" t="s">
        <v>110</v>
      </c>
      <c r="D48" s="595"/>
      <c r="E48" s="65"/>
      <c r="F48" s="687" t="str">
        <f>Main!B14</f>
        <v>15% every 3 years</v>
      </c>
      <c r="G48" s="688"/>
      <c r="H48" s="392"/>
      <c r="I48" s="680" t="str">
        <f>+F48</f>
        <v>15% every 3 years</v>
      </c>
      <c r="J48" s="681"/>
    </row>
    <row r="49" spans="1:18" ht="15.9" customHeight="1">
      <c r="A49" s="43"/>
      <c r="B49" s="642"/>
      <c r="C49" s="594" t="s">
        <v>111</v>
      </c>
      <c r="D49" s="595"/>
      <c r="E49" s="65"/>
      <c r="F49" s="687" t="str">
        <f>Main!B15</f>
        <v>5% every years</v>
      </c>
      <c r="G49" s="688"/>
      <c r="H49" s="392"/>
      <c r="I49" s="685" t="str">
        <f t="shared" ref="I49:I56" si="2">F49</f>
        <v>5% every years</v>
      </c>
      <c r="J49" s="686"/>
    </row>
    <row r="50" spans="1:18" ht="15.9" customHeight="1">
      <c r="A50" s="43"/>
      <c r="B50" s="154">
        <f>1+B48</f>
        <v>18</v>
      </c>
      <c r="C50" s="596" t="s">
        <v>112</v>
      </c>
      <c r="D50" s="595"/>
      <c r="E50" s="65"/>
      <c r="F50" s="632">
        <f>'Lease Rent'!B31</f>
        <v>46023</v>
      </c>
      <c r="G50" s="633"/>
      <c r="H50" s="392"/>
      <c r="I50" s="634">
        <f t="shared" si="2"/>
        <v>46023</v>
      </c>
      <c r="J50" s="635"/>
    </row>
    <row r="51" spans="1:18" ht="15.9" customHeight="1">
      <c r="A51" s="43"/>
      <c r="B51" s="154">
        <f t="shared" ref="B51:B57" si="3">1+B50</f>
        <v>19</v>
      </c>
      <c r="C51" s="594" t="s">
        <v>113</v>
      </c>
      <c r="D51" s="595"/>
      <c r="E51" s="65"/>
      <c r="F51" s="632">
        <f>'Lease Rent'!C102</f>
        <v>48213</v>
      </c>
      <c r="G51" s="633"/>
      <c r="H51" s="392"/>
      <c r="I51" s="634">
        <f>F51</f>
        <v>48213</v>
      </c>
      <c r="J51" s="635"/>
    </row>
    <row r="52" spans="1:18" ht="15.9" customHeight="1">
      <c r="A52" s="43"/>
      <c r="B52" s="154">
        <f t="shared" si="3"/>
        <v>20</v>
      </c>
      <c r="C52" s="594" t="s">
        <v>114</v>
      </c>
      <c r="D52" s="604"/>
      <c r="E52" s="65"/>
      <c r="F52" s="632">
        <f>F50</f>
        <v>46023</v>
      </c>
      <c r="G52" s="633"/>
      <c r="H52" s="392"/>
      <c r="I52" s="634">
        <f t="shared" si="2"/>
        <v>46023</v>
      </c>
      <c r="J52" s="635"/>
    </row>
    <row r="53" spans="1:18" ht="15.9" customHeight="1">
      <c r="A53" s="43"/>
      <c r="B53" s="154">
        <f t="shared" si="3"/>
        <v>21</v>
      </c>
      <c r="C53" s="594" t="s">
        <v>115</v>
      </c>
      <c r="D53" s="604"/>
      <c r="E53" s="65"/>
      <c r="F53" s="602">
        <v>0</v>
      </c>
      <c r="G53" s="636"/>
      <c r="H53" s="392"/>
      <c r="I53" s="637">
        <f>+F53</f>
        <v>0</v>
      </c>
      <c r="J53" s="638"/>
    </row>
    <row r="54" spans="1:18" ht="15.9" customHeight="1">
      <c r="A54" s="43"/>
      <c r="B54" s="154">
        <f t="shared" si="3"/>
        <v>22</v>
      </c>
      <c r="C54" s="596" t="s">
        <v>116</v>
      </c>
      <c r="D54" s="595"/>
      <c r="E54" s="50"/>
      <c r="F54" s="48">
        <f>(F51-F50)/365*12</f>
        <v>72</v>
      </c>
      <c r="G54" s="376">
        <f>F54</f>
        <v>72</v>
      </c>
      <c r="H54" s="392"/>
      <c r="I54" s="125">
        <f t="shared" si="2"/>
        <v>72</v>
      </c>
      <c r="J54" s="49">
        <f>I54</f>
        <v>72</v>
      </c>
      <c r="R54" s="532"/>
    </row>
    <row r="55" spans="1:18" ht="15.9" customHeight="1">
      <c r="A55" s="43"/>
      <c r="B55" s="154">
        <f t="shared" si="3"/>
        <v>23</v>
      </c>
      <c r="C55" s="596" t="s">
        <v>117</v>
      </c>
      <c r="D55" s="595"/>
      <c r="E55" s="63"/>
      <c r="F55" s="48">
        <v>0</v>
      </c>
      <c r="G55" s="376">
        <f>F55</f>
        <v>0</v>
      </c>
      <c r="H55" s="392"/>
      <c r="I55" s="125">
        <f t="shared" si="2"/>
        <v>0</v>
      </c>
      <c r="J55" s="49">
        <f>I55</f>
        <v>0</v>
      </c>
      <c r="R55" s="532"/>
    </row>
    <row r="56" spans="1:18" ht="15.9" customHeight="1">
      <c r="A56" s="43"/>
      <c r="B56" s="154">
        <f t="shared" si="3"/>
        <v>24</v>
      </c>
      <c r="C56" s="596" t="s">
        <v>118</v>
      </c>
      <c r="D56" s="595"/>
      <c r="E56" s="63"/>
      <c r="F56" s="290" t="s">
        <v>64</v>
      </c>
      <c r="G56" s="376" t="str">
        <f>+F56</f>
        <v xml:space="preserve"> </v>
      </c>
      <c r="H56" s="392"/>
      <c r="I56" s="125" t="str">
        <f t="shared" si="2"/>
        <v xml:space="preserve"> </v>
      </c>
      <c r="J56" s="49" t="str">
        <f>+I56</f>
        <v xml:space="preserve"> </v>
      </c>
      <c r="R56" s="532"/>
    </row>
    <row r="57" spans="1:18" ht="15.9" customHeight="1">
      <c r="A57" s="43"/>
      <c r="B57" s="154">
        <f t="shared" si="3"/>
        <v>25</v>
      </c>
      <c r="C57" s="596" t="s">
        <v>119</v>
      </c>
      <c r="D57" s="595"/>
      <c r="E57" s="63"/>
      <c r="F57" s="48"/>
      <c r="G57" s="376"/>
      <c r="H57" s="392"/>
      <c r="I57" s="125"/>
      <c r="J57" s="49"/>
      <c r="R57" s="532"/>
    </row>
    <row r="58" spans="1:18" ht="15.9" customHeight="1">
      <c r="A58" s="43"/>
      <c r="B58" s="369"/>
      <c r="C58" s="66"/>
      <c r="D58" s="66"/>
      <c r="E58" s="50"/>
      <c r="F58" s="602" t="s">
        <v>69</v>
      </c>
      <c r="G58" s="636"/>
      <c r="H58" s="392"/>
      <c r="I58" s="637" t="s">
        <v>63</v>
      </c>
      <c r="J58" s="638"/>
    </row>
    <row r="59" spans="1:18" ht="15.9" customHeight="1">
      <c r="A59" s="43"/>
      <c r="B59" s="639" t="s">
        <v>120</v>
      </c>
      <c r="C59" s="640"/>
      <c r="D59" s="640"/>
      <c r="E59" s="485"/>
      <c r="F59" s="364" t="s">
        <v>71</v>
      </c>
      <c r="G59" s="364" t="s">
        <v>72</v>
      </c>
      <c r="H59" s="392"/>
      <c r="I59" s="369" t="s">
        <v>71</v>
      </c>
      <c r="J59" s="236" t="s">
        <v>72</v>
      </c>
    </row>
    <row r="60" spans="1:18" ht="15.9" customHeight="1">
      <c r="A60" s="483"/>
      <c r="B60" s="154">
        <v>1</v>
      </c>
      <c r="C60" s="594" t="s">
        <v>121</v>
      </c>
      <c r="D60" s="595"/>
      <c r="E60" s="487"/>
      <c r="F60" s="62">
        <f>C220/F21/F54</f>
        <v>129</v>
      </c>
      <c r="G60" s="376">
        <f>+F60*F6</f>
        <v>1388.5559999999998</v>
      </c>
      <c r="H60" s="392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3"/>
      <c r="B61" s="154">
        <f>1+B60</f>
        <v>2</v>
      </c>
      <c r="C61" s="594" t="s">
        <v>122</v>
      </c>
      <c r="D61" s="595"/>
      <c r="E61" s="487"/>
      <c r="F61" s="62">
        <v>0</v>
      </c>
      <c r="G61" s="376">
        <v>0</v>
      </c>
      <c r="H61" s="392"/>
      <c r="I61" s="130">
        <f>+F61/$J$5</f>
        <v>0</v>
      </c>
      <c r="J61" s="49">
        <f>G61/J5</f>
        <v>0</v>
      </c>
    </row>
    <row r="62" spans="1:18" ht="15.9" customHeight="1">
      <c r="A62" s="488"/>
      <c r="B62" s="154">
        <f t="shared" ref="B62:B83" si="4">1+B61</f>
        <v>3</v>
      </c>
      <c r="C62" s="597" t="s">
        <v>123</v>
      </c>
      <c r="D62" s="598"/>
      <c r="E62" s="67"/>
      <c r="F62" s="68">
        <f>F60+F61</f>
        <v>129</v>
      </c>
      <c r="G62" s="194">
        <f>+G60+G61</f>
        <v>1388.5559999999998</v>
      </c>
      <c r="H62" s="392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594" t="s">
        <v>317</v>
      </c>
      <c r="D63" s="595"/>
      <c r="E63" s="48"/>
      <c r="F63" s="46">
        <f>F62*F21</f>
        <v>1227435</v>
      </c>
      <c r="G63" s="373">
        <f>+F63</f>
        <v>1227435</v>
      </c>
      <c r="H63" s="392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594" t="s">
        <v>124</v>
      </c>
      <c r="D64" s="595"/>
      <c r="E64" s="48"/>
      <c r="F64" s="62">
        <f>I220/F21/F54</f>
        <v>17.548935056250006</v>
      </c>
      <c r="G64" s="376">
        <f>+F64*F6</f>
        <v>188.89673694547506</v>
      </c>
      <c r="H64" s="392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89"/>
      <c r="B65" s="154">
        <f t="shared" si="4"/>
        <v>6</v>
      </c>
      <c r="C65" s="596" t="s">
        <v>318</v>
      </c>
      <c r="D65" s="595"/>
      <c r="E65" s="63"/>
      <c r="F65" s="46">
        <f>+F64*F21</f>
        <v>166978.11706021879</v>
      </c>
      <c r="G65" s="46">
        <f>+G64*G21*1.01</f>
        <v>168647.89823082101</v>
      </c>
      <c r="H65" s="392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596" t="s">
        <v>319</v>
      </c>
      <c r="D66" s="595"/>
      <c r="E66" s="51"/>
      <c r="F66" s="48">
        <f>(+G220/F54)</f>
        <v>182750</v>
      </c>
      <c r="G66" s="376">
        <f>+F66</f>
        <v>182750</v>
      </c>
      <c r="H66" s="392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596" t="s">
        <v>125</v>
      </c>
      <c r="D67" s="595"/>
      <c r="E67" s="48"/>
      <c r="F67" s="48">
        <f>Main!B9</f>
        <v>11418000</v>
      </c>
      <c r="G67" s="376">
        <f>F67</f>
        <v>11418000</v>
      </c>
      <c r="H67" s="392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596" t="s">
        <v>126</v>
      </c>
      <c r="D68" s="595"/>
      <c r="E68" s="48"/>
      <c r="F68" s="48">
        <v>0</v>
      </c>
      <c r="G68" s="376">
        <f>F68</f>
        <v>0</v>
      </c>
      <c r="H68" s="392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594" t="s">
        <v>127</v>
      </c>
      <c r="D69" s="595"/>
      <c r="E69" s="48"/>
      <c r="F69" s="48">
        <v>500000</v>
      </c>
      <c r="G69" s="376">
        <f>+F69</f>
        <v>500000</v>
      </c>
      <c r="H69" s="392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596" t="s">
        <v>128</v>
      </c>
      <c r="D70" s="595"/>
      <c r="E70" s="48"/>
      <c r="F70" s="46">
        <v>0</v>
      </c>
      <c r="G70" s="373"/>
      <c r="H70" s="392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596" t="s">
        <v>129</v>
      </c>
      <c r="D71" s="595"/>
      <c r="E71" s="48"/>
      <c r="F71" s="46">
        <f>F38*F23*F33</f>
        <v>0</v>
      </c>
      <c r="G71" s="193">
        <f>F71</f>
        <v>0</v>
      </c>
      <c r="H71" s="392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596" t="s">
        <v>130</v>
      </c>
      <c r="D72" s="595"/>
      <c r="E72" s="48"/>
      <c r="F72" s="48">
        <v>0</v>
      </c>
      <c r="G72" s="191">
        <f>+F72</f>
        <v>0</v>
      </c>
      <c r="H72" s="392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594" t="s">
        <v>131</v>
      </c>
      <c r="D73" s="595"/>
      <c r="E73" s="486"/>
      <c r="F73" s="60">
        <f>+F35*F63</f>
        <v>0</v>
      </c>
      <c r="G73" s="191">
        <f>G35*G63</f>
        <v>0</v>
      </c>
      <c r="H73" s="392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2" t="s">
        <v>132</v>
      </c>
      <c r="D74" s="463"/>
      <c r="E74" s="486"/>
      <c r="F74" s="344">
        <f>F119</f>
        <v>699.78</v>
      </c>
      <c r="G74" s="448">
        <v>0</v>
      </c>
      <c r="H74" s="392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594" t="s">
        <v>133</v>
      </c>
      <c r="D75" s="595"/>
      <c r="E75" s="51"/>
      <c r="F75" s="48">
        <f>+F77/F23</f>
        <v>1471.3610089332633</v>
      </c>
      <c r="G75" s="191">
        <f>+G77/G23</f>
        <v>15837.729900157645</v>
      </c>
      <c r="H75" s="392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594" t="s">
        <v>134</v>
      </c>
      <c r="D76" s="595"/>
      <c r="E76" s="63"/>
      <c r="F76" s="43"/>
      <c r="G76" s="481"/>
      <c r="H76" s="392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594" t="s">
        <v>135</v>
      </c>
      <c r="D77" s="595"/>
      <c r="E77" s="63"/>
      <c r="F77" s="48">
        <f>'CAPEX and PM'!B6</f>
        <v>14000000</v>
      </c>
      <c r="G77" s="376">
        <f>F77</f>
        <v>14000000</v>
      </c>
      <c r="H77" s="392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594" t="s">
        <v>136</v>
      </c>
      <c r="D78" s="595"/>
      <c r="E78" s="63"/>
      <c r="F78" s="48">
        <f>'CAPEX and PM'!B37</f>
        <v>43000000</v>
      </c>
      <c r="G78" s="376">
        <f>+F78</f>
        <v>43000000</v>
      </c>
      <c r="H78" s="392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594" t="s">
        <v>137</v>
      </c>
      <c r="D79" s="595"/>
      <c r="E79" s="63"/>
      <c r="F79" s="48">
        <f>+'CAPEX and PM'!B104</f>
        <v>2500000</v>
      </c>
      <c r="G79" s="376">
        <f>F79</f>
        <v>2500000</v>
      </c>
      <c r="H79" s="392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594" t="s">
        <v>138</v>
      </c>
      <c r="D80" s="595"/>
      <c r="E80" s="63"/>
      <c r="F80" s="48"/>
      <c r="G80" s="376"/>
      <c r="H80" s="392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594" t="s">
        <v>139</v>
      </c>
      <c r="D81" s="604"/>
      <c r="E81" s="63"/>
      <c r="F81" s="48"/>
      <c r="G81" s="376"/>
      <c r="H81" s="392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594" t="s">
        <v>140</v>
      </c>
      <c r="D82" s="595"/>
      <c r="E82" s="51"/>
      <c r="F82" s="48">
        <f>+G207</f>
        <v>565315.30184775486</v>
      </c>
      <c r="G82" s="376">
        <f>+F82</f>
        <v>565315.30184775486</v>
      </c>
      <c r="H82" s="392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594" t="s">
        <v>320</v>
      </c>
      <c r="D83" s="595"/>
      <c r="E83" s="486"/>
      <c r="F83" s="48">
        <f>+F30</f>
        <v>0</v>
      </c>
      <c r="G83" s="376">
        <f>+F83</f>
        <v>0</v>
      </c>
      <c r="H83" s="392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2"/>
      <c r="I84" s="86"/>
      <c r="J84" s="73"/>
    </row>
    <row r="85" spans="1:24" ht="15.9" customHeight="1">
      <c r="A85" s="43"/>
      <c r="B85" s="616" t="s">
        <v>141</v>
      </c>
      <c r="C85" s="617"/>
      <c r="D85" s="618"/>
      <c r="E85" s="377"/>
      <c r="F85" s="153" t="s">
        <v>71</v>
      </c>
      <c r="G85" s="153" t="s">
        <v>72</v>
      </c>
      <c r="H85" s="392"/>
      <c r="I85" s="362" t="s">
        <v>71</v>
      </c>
      <c r="J85" s="45" t="s">
        <v>72</v>
      </c>
    </row>
    <row r="86" spans="1:24" ht="15.9" customHeight="1">
      <c r="A86" s="69"/>
      <c r="B86" s="154">
        <v>1</v>
      </c>
      <c r="C86" s="594" t="s">
        <v>142</v>
      </c>
      <c r="D86" s="595"/>
      <c r="E86" s="63"/>
      <c r="F86" s="62">
        <f>+F62</f>
        <v>129</v>
      </c>
      <c r="G86" s="192">
        <f>+G62</f>
        <v>1388.5559999999998</v>
      </c>
      <c r="H86" s="392"/>
      <c r="I86" s="130">
        <f>+F86/J5</f>
        <v>1.228337459531518</v>
      </c>
      <c r="J86" s="64">
        <f>G86/J5</f>
        <v>13.221824414397256</v>
      </c>
      <c r="S86" s="388"/>
      <c r="T86" s="388"/>
      <c r="X86" s="394"/>
    </row>
    <row r="87" spans="1:24" ht="15.9" customHeight="1">
      <c r="A87" s="43"/>
      <c r="B87" s="154">
        <f>1+B86</f>
        <v>2</v>
      </c>
      <c r="C87" s="596" t="s">
        <v>143</v>
      </c>
      <c r="D87" s="595"/>
      <c r="E87" s="65"/>
      <c r="F87" s="48">
        <v>0</v>
      </c>
      <c r="G87" s="376">
        <v>0</v>
      </c>
      <c r="H87" s="392"/>
      <c r="I87" s="125">
        <v>0</v>
      </c>
      <c r="J87" s="49">
        <v>0</v>
      </c>
      <c r="T87" s="388"/>
    </row>
    <row r="88" spans="1:24" ht="15.9" customHeight="1">
      <c r="A88" s="43"/>
      <c r="B88" s="154">
        <f t="shared" ref="B88:B94" si="7">+B87+1</f>
        <v>3</v>
      </c>
      <c r="C88" s="596" t="s">
        <v>144</v>
      </c>
      <c r="D88" s="595"/>
      <c r="E88" s="65"/>
      <c r="F88" s="62">
        <f>(F66/F23)</f>
        <v>19.206516027325275</v>
      </c>
      <c r="G88" s="192">
        <f>+F88*F6</f>
        <v>206.73893851812926</v>
      </c>
      <c r="H88" s="392"/>
      <c r="I88" s="130">
        <f>+F88/J5</f>
        <v>0.1828843651430706</v>
      </c>
      <c r="J88" s="64">
        <f>+I88*I6</f>
        <v>1.9685673064000118</v>
      </c>
      <c r="S88" s="388"/>
      <c r="T88" s="388"/>
    </row>
    <row r="89" spans="1:24" ht="15.9" customHeight="1">
      <c r="A89" s="43"/>
      <c r="B89" s="154">
        <f t="shared" si="7"/>
        <v>4</v>
      </c>
      <c r="C89" s="596" t="s">
        <v>145</v>
      </c>
      <c r="D89" s="595"/>
      <c r="E89" s="65"/>
      <c r="F89" s="58">
        <f>'Security Deposit'!C17</f>
        <v>10.729900157645822</v>
      </c>
      <c r="G89" s="190">
        <f>F89*F6</f>
        <v>115.49664529689963</v>
      </c>
      <c r="H89" s="392"/>
      <c r="I89" s="130">
        <f>F89/$J$5</f>
        <v>0.10217006434627521</v>
      </c>
      <c r="J89" s="64">
        <f>I89*I6</f>
        <v>1.0997585726233063</v>
      </c>
      <c r="S89" s="388"/>
      <c r="T89" s="388"/>
    </row>
    <row r="90" spans="1:24" ht="15.9" customHeight="1">
      <c r="A90" s="43"/>
      <c r="B90" s="154">
        <f t="shared" si="7"/>
        <v>5</v>
      </c>
      <c r="C90" s="596" t="s">
        <v>285</v>
      </c>
      <c r="D90" s="595"/>
      <c r="E90" s="65"/>
      <c r="F90" s="190">
        <f>+F64</f>
        <v>17.548935056250006</v>
      </c>
      <c r="G90" s="376">
        <f>+F90*$F$6</f>
        <v>188.89673694547506</v>
      </c>
      <c r="H90" s="392"/>
      <c r="I90" s="130">
        <f>F90/$J$5</f>
        <v>0.16710088608122267</v>
      </c>
      <c r="J90" s="64">
        <f>I90*I6</f>
        <v>1.7986739377782808</v>
      </c>
      <c r="S90" s="388"/>
      <c r="T90" s="388"/>
    </row>
    <row r="91" spans="1:24" ht="15.9" customHeight="1">
      <c r="A91" s="157"/>
      <c r="B91" s="154">
        <f>+B89+1</f>
        <v>5</v>
      </c>
      <c r="C91" s="596" t="s">
        <v>146</v>
      </c>
      <c r="D91" s="595"/>
      <c r="E91" s="65"/>
      <c r="F91" s="58">
        <f>(+F83/F21/F54)</f>
        <v>0</v>
      </c>
      <c r="G91" s="190">
        <f>(+G83/G21/G54)</f>
        <v>0</v>
      </c>
      <c r="H91" s="392"/>
      <c r="I91" s="130">
        <f>F91/$J$5</f>
        <v>0</v>
      </c>
      <c r="J91" s="64">
        <f>+I91*$I$6</f>
        <v>0</v>
      </c>
      <c r="T91" s="388"/>
    </row>
    <row r="92" spans="1:24" ht="15.9" customHeight="1">
      <c r="A92" s="43"/>
      <c r="B92" s="154">
        <f t="shared" si="7"/>
        <v>6</v>
      </c>
      <c r="C92" s="596" t="s">
        <v>147</v>
      </c>
      <c r="D92" s="595"/>
      <c r="E92" s="65"/>
      <c r="F92" s="58">
        <f>F82/F21/F54</f>
        <v>0.82518144136123495</v>
      </c>
      <c r="G92" s="190">
        <f>G82/G21/G54</f>
        <v>8.882253034812333</v>
      </c>
      <c r="H92" s="392"/>
      <c r="I92" s="130">
        <f>+F92/J5</f>
        <v>7.8573742273970199E-3</v>
      </c>
      <c r="J92" s="64">
        <f>+I92*$I$6</f>
        <v>8.4576776183701519E-2</v>
      </c>
      <c r="S92" s="388"/>
      <c r="T92" s="388"/>
    </row>
    <row r="93" spans="1:24" ht="15.9" customHeight="1">
      <c r="A93" s="43"/>
      <c r="B93" s="154">
        <f t="shared" si="7"/>
        <v>7</v>
      </c>
      <c r="C93" s="594" t="s">
        <v>148</v>
      </c>
      <c r="D93" s="595"/>
      <c r="E93" s="63"/>
      <c r="F93" s="58">
        <f>+G93/F6</f>
        <v>21.957509844757084</v>
      </c>
      <c r="G93" s="190">
        <f>(+SUM(G86:G92)+G103)*7%</f>
        <v>236.35063596896524</v>
      </c>
      <c r="H93" s="392"/>
      <c r="I93" s="130">
        <f>+F93/J5</f>
        <v>0.2090793167468776</v>
      </c>
      <c r="J93" s="59">
        <f>I93*I6</f>
        <v>2.2505297654633902</v>
      </c>
      <c r="S93" s="388"/>
      <c r="T93" s="388"/>
    </row>
    <row r="94" spans="1:24" ht="15.9" customHeight="1">
      <c r="A94" s="43"/>
      <c r="B94" s="154">
        <f t="shared" si="7"/>
        <v>8</v>
      </c>
      <c r="C94" s="597" t="s">
        <v>65</v>
      </c>
      <c r="D94" s="598"/>
      <c r="E94" s="70"/>
      <c r="F94" s="201">
        <f>SUM(F86:F93)</f>
        <v>199.26804252733942</v>
      </c>
      <c r="G94" s="46">
        <f>SUM(G86:G93)</f>
        <v>2144.9212097642817</v>
      </c>
      <c r="H94" s="398"/>
      <c r="I94" s="180">
        <f>SUM(I86:I93)</f>
        <v>1.8974294660763611</v>
      </c>
      <c r="J94" s="181">
        <f>SUM(J86:J93)</f>
        <v>20.423930772845949</v>
      </c>
      <c r="S94" s="388"/>
      <c r="T94" s="388"/>
    </row>
    <row r="95" spans="1:24" ht="15.9" customHeight="1">
      <c r="A95" s="43"/>
      <c r="B95" s="369"/>
      <c r="C95" s="636"/>
      <c r="D95" s="636"/>
      <c r="E95" s="76"/>
      <c r="F95" s="77"/>
      <c r="G95" s="77"/>
      <c r="H95" s="392"/>
      <c r="I95" s="132"/>
      <c r="J95" s="78"/>
    </row>
    <row r="96" spans="1:24" ht="15.9" customHeight="1">
      <c r="A96" s="43"/>
      <c r="B96" s="599" t="s">
        <v>149</v>
      </c>
      <c r="C96" s="600"/>
      <c r="D96" s="600"/>
      <c r="E96" s="79"/>
      <c r="F96" s="153" t="s">
        <v>71</v>
      </c>
      <c r="G96" s="153" t="s">
        <v>72</v>
      </c>
      <c r="H96" s="392"/>
      <c r="I96" s="362" t="s">
        <v>71</v>
      </c>
      <c r="J96" s="45" t="s">
        <v>72</v>
      </c>
      <c r="W96" s="404"/>
    </row>
    <row r="97" spans="1:26" ht="15.9" customHeight="1">
      <c r="A97" s="43"/>
      <c r="B97" s="154">
        <v>1</v>
      </c>
      <c r="C97" s="596" t="str">
        <f>+C76</f>
        <v>Siemens Standard Fitout (Existing)</v>
      </c>
      <c r="D97" s="595"/>
      <c r="E97" s="80"/>
      <c r="F97" s="58">
        <v>0</v>
      </c>
      <c r="G97" s="192">
        <f>+F97*F6</f>
        <v>0</v>
      </c>
      <c r="H97" s="392"/>
      <c r="I97" s="125">
        <f>F97/J5</f>
        <v>0</v>
      </c>
      <c r="J97" s="49">
        <f>+I97*I6</f>
        <v>0</v>
      </c>
      <c r="Z97" s="453"/>
    </row>
    <row r="98" spans="1:26" ht="15.9" customHeight="1">
      <c r="A98" s="43"/>
      <c r="B98" s="154">
        <f t="shared" ref="B98:B103" si="8">+B97+1</f>
        <v>2</v>
      </c>
      <c r="C98" s="596" t="str">
        <f>+C77</f>
        <v>Siemens Standard Fitout (New)</v>
      </c>
      <c r="D98" s="595"/>
      <c r="E98" s="63"/>
      <c r="F98" s="58">
        <f>'CAPEX and PM'!B29</f>
        <v>57.834863568245076</v>
      </c>
      <c r="G98" s="192">
        <f>+F98*F6</f>
        <v>622.53447144859001</v>
      </c>
      <c r="H98" s="392"/>
      <c r="I98" s="130">
        <f>+F98/$J$5</f>
        <v>0.55070332858736504</v>
      </c>
      <c r="J98" s="64">
        <f>+I98*$I$6</f>
        <v>5.9277706289143968</v>
      </c>
      <c r="S98" s="388"/>
      <c r="Z98" s="394"/>
    </row>
    <row r="99" spans="1:26" ht="15.9" customHeight="1">
      <c r="A99" s="43"/>
      <c r="B99" s="154">
        <f t="shared" si="8"/>
        <v>3</v>
      </c>
      <c r="C99" s="596" t="str">
        <f>+C78</f>
        <v>Capex over the period of lease period</v>
      </c>
      <c r="D99" s="595"/>
      <c r="E99" s="63"/>
      <c r="F99" s="58">
        <f>'CAPEX and PM'!B98</f>
        <v>73.736884743387648</v>
      </c>
      <c r="G99" s="192">
        <f>+F99*F6</f>
        <v>793.70382737782461</v>
      </c>
      <c r="H99" s="392"/>
      <c r="I99" s="130">
        <f>+F99/$J$5</f>
        <v>0.70212230759272187</v>
      </c>
      <c r="J99" s="64">
        <f>+I99*$I$6</f>
        <v>7.5576445189280577</v>
      </c>
      <c r="T99" s="388"/>
      <c r="W99" s="404"/>
    </row>
    <row r="100" spans="1:26" ht="15.9" customHeight="1">
      <c r="A100" s="43"/>
      <c r="B100" s="154">
        <f t="shared" si="8"/>
        <v>4</v>
      </c>
      <c r="C100" s="596" t="str">
        <f>+C79</f>
        <v>PM cost over the period of lease period</v>
      </c>
      <c r="D100" s="595"/>
      <c r="E100" s="63"/>
      <c r="F100" s="58">
        <f>+'CAPEX and PM'!B105</f>
        <v>3.6492088515209904</v>
      </c>
      <c r="G100" s="192">
        <f>+F100*F6</f>
        <v>39.280084077771939</v>
      </c>
      <c r="H100" s="392"/>
      <c r="I100" s="130">
        <f>+F100/$J$5</f>
        <v>3.4747751395172256E-2</v>
      </c>
      <c r="J100" s="64">
        <f>+I100*$I$6</f>
        <v>0.37402479601763416</v>
      </c>
      <c r="S100" s="388"/>
      <c r="T100" s="388"/>
    </row>
    <row r="101" spans="1:26" ht="15.9" customHeight="1">
      <c r="A101" s="43"/>
      <c r="B101" s="154">
        <f t="shared" si="8"/>
        <v>5</v>
      </c>
      <c r="C101" s="596" t="str">
        <f>+C80</f>
        <v>Asset Retirement Obligation ( Removal &amp; Restoration Obligation)</v>
      </c>
      <c r="D101" s="595"/>
      <c r="E101" s="63"/>
      <c r="F101" s="58">
        <f>'Security Deposit'!D25</f>
        <v>1.1472222222222224</v>
      </c>
      <c r="G101" s="192">
        <f>F101*10.764</f>
        <v>12.348700000000001</v>
      </c>
      <c r="H101" s="392"/>
      <c r="I101" s="128">
        <f>+F101/J5</f>
        <v>1.0923845193508117E-2</v>
      </c>
      <c r="J101" s="59">
        <f>+G101/J5</f>
        <v>0.11758426966292136</v>
      </c>
      <c r="S101" s="388"/>
      <c r="T101" s="388"/>
      <c r="V101" s="404"/>
      <c r="W101" s="461"/>
      <c r="Z101" s="453"/>
    </row>
    <row r="102" spans="1:26" ht="15.9" customHeight="1">
      <c r="A102" s="43"/>
      <c r="B102" s="154">
        <f t="shared" si="8"/>
        <v>6</v>
      </c>
      <c r="C102" s="594" t="s">
        <v>150</v>
      </c>
      <c r="D102" s="595"/>
      <c r="E102" s="65"/>
      <c r="F102" s="58">
        <f>+F81/F21/F27</f>
        <v>0</v>
      </c>
      <c r="G102" s="192">
        <f>+F102*F6</f>
        <v>0</v>
      </c>
      <c r="H102" s="392"/>
      <c r="I102" s="130">
        <f>+F102/J5</f>
        <v>0</v>
      </c>
      <c r="J102" s="64">
        <f>+I102*I6</f>
        <v>0</v>
      </c>
      <c r="U102" s="452"/>
      <c r="Z102" s="394"/>
    </row>
    <row r="103" spans="1:26" ht="15.9" customHeight="1">
      <c r="A103" s="43"/>
      <c r="B103" s="154">
        <f t="shared" si="8"/>
        <v>7</v>
      </c>
      <c r="C103" s="597" t="s">
        <v>151</v>
      </c>
      <c r="D103" s="598"/>
      <c r="E103" s="70"/>
      <c r="F103" s="46">
        <f>SUM(F97:F102)</f>
        <v>136.36817938537592</v>
      </c>
      <c r="G103" s="46">
        <f>SUM(G97:G102)</f>
        <v>1467.8670829041866</v>
      </c>
      <c r="H103" s="392"/>
      <c r="I103" s="131">
        <f>SUM(I97:I102)</f>
        <v>1.2984972327687672</v>
      </c>
      <c r="J103" s="131">
        <f>SUM(J97:J102)</f>
        <v>13.977024213523011</v>
      </c>
      <c r="S103" s="388"/>
      <c r="T103" s="388"/>
    </row>
    <row r="104" spans="1:26" ht="15.9" customHeight="1">
      <c r="A104" s="43"/>
      <c r="B104" s="369"/>
      <c r="C104" s="75"/>
      <c r="D104" s="75"/>
      <c r="E104" s="76"/>
      <c r="F104" s="374"/>
      <c r="G104" s="374"/>
      <c r="H104" s="392"/>
      <c r="I104" s="371"/>
      <c r="J104" s="372"/>
      <c r="S104" s="455"/>
    </row>
    <row r="105" spans="1:26" ht="15.9" customHeight="1">
      <c r="A105" s="43"/>
      <c r="B105" s="690" t="s">
        <v>152</v>
      </c>
      <c r="C105" s="611"/>
      <c r="D105" s="611"/>
      <c r="E105" s="79"/>
      <c r="F105" s="153" t="s">
        <v>71</v>
      </c>
      <c r="G105" s="153" t="s">
        <v>72</v>
      </c>
      <c r="H105" s="392"/>
      <c r="I105" s="362" t="s">
        <v>71</v>
      </c>
      <c r="J105" s="45" t="s">
        <v>72</v>
      </c>
    </row>
    <row r="106" spans="1:26" ht="15.9" customHeight="1">
      <c r="A106" s="43"/>
      <c r="B106" s="154">
        <v>1</v>
      </c>
      <c r="C106" s="594" t="s">
        <v>65</v>
      </c>
      <c r="D106" s="595"/>
      <c r="E106" s="63"/>
      <c r="F106" s="48">
        <f>+F94</f>
        <v>199.26804252733942</v>
      </c>
      <c r="G106" s="48">
        <f>+G94</f>
        <v>2144.9212097642817</v>
      </c>
      <c r="H106" s="392"/>
      <c r="I106" s="128">
        <f>+I94</f>
        <v>1.8974294660763611</v>
      </c>
      <c r="J106" s="64">
        <f>+J94</f>
        <v>20.423930772845949</v>
      </c>
      <c r="S106" s="388"/>
      <c r="T106" s="388"/>
    </row>
    <row r="107" spans="1:26" ht="15.9" customHeight="1">
      <c r="A107" s="43"/>
      <c r="B107" s="154">
        <f>+B106+1</f>
        <v>2</v>
      </c>
      <c r="C107" s="594" t="s">
        <v>151</v>
      </c>
      <c r="D107" s="604"/>
      <c r="E107" s="63"/>
      <c r="F107" s="48">
        <f>+F103</f>
        <v>136.36817938537592</v>
      </c>
      <c r="G107" s="376">
        <f>+G103</f>
        <v>1467.8670829041866</v>
      </c>
      <c r="H107" s="392"/>
      <c r="I107" s="128">
        <f>+I103</f>
        <v>1.2984972327687672</v>
      </c>
      <c r="J107" s="64">
        <f>+J103</f>
        <v>13.977024213523011</v>
      </c>
      <c r="S107" s="388"/>
      <c r="W107" s="451"/>
    </row>
    <row r="108" spans="1:26" ht="15.9" customHeight="1">
      <c r="A108" s="69"/>
      <c r="B108" s="154">
        <f>+B107+1</f>
        <v>3</v>
      </c>
      <c r="C108" s="597" t="s">
        <v>153</v>
      </c>
      <c r="D108" s="598"/>
      <c r="E108" s="70"/>
      <c r="F108" s="46">
        <f>SUM(F106:F107)</f>
        <v>335.63622191271531</v>
      </c>
      <c r="G108" s="46">
        <f>SUM(G106:G107)</f>
        <v>3612.7882926684683</v>
      </c>
      <c r="H108" s="392"/>
      <c r="I108" s="180">
        <f>SUM(I106:I107)</f>
        <v>3.1959266988451285</v>
      </c>
      <c r="J108" s="74">
        <f>SUM(J106:J107)</f>
        <v>34.400954986368959</v>
      </c>
      <c r="S108" s="388"/>
      <c r="T108" s="388"/>
      <c r="U108" s="388"/>
      <c r="V108" s="394"/>
      <c r="W108" s="394"/>
      <c r="X108" s="394"/>
      <c r="Y108" s="388"/>
    </row>
    <row r="109" spans="1:26" ht="15.9" customHeight="1">
      <c r="A109" s="43"/>
      <c r="B109" s="599" t="s">
        <v>154</v>
      </c>
      <c r="C109" s="600"/>
      <c r="D109" s="600"/>
      <c r="E109" s="81"/>
      <c r="F109" s="153" t="s">
        <v>71</v>
      </c>
      <c r="G109" s="153" t="s">
        <v>72</v>
      </c>
      <c r="H109" s="392"/>
      <c r="I109" s="362" t="s">
        <v>71</v>
      </c>
      <c r="J109" s="45" t="s">
        <v>72</v>
      </c>
      <c r="U109" s="394"/>
    </row>
    <row r="110" spans="1:26" ht="15.9" customHeight="1">
      <c r="A110" s="43"/>
      <c r="B110" s="237">
        <v>1</v>
      </c>
      <c r="C110" s="594" t="s">
        <v>155</v>
      </c>
      <c r="D110" s="604"/>
      <c r="E110" s="75"/>
      <c r="F110" s="364"/>
      <c r="G110" s="364"/>
      <c r="H110" s="392"/>
      <c r="I110" s="369"/>
      <c r="J110" s="236"/>
    </row>
    <row r="111" spans="1:26" ht="15.9" customHeight="1">
      <c r="A111" s="43"/>
      <c r="B111" s="154">
        <f t="shared" ref="B111:B119" si="9">1+B110</f>
        <v>2</v>
      </c>
      <c r="C111" s="594" t="s">
        <v>156</v>
      </c>
      <c r="D111" s="604"/>
      <c r="E111" s="75"/>
      <c r="F111" s="364"/>
      <c r="G111" s="364"/>
      <c r="H111" s="392"/>
      <c r="I111" s="369"/>
      <c r="J111" s="236"/>
      <c r="X111" s="388"/>
      <c r="Y111" s="396"/>
    </row>
    <row r="112" spans="1:26" ht="15.9" customHeight="1">
      <c r="A112" s="43"/>
      <c r="B112" s="154">
        <f t="shared" si="9"/>
        <v>3</v>
      </c>
      <c r="C112" s="594" t="s">
        <v>157</v>
      </c>
      <c r="D112" s="604"/>
      <c r="E112" s="75"/>
      <c r="F112" s="376">
        <f>+F64*0</f>
        <v>0</v>
      </c>
      <c r="G112" s="195">
        <f>+F112*$F$6</f>
        <v>0</v>
      </c>
      <c r="H112" s="392"/>
      <c r="I112" s="148">
        <f>+F112/$J$5</f>
        <v>0</v>
      </c>
      <c r="J112" s="186">
        <f>+I112*$F$6</f>
        <v>0</v>
      </c>
      <c r="X112" s="388"/>
      <c r="Y112" s="388"/>
    </row>
    <row r="113" spans="1:26" ht="15.9" customHeight="1">
      <c r="A113" s="43"/>
      <c r="B113" s="154">
        <f t="shared" si="9"/>
        <v>4</v>
      </c>
      <c r="C113" s="594" t="s">
        <v>158</v>
      </c>
      <c r="D113" s="604"/>
      <c r="E113" s="75"/>
      <c r="F113" s="364"/>
      <c r="G113" s="364"/>
      <c r="H113" s="392"/>
      <c r="I113" s="369"/>
      <c r="J113" s="236"/>
    </row>
    <row r="114" spans="1:26" ht="15.9" customHeight="1">
      <c r="A114" s="43"/>
      <c r="B114" s="154">
        <f t="shared" si="9"/>
        <v>5</v>
      </c>
      <c r="C114" s="594" t="s">
        <v>159</v>
      </c>
      <c r="D114" s="604"/>
      <c r="E114" s="75"/>
      <c r="F114" s="364"/>
      <c r="G114" s="364"/>
      <c r="H114" s="392"/>
      <c r="I114" s="369"/>
      <c r="J114" s="236"/>
    </row>
    <row r="115" spans="1:26" ht="15.9" customHeight="1">
      <c r="A115" s="43"/>
      <c r="B115" s="154">
        <f t="shared" si="9"/>
        <v>6</v>
      </c>
      <c r="C115" s="594" t="s">
        <v>160</v>
      </c>
      <c r="D115" s="604"/>
      <c r="E115" s="75"/>
      <c r="F115" s="364"/>
      <c r="G115" s="364"/>
      <c r="H115" s="392"/>
      <c r="I115" s="369"/>
      <c r="J115" s="236"/>
    </row>
    <row r="116" spans="1:26" ht="15.9" customHeight="1">
      <c r="A116" s="43"/>
      <c r="B116" s="154">
        <f t="shared" si="9"/>
        <v>7</v>
      </c>
      <c r="C116" s="594" t="s">
        <v>161</v>
      </c>
      <c r="D116" s="604"/>
      <c r="E116" s="75"/>
      <c r="F116" s="364"/>
      <c r="G116" s="364"/>
      <c r="H116" s="392"/>
      <c r="I116" s="369"/>
      <c r="J116" s="236"/>
    </row>
    <row r="117" spans="1:26" ht="15.9" customHeight="1">
      <c r="A117" s="43"/>
      <c r="B117" s="154">
        <f t="shared" si="9"/>
        <v>8</v>
      </c>
      <c r="C117" s="594" t="s">
        <v>162</v>
      </c>
      <c r="D117" s="595"/>
      <c r="E117" s="240"/>
      <c r="F117" s="348">
        <v>654</v>
      </c>
      <c r="G117" s="195">
        <f>F117*I6</f>
        <v>7039.6559999999999</v>
      </c>
      <c r="H117" s="392"/>
      <c r="I117" s="148">
        <f>+F117/$J$5</f>
        <v>6.227385259950486</v>
      </c>
      <c r="J117" s="123">
        <f>+I117*I6</f>
        <v>67.031574938107028</v>
      </c>
      <c r="T117" s="397"/>
    </row>
    <row r="118" spans="1:26" ht="15.9" customHeight="1">
      <c r="A118" s="43"/>
      <c r="B118" s="154">
        <f t="shared" si="9"/>
        <v>9</v>
      </c>
      <c r="C118" s="594" t="s">
        <v>163</v>
      </c>
      <c r="D118" s="604"/>
      <c r="E118" s="240"/>
      <c r="F118" s="82">
        <f>F117*7%</f>
        <v>45.78</v>
      </c>
      <c r="G118" s="82">
        <f>G117*7%</f>
        <v>492.77592000000004</v>
      </c>
      <c r="H118" s="392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597" t="s">
        <v>164</v>
      </c>
      <c r="D119" s="598"/>
      <c r="E119" s="241"/>
      <c r="F119" s="46">
        <f>SUM(F110:F118)</f>
        <v>699.78</v>
      </c>
      <c r="G119" s="373">
        <f>SUM(G110:G118)</f>
        <v>7532.43192</v>
      </c>
      <c r="H119" s="392"/>
      <c r="I119" s="180">
        <f>SUM(I110:I118)</f>
        <v>6.6633022281470202</v>
      </c>
      <c r="J119" s="74">
        <f>G119/$J$5</f>
        <v>71.723785183774524</v>
      </c>
      <c r="S119" s="388"/>
      <c r="T119" s="388"/>
      <c r="U119" s="388"/>
    </row>
    <row r="120" spans="1:26" ht="15.9" customHeight="1">
      <c r="A120" s="69"/>
      <c r="B120" s="154"/>
      <c r="C120" s="602"/>
      <c r="D120" s="603"/>
      <c r="E120" s="70"/>
      <c r="F120" s="46"/>
      <c r="G120" s="373"/>
      <c r="H120" s="392"/>
      <c r="I120" s="180"/>
      <c r="J120" s="74"/>
      <c r="U120" s="395"/>
      <c r="X120" s="394"/>
      <c r="Y120" s="394"/>
      <c r="Z120" s="394"/>
    </row>
    <row r="121" spans="1:26" ht="15.9" customHeight="1">
      <c r="A121" s="69"/>
      <c r="B121" s="599" t="s">
        <v>165</v>
      </c>
      <c r="C121" s="600"/>
      <c r="D121" s="600"/>
      <c r="E121" s="81"/>
      <c r="F121" s="153" t="s">
        <v>71</v>
      </c>
      <c r="G121" s="153" t="s">
        <v>72</v>
      </c>
      <c r="H121" s="392"/>
      <c r="I121" s="362" t="s">
        <v>71</v>
      </c>
      <c r="J121" s="45" t="s">
        <v>72</v>
      </c>
      <c r="T121" s="394"/>
      <c r="U121" s="394"/>
    </row>
    <row r="122" spans="1:26" ht="15.9" customHeight="1">
      <c r="A122" s="69"/>
      <c r="B122" s="239">
        <v>1</v>
      </c>
      <c r="C122" s="594" t="s">
        <v>166</v>
      </c>
      <c r="D122" s="604"/>
      <c r="E122" s="70"/>
      <c r="F122" s="46"/>
      <c r="G122" s="373">
        <f>F122*F6</f>
        <v>0</v>
      </c>
      <c r="H122" s="392"/>
      <c r="I122" s="180"/>
      <c r="J122" s="74"/>
    </row>
    <row r="123" spans="1:26" ht="15.9" customHeight="1">
      <c r="A123" s="69"/>
      <c r="B123" s="154">
        <v>2</v>
      </c>
      <c r="C123" s="597" t="s">
        <v>167</v>
      </c>
      <c r="D123" s="598"/>
      <c r="E123" s="70"/>
      <c r="F123" s="46">
        <f>SUM(F122)</f>
        <v>0</v>
      </c>
      <c r="G123" s="373">
        <f>SUM(G122)</f>
        <v>0</v>
      </c>
      <c r="H123" s="392"/>
      <c r="I123" s="180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602"/>
      <c r="D124" s="603"/>
      <c r="E124" s="55"/>
      <c r="F124" s="46"/>
      <c r="G124" s="373"/>
      <c r="H124" s="392"/>
      <c r="I124" s="124"/>
      <c r="J124" s="47"/>
    </row>
    <row r="125" spans="1:26" ht="15.9" customHeight="1">
      <c r="A125" s="69"/>
      <c r="B125" s="599" t="s">
        <v>168</v>
      </c>
      <c r="C125" s="600"/>
      <c r="D125" s="600"/>
      <c r="E125" s="81"/>
      <c r="F125" s="153" t="s">
        <v>71</v>
      </c>
      <c r="G125" s="153" t="s">
        <v>72</v>
      </c>
      <c r="H125" s="392"/>
      <c r="I125" s="362" t="s">
        <v>71</v>
      </c>
      <c r="J125" s="45" t="s">
        <v>72</v>
      </c>
    </row>
    <row r="126" spans="1:26" ht="15.9" customHeight="1">
      <c r="A126" s="69"/>
      <c r="B126" s="237">
        <v>1</v>
      </c>
      <c r="C126" s="594" t="s">
        <v>169</v>
      </c>
      <c r="D126" s="604"/>
      <c r="E126" s="238"/>
      <c r="F126" s="373"/>
      <c r="G126" s="373"/>
      <c r="H126" s="392"/>
      <c r="I126" s="371"/>
      <c r="J126" s="47"/>
    </row>
    <row r="127" spans="1:26" ht="15.9" customHeight="1">
      <c r="A127" s="69"/>
      <c r="B127" s="239">
        <f>1+B126</f>
        <v>2</v>
      </c>
      <c r="C127" s="594" t="s">
        <v>170</v>
      </c>
      <c r="D127" s="604"/>
      <c r="E127" s="238"/>
      <c r="F127" s="373"/>
      <c r="G127" s="373"/>
      <c r="H127" s="392"/>
      <c r="I127" s="371"/>
      <c r="J127" s="47"/>
    </row>
    <row r="128" spans="1:26" ht="15.9" customHeight="1">
      <c r="A128" s="69"/>
      <c r="B128" s="239">
        <f>1+B127</f>
        <v>3</v>
      </c>
      <c r="C128" s="594" t="s">
        <v>171</v>
      </c>
      <c r="D128" s="604"/>
      <c r="E128" s="238"/>
      <c r="F128" s="373"/>
      <c r="G128" s="373"/>
      <c r="H128" s="392"/>
      <c r="I128" s="371"/>
      <c r="J128" s="47"/>
    </row>
    <row r="129" spans="1:20" ht="15.9" customHeight="1">
      <c r="A129" s="69"/>
      <c r="B129" s="239">
        <f>1+B128</f>
        <v>4</v>
      </c>
      <c r="C129" s="594" t="s">
        <v>172</v>
      </c>
      <c r="D129" s="604"/>
      <c r="E129" s="238"/>
      <c r="F129" s="373"/>
      <c r="G129" s="373"/>
      <c r="H129" s="392"/>
      <c r="I129" s="371"/>
      <c r="J129" s="47"/>
    </row>
    <row r="130" spans="1:20" ht="15.9" customHeight="1">
      <c r="A130" s="69"/>
      <c r="B130" s="239">
        <f>1+B129</f>
        <v>5</v>
      </c>
      <c r="C130" s="594" t="s">
        <v>173</v>
      </c>
      <c r="D130" s="604"/>
      <c r="E130" s="238"/>
      <c r="F130" s="373"/>
      <c r="G130" s="373"/>
      <c r="H130" s="392"/>
      <c r="I130" s="371"/>
      <c r="J130" s="47"/>
    </row>
    <row r="131" spans="1:20" ht="15.9" customHeight="1">
      <c r="A131" s="69"/>
      <c r="B131" s="239">
        <f>1+B130</f>
        <v>6</v>
      </c>
      <c r="C131" s="594" t="s">
        <v>174</v>
      </c>
      <c r="D131" s="604"/>
      <c r="E131" s="238"/>
      <c r="F131" s="373"/>
      <c r="G131" s="373"/>
      <c r="H131" s="392"/>
      <c r="I131" s="371"/>
      <c r="J131" s="47"/>
    </row>
    <row r="132" spans="1:20" ht="15.9" customHeight="1">
      <c r="A132" s="69"/>
      <c r="B132" s="369">
        <v>7</v>
      </c>
      <c r="C132" s="597" t="s">
        <v>175</v>
      </c>
      <c r="D132" s="598"/>
      <c r="E132" s="238"/>
      <c r="F132" s="373">
        <f>SUM(F126:F131)</f>
        <v>0</v>
      </c>
      <c r="G132" s="373">
        <f>SUM(G126:G131)</f>
        <v>0</v>
      </c>
      <c r="H132" s="392"/>
      <c r="I132" s="371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636"/>
      <c r="D133" s="603"/>
      <c r="E133" s="238"/>
      <c r="F133" s="373"/>
      <c r="G133" s="373"/>
      <c r="H133" s="392"/>
      <c r="I133" s="371"/>
      <c r="J133" s="47"/>
    </row>
    <row r="134" spans="1:20" ht="15.9" customHeight="1">
      <c r="A134" s="43"/>
      <c r="B134" s="599" t="s">
        <v>176</v>
      </c>
      <c r="C134" s="600"/>
      <c r="D134" s="600"/>
      <c r="E134" s="81"/>
      <c r="F134" s="153" t="s">
        <v>71</v>
      </c>
      <c r="G134" s="153" t="s">
        <v>72</v>
      </c>
      <c r="H134" s="392"/>
      <c r="I134" s="362" t="s">
        <v>71</v>
      </c>
      <c r="J134" s="45" t="s">
        <v>72</v>
      </c>
    </row>
    <row r="135" spans="1:20" ht="15.9" customHeight="1">
      <c r="A135" s="69"/>
      <c r="B135" s="154">
        <v>1</v>
      </c>
      <c r="C135" s="597" t="s">
        <v>177</v>
      </c>
      <c r="D135" s="598"/>
      <c r="E135" s="70"/>
      <c r="F135" s="46">
        <f>F119+F108+F123+F132</f>
        <v>1035.4162219127152</v>
      </c>
      <c r="G135" s="373">
        <f>G119+G108+G123+G132</f>
        <v>11145.220212668468</v>
      </c>
      <c r="H135" s="392"/>
      <c r="I135" s="180">
        <f>I119+I108+I123+I132</f>
        <v>9.8592289269921487</v>
      </c>
      <c r="J135" s="181">
        <f>J119+J108+J123+J132</f>
        <v>106.12474017014348</v>
      </c>
      <c r="S135" s="396"/>
      <c r="T135" s="394"/>
    </row>
    <row r="136" spans="1:20" ht="15.9" customHeight="1">
      <c r="A136" s="69"/>
      <c r="B136" s="154"/>
      <c r="C136" s="602"/>
      <c r="D136" s="603"/>
      <c r="E136" s="70"/>
      <c r="F136" s="46"/>
      <c r="G136" s="373"/>
      <c r="H136" s="392"/>
      <c r="I136" s="124"/>
      <c r="J136" s="47"/>
    </row>
    <row r="137" spans="1:20" ht="15.9" customHeight="1">
      <c r="A137" s="69"/>
      <c r="B137" s="369"/>
      <c r="C137" s="368"/>
      <c r="D137" s="365"/>
      <c r="E137" s="159"/>
      <c r="F137" s="602" t="s">
        <v>69</v>
      </c>
      <c r="G137" s="636"/>
      <c r="H137" s="392"/>
      <c r="I137" s="637" t="s">
        <v>63</v>
      </c>
      <c r="J137" s="638"/>
    </row>
    <row r="138" spans="1:20" ht="15.9" hidden="1" customHeight="1">
      <c r="A138" s="43"/>
      <c r="B138" s="599" t="s">
        <v>178</v>
      </c>
      <c r="C138" s="600"/>
      <c r="D138" s="601"/>
      <c r="E138" s="153"/>
      <c r="F138" s="153" t="s">
        <v>71</v>
      </c>
      <c r="G138" s="153" t="s">
        <v>72</v>
      </c>
      <c r="H138" s="392"/>
      <c r="I138" s="362" t="s">
        <v>71</v>
      </c>
      <c r="J138" s="45" t="s">
        <v>72</v>
      </c>
    </row>
    <row r="139" spans="1:20" ht="15.9" hidden="1" customHeight="1">
      <c r="A139" s="43"/>
      <c r="B139" s="83"/>
      <c r="C139" s="605"/>
      <c r="D139" s="606"/>
      <c r="E139" s="155"/>
      <c r="F139" s="46"/>
      <c r="G139" s="373"/>
      <c r="H139" s="392"/>
      <c r="I139" s="124"/>
      <c r="J139" s="47"/>
    </row>
    <row r="140" spans="1:20" ht="15.9" hidden="1" customHeight="1">
      <c r="A140" s="43"/>
      <c r="B140" s="83"/>
      <c r="C140" s="594" t="s">
        <v>179</v>
      </c>
      <c r="D140" s="595"/>
      <c r="E140" s="50"/>
      <c r="F140" s="231">
        <f>F21</f>
        <v>9515</v>
      </c>
      <c r="G140" s="232">
        <f>F140/F6</f>
        <v>883.96506874767749</v>
      </c>
      <c r="H140" s="399"/>
      <c r="I140" s="229">
        <f>I21</f>
        <v>9515</v>
      </c>
      <c r="J140" s="230">
        <f>I140/I6</f>
        <v>883.96506874767749</v>
      </c>
    </row>
    <row r="141" spans="1:20" ht="15.9" hidden="1" customHeight="1">
      <c r="A141" s="43"/>
      <c r="B141" s="83"/>
      <c r="C141" s="596" t="s">
        <v>180</v>
      </c>
      <c r="D141" s="595"/>
      <c r="E141" s="51"/>
      <c r="F141" s="48">
        <f>F24</f>
        <v>0</v>
      </c>
      <c r="G141" s="376">
        <f>G24</f>
        <v>0</v>
      </c>
      <c r="H141" s="392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596" t="s">
        <v>181</v>
      </c>
      <c r="D142" s="595"/>
      <c r="E142" s="65"/>
      <c r="F142" s="48" t="e">
        <f>+#REF!</f>
        <v>#REF!</v>
      </c>
      <c r="G142" s="376" t="e">
        <f>+#REF!</f>
        <v>#REF!</v>
      </c>
      <c r="H142" s="392"/>
      <c r="I142" s="229" t="e">
        <f>+#REF!</f>
        <v>#REF!</v>
      </c>
      <c r="J142" s="230" t="e">
        <f>+#REF!</f>
        <v>#REF!</v>
      </c>
    </row>
    <row r="143" spans="1:20" ht="15.9" hidden="1" customHeight="1">
      <c r="A143" s="43"/>
      <c r="B143" s="83"/>
      <c r="C143" s="594" t="s">
        <v>182</v>
      </c>
      <c r="D143" s="595"/>
      <c r="E143" s="65"/>
      <c r="F143" s="48">
        <f>F108</f>
        <v>335.63622191271531</v>
      </c>
      <c r="G143" s="376">
        <f>+G108</f>
        <v>3612.7882926684683</v>
      </c>
      <c r="H143" s="392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624" t="s">
        <v>183</v>
      </c>
      <c r="D144" s="625"/>
      <c r="E144" s="84"/>
      <c r="F144" s="85">
        <f>F119</f>
        <v>699.78</v>
      </c>
      <c r="G144" s="196">
        <f>G119</f>
        <v>7532.43192</v>
      </c>
      <c r="H144" s="392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597" t="s">
        <v>184</v>
      </c>
      <c r="D145" s="598"/>
      <c r="E145" s="70"/>
      <c r="F145" s="233" t="e">
        <f>F135*#REF!</f>
        <v>#REF!</v>
      </c>
      <c r="G145" s="234" t="e">
        <f>G135*#REF!</f>
        <v>#REF!</v>
      </c>
      <c r="H145" s="392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2"/>
      <c r="I146" s="134"/>
      <c r="J146" s="90"/>
    </row>
    <row r="147" spans="1:10" ht="15.9" customHeight="1">
      <c r="A147" s="69"/>
      <c r="B147" s="599" t="s">
        <v>185</v>
      </c>
      <c r="C147" s="600"/>
      <c r="D147" s="601"/>
      <c r="E147" s="367"/>
      <c r="F147" s="367" t="s">
        <v>186</v>
      </c>
      <c r="G147" s="153" t="s">
        <v>186</v>
      </c>
      <c r="H147" s="392"/>
      <c r="I147" s="370" t="s">
        <v>63</v>
      </c>
      <c r="J147" s="45" t="s">
        <v>63</v>
      </c>
    </row>
    <row r="148" spans="1:10" ht="15.9" customHeight="1">
      <c r="A148" s="43"/>
      <c r="B148" s="91"/>
      <c r="C148" s="605"/>
      <c r="D148" s="606"/>
      <c r="E148" s="92"/>
      <c r="F148" s="93"/>
      <c r="G148" s="197"/>
      <c r="H148" s="392"/>
      <c r="I148" s="135"/>
      <c r="J148" s="94"/>
    </row>
    <row r="149" spans="1:10" ht="15.9" customHeight="1">
      <c r="A149" s="43"/>
      <c r="B149" s="91"/>
      <c r="C149" s="596" t="s">
        <v>187</v>
      </c>
      <c r="D149" s="595"/>
      <c r="E149" s="92"/>
      <c r="F149" s="93">
        <f>(+F63)*115%</f>
        <v>1411550.25</v>
      </c>
      <c r="G149" s="93">
        <f>+F149</f>
        <v>1411550.25</v>
      </c>
      <c r="H149" s="392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596" t="s">
        <v>188</v>
      </c>
      <c r="D150" s="595"/>
      <c r="E150" s="92"/>
      <c r="F150" s="93">
        <v>0</v>
      </c>
      <c r="G150" s="197">
        <v>0</v>
      </c>
      <c r="H150" s="392"/>
      <c r="I150" s="135">
        <v>0</v>
      </c>
      <c r="J150" s="94">
        <v>0</v>
      </c>
    </row>
    <row r="151" spans="1:10" ht="15.9" customHeight="1">
      <c r="A151" s="43"/>
      <c r="B151" s="91"/>
      <c r="C151" s="596" t="s">
        <v>189</v>
      </c>
      <c r="D151" s="595"/>
      <c r="E151" s="92"/>
      <c r="F151" s="93">
        <f>(+F65)*115%</f>
        <v>192024.8346192516</v>
      </c>
      <c r="G151" s="197">
        <f>+F151</f>
        <v>192024.8346192516</v>
      </c>
      <c r="H151" s="392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596" t="s">
        <v>190</v>
      </c>
      <c r="D152" s="595"/>
      <c r="E152" s="92"/>
      <c r="F152" s="93">
        <f>(+F66)*115%</f>
        <v>210162.49999999997</v>
      </c>
      <c r="G152" s="197">
        <f>+F152</f>
        <v>210162.49999999997</v>
      </c>
      <c r="H152" s="392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594" t="s">
        <v>191</v>
      </c>
      <c r="D153" s="595"/>
      <c r="E153" s="95"/>
      <c r="F153" s="96">
        <f>SUM(F149:F152)</f>
        <v>1813737.5846192515</v>
      </c>
      <c r="G153" s="198">
        <f>SUM(G149:G152)</f>
        <v>1813737.5846192515</v>
      </c>
      <c r="H153" s="392"/>
      <c r="I153" s="449">
        <f>SUM(I149:I152)</f>
        <v>17270.401681767777</v>
      </c>
      <c r="J153" s="450">
        <f>SUM(J149:J152)</f>
        <v>17270.401681767777</v>
      </c>
    </row>
    <row r="154" spans="1:10" ht="15.9" customHeight="1">
      <c r="A154" s="43"/>
      <c r="B154" s="91"/>
      <c r="C154" s="594" t="s">
        <v>192</v>
      </c>
      <c r="D154" s="595"/>
      <c r="E154" s="97"/>
      <c r="F154" s="93">
        <f>+F153*12</f>
        <v>21764851.015431017</v>
      </c>
      <c r="G154" s="197">
        <f>+G153*12</f>
        <v>21764851.015431017</v>
      </c>
      <c r="H154" s="392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05"/>
      <c r="D155" s="606"/>
      <c r="E155" s="97"/>
      <c r="F155" s="93"/>
      <c r="G155" s="197"/>
      <c r="H155" s="392"/>
      <c r="I155" s="135"/>
      <c r="J155" s="94"/>
    </row>
    <row r="156" spans="1:10" ht="15.9" customHeight="1">
      <c r="A156" s="43"/>
      <c r="B156" s="599" t="s">
        <v>193</v>
      </c>
      <c r="C156" s="600"/>
      <c r="D156" s="601"/>
      <c r="E156" s="363"/>
      <c r="F156" s="367" t="s">
        <v>186</v>
      </c>
      <c r="G156" s="153" t="s">
        <v>186</v>
      </c>
      <c r="H156" s="392"/>
      <c r="I156" s="370" t="s">
        <v>63</v>
      </c>
      <c r="J156" s="45" t="s">
        <v>63</v>
      </c>
    </row>
    <row r="157" spans="1:10" ht="15.9" customHeight="1">
      <c r="A157" s="43"/>
      <c r="B157" s="91"/>
      <c r="C157" s="605"/>
      <c r="D157" s="606"/>
      <c r="E157" s="97"/>
      <c r="F157" s="93"/>
      <c r="G157" s="197"/>
      <c r="H157" s="392"/>
      <c r="I157" s="135"/>
      <c r="J157" s="94"/>
    </row>
    <row r="158" spans="1:10" ht="15.9" customHeight="1">
      <c r="A158" s="43"/>
      <c r="B158" s="91"/>
      <c r="C158" s="622" t="s">
        <v>194</v>
      </c>
      <c r="D158" s="623"/>
      <c r="E158" s="97"/>
      <c r="F158" s="93">
        <f t="shared" ref="F158:G160" si="10">+F77</f>
        <v>14000000</v>
      </c>
      <c r="G158" s="197">
        <f t="shared" si="10"/>
        <v>14000000</v>
      </c>
      <c r="H158" s="221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594" t="s">
        <v>195</v>
      </c>
      <c r="D159" s="604"/>
      <c r="E159" s="97"/>
      <c r="F159" s="93">
        <f t="shared" si="10"/>
        <v>43000000</v>
      </c>
      <c r="G159" s="197">
        <f t="shared" si="10"/>
        <v>43000000</v>
      </c>
      <c r="H159" s="221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594" t="s">
        <v>196</v>
      </c>
      <c r="D160" s="604"/>
      <c r="E160" s="97"/>
      <c r="F160" s="93">
        <f t="shared" si="10"/>
        <v>2500000</v>
      </c>
      <c r="G160" s="197">
        <f t="shared" si="10"/>
        <v>2500000</v>
      </c>
      <c r="H160" s="221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597" t="s">
        <v>29</v>
      </c>
      <c r="D161" s="598"/>
      <c r="E161" s="97"/>
      <c r="F161" s="225">
        <f>SUM(F158:F160)</f>
        <v>59500000</v>
      </c>
      <c r="G161" s="225">
        <f>SUM(G158:G160)</f>
        <v>59500000</v>
      </c>
      <c r="H161" s="226"/>
      <c r="I161" s="227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05"/>
      <c r="D162" s="606"/>
      <c r="E162" s="97"/>
      <c r="F162" s="93"/>
      <c r="G162" s="197"/>
      <c r="H162" s="392"/>
      <c r="I162" s="135"/>
      <c r="J162" s="94"/>
    </row>
    <row r="163" spans="1:22" ht="15.9" customHeight="1">
      <c r="A163" s="98"/>
      <c r="B163" s="616" t="s">
        <v>197</v>
      </c>
      <c r="C163" s="617"/>
      <c r="D163" s="618"/>
      <c r="E163" s="689"/>
      <c r="F163" s="153" t="s">
        <v>71</v>
      </c>
      <c r="G163" s="153" t="s">
        <v>72</v>
      </c>
      <c r="H163" s="392"/>
      <c r="I163" s="362" t="s">
        <v>71</v>
      </c>
      <c r="J163" s="45" t="s">
        <v>72</v>
      </c>
    </row>
    <row r="164" spans="1:22" ht="15.9" customHeight="1">
      <c r="A164" s="98"/>
      <c r="B164" s="619"/>
      <c r="C164" s="620"/>
      <c r="D164" s="621"/>
      <c r="E164" s="609"/>
      <c r="F164" s="153" t="s">
        <v>69</v>
      </c>
      <c r="G164" s="153" t="s">
        <v>69</v>
      </c>
      <c r="H164" s="392"/>
      <c r="I164" s="362" t="s">
        <v>63</v>
      </c>
      <c r="J164" s="45" t="s">
        <v>63</v>
      </c>
    </row>
    <row r="165" spans="1:22" ht="15.9" customHeight="1">
      <c r="A165" s="99"/>
      <c r="B165" s="91"/>
      <c r="C165" s="605"/>
      <c r="D165" s="606"/>
      <c r="E165" s="51"/>
      <c r="F165" s="48"/>
      <c r="G165" s="376"/>
      <c r="H165" s="392"/>
      <c r="I165" s="125"/>
      <c r="J165" s="49"/>
    </row>
    <row r="166" spans="1:22" ht="15.9" customHeight="1">
      <c r="A166" s="99"/>
      <c r="B166" s="91"/>
      <c r="C166" s="607" t="str">
        <f>+C106</f>
        <v>Net Rent I</v>
      </c>
      <c r="D166" s="608"/>
      <c r="E166" s="51"/>
      <c r="F166" s="48">
        <f>+F106</f>
        <v>199.26804252733942</v>
      </c>
      <c r="G166" s="376">
        <f>+G106</f>
        <v>2144.9212097642817</v>
      </c>
      <c r="H166" s="392"/>
      <c r="I166" s="128">
        <f>+I106</f>
        <v>1.8974294660763611</v>
      </c>
      <c r="J166" s="59">
        <f>+J106</f>
        <v>20.423930772845949</v>
      </c>
      <c r="T166" s="397"/>
    </row>
    <row r="167" spans="1:22" ht="15.9" customHeight="1">
      <c r="A167" s="99"/>
      <c r="B167" s="91"/>
      <c r="C167" s="607" t="str">
        <f>+C107</f>
        <v>Net Rent II</v>
      </c>
      <c r="D167" s="608"/>
      <c r="E167" s="51"/>
      <c r="F167" s="48">
        <f>+F107</f>
        <v>136.36817938537592</v>
      </c>
      <c r="G167" s="376">
        <f>+G107</f>
        <v>1467.8670829041866</v>
      </c>
      <c r="H167" s="392"/>
      <c r="I167" s="128">
        <f>+I107</f>
        <v>1.2984972327687672</v>
      </c>
      <c r="J167" s="59">
        <f>+J107</f>
        <v>13.977024213523011</v>
      </c>
      <c r="T167" s="397"/>
    </row>
    <row r="168" spans="1:22" ht="15.9" customHeight="1">
      <c r="A168" s="99"/>
      <c r="B168" s="139"/>
      <c r="C168" s="612" t="s">
        <v>198</v>
      </c>
      <c r="D168" s="613"/>
      <c r="E168" s="140"/>
      <c r="F168" s="141">
        <f>SUM(F166:F167)</f>
        <v>335.63622191271531</v>
      </c>
      <c r="G168" s="199">
        <f>SUM(G166:G167)</f>
        <v>3612.7882926684683</v>
      </c>
      <c r="H168" s="200"/>
      <c r="I168" s="222">
        <f>SUM(I166:I167)</f>
        <v>3.1959266988451285</v>
      </c>
      <c r="J168" s="202">
        <f>SUM(J166:J167)</f>
        <v>34.400954986368959</v>
      </c>
      <c r="T168" s="397"/>
      <c r="V168" s="397"/>
    </row>
    <row r="169" spans="1:22" ht="15.9" customHeight="1">
      <c r="A169" s="99"/>
      <c r="B169" s="154"/>
      <c r="C169" s="614"/>
      <c r="D169" s="615"/>
      <c r="E169" s="67"/>
      <c r="F169" s="46"/>
      <c r="G169" s="373"/>
      <c r="H169" s="267"/>
      <c r="I169" s="180"/>
      <c r="J169" s="181"/>
      <c r="U169" s="397"/>
      <c r="V169" s="388"/>
    </row>
    <row r="170" spans="1:22" ht="15.9" customHeight="1">
      <c r="A170" s="99"/>
      <c r="B170" s="91"/>
      <c r="C170" s="607" t="str">
        <f>+C119</f>
        <v xml:space="preserve">OpEx I </v>
      </c>
      <c r="D170" s="608"/>
      <c r="E170" s="51"/>
      <c r="F170" s="48">
        <f>+F119</f>
        <v>699.78</v>
      </c>
      <c r="G170" s="48">
        <f>+G119</f>
        <v>7532.43192</v>
      </c>
      <c r="H170" s="392"/>
      <c r="I170" s="128">
        <f>F170/J5</f>
        <v>6.6633022281470193</v>
      </c>
      <c r="J170" s="59">
        <f>G170/J5</f>
        <v>71.723785183774524</v>
      </c>
      <c r="T170" s="397"/>
    </row>
    <row r="171" spans="1:22" ht="15.9" customHeight="1">
      <c r="A171" s="99"/>
      <c r="B171" s="91"/>
      <c r="C171" s="607" t="str">
        <f>+C123</f>
        <v xml:space="preserve">OpEx II </v>
      </c>
      <c r="D171" s="608"/>
      <c r="E171" s="51"/>
      <c r="F171" s="48">
        <f>+F123</f>
        <v>0</v>
      </c>
      <c r="G171" s="376">
        <f>+G123</f>
        <v>0</v>
      </c>
      <c r="H171" s="392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612" t="s">
        <v>199</v>
      </c>
      <c r="D172" s="613"/>
      <c r="E172" s="143"/>
      <c r="F172" s="144">
        <f>SUM(F170:F171)</f>
        <v>699.78</v>
      </c>
      <c r="G172" s="266">
        <f>SUM(G170:G171)</f>
        <v>7532.43192</v>
      </c>
      <c r="H172" s="401"/>
      <c r="I172" s="145">
        <f>SUM(I170:I171)</f>
        <v>6.6633022281470193</v>
      </c>
      <c r="J172" s="235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2"/>
      <c r="F173" s="263"/>
      <c r="G173" s="268"/>
      <c r="H173" s="402"/>
      <c r="I173" s="264"/>
      <c r="J173" s="265"/>
    </row>
    <row r="174" spans="1:22" ht="15.9" customHeight="1">
      <c r="A174" s="99"/>
      <c r="B174" s="91"/>
      <c r="C174" s="607" t="str">
        <f>+C132</f>
        <v xml:space="preserve">Services </v>
      </c>
      <c r="D174" s="608"/>
      <c r="E174" s="51"/>
      <c r="F174" s="48">
        <f>+F132</f>
        <v>0</v>
      </c>
      <c r="G174" s="376">
        <f>+G132</f>
        <v>0</v>
      </c>
      <c r="H174" s="392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612" t="s">
        <v>200</v>
      </c>
      <c r="D175" s="613"/>
      <c r="E175" s="143"/>
      <c r="F175" s="144">
        <f>SUM(F174)</f>
        <v>0</v>
      </c>
      <c r="G175" s="266">
        <f>SUM(G174)</f>
        <v>0</v>
      </c>
      <c r="H175" s="401"/>
      <c r="I175" s="145">
        <f>SUM(I174)</f>
        <v>0</v>
      </c>
      <c r="J175" s="235">
        <f>SUM(J174)</f>
        <v>0</v>
      </c>
    </row>
    <row r="176" spans="1:22" ht="15.9" customHeight="1">
      <c r="A176" s="99"/>
      <c r="B176" s="91"/>
      <c r="C176" s="605"/>
      <c r="D176" s="606"/>
      <c r="E176" s="51"/>
      <c r="F176" s="48"/>
      <c r="G176" s="376"/>
      <c r="H176" s="392"/>
      <c r="I176" s="130"/>
      <c r="J176" s="64"/>
    </row>
    <row r="177" spans="1:19" ht="15.9" customHeight="1">
      <c r="A177" s="99"/>
      <c r="B177" s="142"/>
      <c r="C177" s="612" t="s">
        <v>201</v>
      </c>
      <c r="D177" s="613"/>
      <c r="E177" s="146"/>
      <c r="F177" s="141">
        <f>+F168+F172+F175</f>
        <v>1035.4162219127152</v>
      </c>
      <c r="G177" s="199">
        <f>+G168+G172+G175</f>
        <v>11145.220212668468</v>
      </c>
      <c r="H177" s="403"/>
      <c r="I177" s="222">
        <f>+I168+I172+I175</f>
        <v>9.8592289269921487</v>
      </c>
      <c r="J177" s="202">
        <f>+J168+J172+J175</f>
        <v>106.12474017014348</v>
      </c>
      <c r="S177" s="396"/>
    </row>
    <row r="178" spans="1:19" ht="15.9" customHeight="1">
      <c r="A178" s="99"/>
      <c r="B178" s="91"/>
      <c r="C178" s="137"/>
      <c r="D178" s="138"/>
      <c r="E178" s="51"/>
      <c r="F178" s="48"/>
      <c r="G178" s="376"/>
      <c r="H178" s="392"/>
      <c r="I178" s="125"/>
      <c r="J178" s="49"/>
    </row>
    <row r="179" spans="1:19" ht="15.9" customHeight="1">
      <c r="A179" s="99"/>
      <c r="B179" s="599" t="s">
        <v>202</v>
      </c>
      <c r="C179" s="600"/>
      <c r="D179" s="601"/>
      <c r="E179" s="367"/>
      <c r="F179" s="367" t="s">
        <v>186</v>
      </c>
      <c r="G179" s="153" t="s">
        <v>186</v>
      </c>
      <c r="H179" s="392"/>
      <c r="I179" s="370" t="s">
        <v>63</v>
      </c>
      <c r="J179" s="45" t="s">
        <v>63</v>
      </c>
    </row>
    <row r="180" spans="1:19" ht="15.9" customHeight="1">
      <c r="A180" s="99"/>
      <c r="B180" s="91"/>
      <c r="C180" s="605"/>
      <c r="D180" s="606"/>
      <c r="E180" s="51"/>
      <c r="F180" s="48"/>
      <c r="G180" s="376"/>
      <c r="H180" s="392"/>
      <c r="I180" s="125"/>
      <c r="J180" s="49"/>
    </row>
    <row r="181" spans="1:19" ht="15.9" customHeight="1">
      <c r="A181" s="99"/>
      <c r="B181" s="91"/>
      <c r="C181" s="596" t="s">
        <v>203</v>
      </c>
      <c r="D181" s="595"/>
      <c r="E181" s="92"/>
      <c r="F181" s="93"/>
      <c r="G181" s="197">
        <f>+G168*G21</f>
        <v>3193578.651499487</v>
      </c>
      <c r="H181" s="392"/>
      <c r="I181" s="135"/>
      <c r="J181" s="94">
        <f>+G181/$J$5</f>
        <v>30409.242539511401</v>
      </c>
    </row>
    <row r="182" spans="1:19" ht="15.9" customHeight="1">
      <c r="A182" s="99"/>
      <c r="B182" s="91"/>
      <c r="C182" s="594" t="s">
        <v>204</v>
      </c>
      <c r="D182" s="595"/>
      <c r="E182" s="92"/>
      <c r="F182" s="93"/>
      <c r="G182" s="197">
        <f>+G172*G21</f>
        <v>6658406.7000000002</v>
      </c>
      <c r="H182" s="392"/>
      <c r="I182" s="135"/>
      <c r="J182" s="94">
        <f>+G182/$J$5</f>
        <v>63401.320700818898</v>
      </c>
    </row>
    <row r="183" spans="1:19" ht="15.9" customHeight="1">
      <c r="A183" s="99"/>
      <c r="B183" s="91"/>
      <c r="C183" s="594" t="s">
        <v>205</v>
      </c>
      <c r="D183" s="604"/>
      <c r="E183" s="92"/>
      <c r="F183" s="93"/>
      <c r="G183" s="197">
        <f>+G175*G21</f>
        <v>0</v>
      </c>
      <c r="H183" s="392"/>
      <c r="I183" s="135"/>
      <c r="J183" s="94"/>
    </row>
    <row r="184" spans="1:19" ht="15.9" customHeight="1">
      <c r="A184" s="99"/>
      <c r="B184" s="91"/>
      <c r="C184" s="594" t="s">
        <v>206</v>
      </c>
      <c r="D184" s="595"/>
      <c r="E184" s="92"/>
      <c r="F184" s="93"/>
      <c r="G184" s="197">
        <f>SUM(G181:G183)</f>
        <v>9851985.3514994867</v>
      </c>
      <c r="H184" s="392"/>
      <c r="I184" s="135"/>
      <c r="J184" s="94">
        <f>SUM(J181:J183)</f>
        <v>93810.563240330303</v>
      </c>
    </row>
    <row r="185" spans="1:19" ht="15.9" customHeight="1">
      <c r="A185" s="99"/>
      <c r="B185" s="91"/>
      <c r="C185" s="594" t="s">
        <v>207</v>
      </c>
      <c r="D185" s="595"/>
      <c r="E185" s="92"/>
      <c r="F185" s="93"/>
      <c r="G185" s="197">
        <f>+G184*12</f>
        <v>118223824.21799384</v>
      </c>
      <c r="H185" s="392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3"/>
      <c r="I186" s="223"/>
      <c r="J186" s="224"/>
    </row>
    <row r="187" spans="1:19" ht="15.9" customHeight="1" thickBot="1">
      <c r="A187" s="99"/>
      <c r="B187" s="629" t="s">
        <v>208</v>
      </c>
      <c r="C187" s="630"/>
      <c r="D187" s="630"/>
      <c r="E187" s="630"/>
      <c r="F187" s="630"/>
      <c r="G187" s="630"/>
      <c r="H187" s="630"/>
      <c r="I187" s="630"/>
      <c r="J187" s="631"/>
    </row>
    <row r="188" spans="1:19" ht="15.9" customHeight="1">
      <c r="A188" s="43"/>
      <c r="B188" s="156"/>
      <c r="C188" s="609" t="s">
        <v>209</v>
      </c>
      <c r="D188" s="609"/>
      <c r="E188" s="366"/>
      <c r="F188" s="366" t="s">
        <v>186</v>
      </c>
      <c r="G188" s="160" t="s">
        <v>186</v>
      </c>
      <c r="H188" s="626"/>
      <c r="I188" s="217" t="s">
        <v>63</v>
      </c>
      <c r="J188" s="218" t="s">
        <v>63</v>
      </c>
    </row>
    <row r="189" spans="1:19" ht="15.9" customHeight="1">
      <c r="A189" s="43"/>
      <c r="B189" s="154"/>
      <c r="C189" s="596" t="s">
        <v>210</v>
      </c>
      <c r="D189" s="595"/>
      <c r="E189" s="155"/>
      <c r="F189" s="155"/>
      <c r="G189" s="94">
        <f>+G20</f>
        <v>0</v>
      </c>
      <c r="H189" s="627"/>
      <c r="I189" s="154"/>
      <c r="J189" s="94">
        <f>+G189/J5</f>
        <v>0</v>
      </c>
    </row>
    <row r="190" spans="1:19" ht="15.9" customHeight="1">
      <c r="A190" s="43"/>
      <c r="B190" s="154"/>
      <c r="C190" s="596" t="s">
        <v>211</v>
      </c>
      <c r="D190" s="595"/>
      <c r="E190" s="155"/>
      <c r="F190" s="155"/>
      <c r="G190" s="94">
        <f>+G189*G23</f>
        <v>0</v>
      </c>
      <c r="H190" s="627"/>
      <c r="I190" s="154"/>
      <c r="J190" s="94">
        <f>+J189*J23</f>
        <v>0</v>
      </c>
    </row>
    <row r="191" spans="1:19" ht="15.9" customHeight="1">
      <c r="A191" s="43"/>
      <c r="B191" s="154"/>
      <c r="C191" s="610" t="s">
        <v>212</v>
      </c>
      <c r="D191" s="610"/>
      <c r="E191" s="155"/>
      <c r="F191" s="155"/>
      <c r="G191" s="94">
        <f>+G190*25%</f>
        <v>0</v>
      </c>
      <c r="H191" s="627"/>
      <c r="I191" s="154"/>
      <c r="J191" s="94">
        <f>+J190*25%</f>
        <v>0</v>
      </c>
    </row>
    <row r="192" spans="1:19" ht="15.9" customHeight="1">
      <c r="A192" s="43"/>
      <c r="B192" s="154"/>
      <c r="C192" s="594" t="s">
        <v>213</v>
      </c>
      <c r="D192" s="595"/>
      <c r="E192" s="155"/>
      <c r="F192" s="155"/>
      <c r="G192" s="94">
        <f>+G191*1%</f>
        <v>0</v>
      </c>
      <c r="H192" s="627"/>
      <c r="I192" s="154"/>
      <c r="J192" s="94">
        <f>G192/J5</f>
        <v>0</v>
      </c>
    </row>
    <row r="193" spans="1:20" ht="15.9" customHeight="1">
      <c r="A193" s="43"/>
      <c r="B193" s="154"/>
      <c r="C193" s="594" t="s">
        <v>214</v>
      </c>
      <c r="D193" s="595"/>
      <c r="E193" s="155"/>
      <c r="F193" s="155"/>
      <c r="G193" s="94">
        <f>G192*0.5</f>
        <v>0</v>
      </c>
      <c r="H193" s="627"/>
      <c r="I193" s="154"/>
      <c r="J193" s="94">
        <f>G193/J5</f>
        <v>0</v>
      </c>
    </row>
    <row r="194" spans="1:20" ht="15.9" customHeight="1" thickBot="1">
      <c r="A194" s="43"/>
      <c r="B194" s="154"/>
      <c r="C194" s="610" t="s">
        <v>215</v>
      </c>
      <c r="D194" s="610"/>
      <c r="E194" s="155"/>
      <c r="F194" s="155"/>
      <c r="G194" s="102">
        <f>G82</f>
        <v>565315.30184775486</v>
      </c>
      <c r="H194" s="627"/>
      <c r="I194" s="154"/>
      <c r="J194" s="102">
        <f>+J192+J193</f>
        <v>0</v>
      </c>
    </row>
    <row r="195" spans="1:20" ht="15.9" customHeight="1">
      <c r="A195" s="158"/>
      <c r="B195" s="370"/>
      <c r="C195" s="611"/>
      <c r="D195" s="611"/>
      <c r="E195" s="367"/>
      <c r="F195" s="367" t="s">
        <v>186</v>
      </c>
      <c r="G195" s="45" t="s">
        <v>186</v>
      </c>
      <c r="H195" s="627"/>
      <c r="I195" s="217" t="s">
        <v>63</v>
      </c>
      <c r="J195" s="218" t="s">
        <v>63</v>
      </c>
    </row>
    <row r="196" spans="1:20" ht="15.9" customHeight="1">
      <c r="A196" s="66"/>
      <c r="B196" s="91"/>
      <c r="C196" s="596" t="s">
        <v>216</v>
      </c>
      <c r="D196" s="595"/>
      <c r="E196" s="50"/>
      <c r="F196" s="42"/>
      <c r="G196" s="94">
        <f>+G54</f>
        <v>72</v>
      </c>
      <c r="H196" s="627"/>
      <c r="I196" s="83"/>
      <c r="J196" s="94">
        <f>+J54</f>
        <v>72</v>
      </c>
    </row>
    <row r="197" spans="1:20" ht="15.9" customHeight="1">
      <c r="A197" s="66"/>
      <c r="B197" s="91"/>
      <c r="C197" s="596" t="s">
        <v>217</v>
      </c>
      <c r="D197" s="595"/>
      <c r="E197" s="50"/>
      <c r="F197" s="42"/>
      <c r="G197" s="94">
        <f>F140</f>
        <v>9515</v>
      </c>
      <c r="H197" s="627"/>
      <c r="I197" s="83"/>
      <c r="J197" s="94">
        <f>I140</f>
        <v>9515</v>
      </c>
    </row>
    <row r="198" spans="1:20" ht="15.9" customHeight="1">
      <c r="A198" s="112"/>
      <c r="B198" s="91"/>
      <c r="C198" s="596" t="s">
        <v>218</v>
      </c>
      <c r="D198" s="595"/>
      <c r="E198" s="50"/>
      <c r="F198" s="42"/>
      <c r="G198" s="103">
        <f>+F60</f>
        <v>129</v>
      </c>
      <c r="H198" s="627"/>
      <c r="I198" s="83"/>
      <c r="J198" s="103">
        <f>+I60</f>
        <v>1.228337459531518</v>
      </c>
    </row>
    <row r="199" spans="1:20" ht="15.9" customHeight="1">
      <c r="A199" s="66"/>
      <c r="B199" s="91"/>
      <c r="C199" s="596" t="s">
        <v>218</v>
      </c>
      <c r="D199" s="595"/>
      <c r="E199" s="50"/>
      <c r="F199" s="42"/>
      <c r="G199" s="94">
        <f>(G197*G198*G196)</f>
        <v>88375320</v>
      </c>
      <c r="H199" s="627"/>
      <c r="I199" s="83"/>
      <c r="J199" s="94">
        <f>+G199/$J$5</f>
        <v>841509.42677585222</v>
      </c>
    </row>
    <row r="200" spans="1:20" ht="15.9" customHeight="1">
      <c r="A200" s="66"/>
      <c r="B200" s="91"/>
      <c r="C200" s="596" t="s">
        <v>219</v>
      </c>
      <c r="D200" s="595"/>
      <c r="E200" s="50"/>
      <c r="F200" s="42"/>
      <c r="G200" s="94">
        <f>G199/G196*12</f>
        <v>14729220</v>
      </c>
      <c r="H200" s="627"/>
      <c r="I200" s="83"/>
      <c r="J200" s="94">
        <f>+G200/$J$5</f>
        <v>140251.57112930872</v>
      </c>
    </row>
    <row r="201" spans="1:20" ht="15.9" customHeight="1">
      <c r="A201" s="66"/>
      <c r="B201" s="91"/>
      <c r="C201" s="596" t="s">
        <v>220</v>
      </c>
      <c r="D201" s="595"/>
      <c r="E201" s="50"/>
      <c r="F201" s="42"/>
      <c r="G201" s="94">
        <f>(+G220*115%)/5</f>
        <v>3026339.9999999995</v>
      </c>
      <c r="H201" s="627"/>
      <c r="I201" s="83"/>
      <c r="J201" s="94">
        <f>+G201/$J$5</f>
        <v>28816.796800609405</v>
      </c>
    </row>
    <row r="202" spans="1:20" ht="15.9" customHeight="1">
      <c r="A202" s="66"/>
      <c r="B202" s="91"/>
      <c r="C202" s="596" t="s">
        <v>221</v>
      </c>
      <c r="D202" s="595"/>
      <c r="E202" s="50"/>
      <c r="F202" s="42"/>
      <c r="G202" s="94">
        <f>(+I220*115%)/5</f>
        <v>2765157.6185172233</v>
      </c>
      <c r="H202" s="627"/>
      <c r="I202" s="83"/>
      <c r="J202" s="94">
        <f>+G202/$J$5</f>
        <v>26329.819258400526</v>
      </c>
    </row>
    <row r="203" spans="1:20" ht="15.9" customHeight="1">
      <c r="A203" s="66"/>
      <c r="B203" s="91"/>
      <c r="C203" s="596" t="s">
        <v>36</v>
      </c>
      <c r="D203" s="595"/>
      <c r="E203" s="50"/>
      <c r="F203" s="42"/>
      <c r="G203" s="94">
        <f>+G67</f>
        <v>11418000</v>
      </c>
      <c r="H203" s="627"/>
      <c r="I203" s="83"/>
      <c r="J203" s="94">
        <f>+G203/$J$5</f>
        <v>108722.14816225482</v>
      </c>
    </row>
    <row r="204" spans="1:20" ht="15.9" customHeight="1">
      <c r="A204" s="66"/>
      <c r="B204" s="91"/>
      <c r="C204" s="594" t="s">
        <v>222</v>
      </c>
      <c r="D204" s="595"/>
      <c r="E204" s="50"/>
      <c r="F204" s="42"/>
      <c r="G204" s="94">
        <f>(G200+G201+G202+G203)*1.18</f>
        <v>37687686.789850324</v>
      </c>
      <c r="H204" s="627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594" t="s">
        <v>223</v>
      </c>
      <c r="D205" s="595"/>
      <c r="E205" s="50"/>
      <c r="F205" s="42"/>
      <c r="G205" s="94">
        <f>G204*1%</f>
        <v>376876.86789850326</v>
      </c>
      <c r="H205" s="627"/>
      <c r="I205" s="83"/>
      <c r="J205" s="94">
        <f>J204*1%</f>
        <v>3041.2033535057349</v>
      </c>
    </row>
    <row r="206" spans="1:20" ht="15.9" customHeight="1">
      <c r="A206" s="66"/>
      <c r="B206" s="91"/>
      <c r="C206" s="596" t="s">
        <v>224</v>
      </c>
      <c r="D206" s="595"/>
      <c r="E206" s="50"/>
      <c r="F206" s="42"/>
      <c r="G206" s="94">
        <f>G204*0.5%</f>
        <v>188438.43394925163</v>
      </c>
      <c r="H206" s="627"/>
      <c r="I206" s="83"/>
      <c r="J206" s="94">
        <f>J204*0.5%</f>
        <v>1520.6016767528674</v>
      </c>
    </row>
    <row r="207" spans="1:20" ht="15.9" customHeight="1">
      <c r="A207" s="66"/>
      <c r="B207" s="91"/>
      <c r="C207" s="597" t="s">
        <v>215</v>
      </c>
      <c r="D207" s="598"/>
      <c r="E207" s="50"/>
      <c r="F207" s="42"/>
      <c r="G207" s="94">
        <f>G205+G206</f>
        <v>565315.30184775486</v>
      </c>
      <c r="H207" s="627"/>
      <c r="I207" s="83"/>
      <c r="J207" s="94">
        <v>0</v>
      </c>
      <c r="T207" s="395"/>
    </row>
    <row r="208" spans="1:20" ht="15.9" customHeight="1">
      <c r="A208" s="43"/>
      <c r="B208" s="71"/>
      <c r="C208" s="43"/>
      <c r="D208" s="43"/>
      <c r="E208" s="72"/>
      <c r="F208" s="43"/>
      <c r="G208" s="325"/>
      <c r="H208" s="627"/>
      <c r="I208" s="86"/>
      <c r="J208" s="73"/>
    </row>
    <row r="209" spans="1:24" ht="32.25" customHeight="1">
      <c r="A209" s="43"/>
      <c r="B209" s="362" t="s">
        <v>225</v>
      </c>
      <c r="C209" s="367" t="s">
        <v>226</v>
      </c>
      <c r="D209" s="370" t="s">
        <v>227</v>
      </c>
      <c r="E209" s="104"/>
      <c r="F209" s="45" t="s">
        <v>228</v>
      </c>
      <c r="G209" s="153" t="s">
        <v>229</v>
      </c>
      <c r="H209" s="627"/>
      <c r="I209" s="367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2">
        <v>0</v>
      </c>
      <c r="G210" s="93">
        <f>'Lease Rent'!P39</f>
        <v>1360000</v>
      </c>
      <c r="H210" s="627"/>
      <c r="I210" s="93">
        <f>'Lease Rent'!O39</f>
        <v>1178337.5999999999</v>
      </c>
      <c r="J210" s="94"/>
      <c r="S210" s="395"/>
      <c r="T210" s="394"/>
      <c r="U210" s="395"/>
      <c r="V210" s="394"/>
    </row>
    <row r="211" spans="1:24" ht="15.9" customHeight="1">
      <c r="A211" s="43"/>
      <c r="B211" s="91">
        <v>2</v>
      </c>
      <c r="C211" s="93">
        <f>'Lease Rent'!N51</f>
        <v>13701600</v>
      </c>
      <c r="D211" s="269"/>
      <c r="E211" s="50"/>
      <c r="F211" s="272">
        <f>F210</f>
        <v>0</v>
      </c>
      <c r="G211" s="93">
        <f>'Lease Rent'!P51</f>
        <v>2040000</v>
      </c>
      <c r="H211" s="627"/>
      <c r="I211" s="93">
        <f>'Lease Rent'!O51</f>
        <v>1826423.2800000005</v>
      </c>
      <c r="J211" s="94"/>
      <c r="S211" s="395"/>
      <c r="T211" s="394"/>
      <c r="U211" s="395"/>
    </row>
    <row r="212" spans="1:24" ht="15.9" customHeight="1">
      <c r="A212" s="43"/>
      <c r="B212" s="91">
        <v>3</v>
      </c>
      <c r="C212" s="93">
        <f>'Lease Rent'!N63</f>
        <v>13701600</v>
      </c>
      <c r="D212" s="269"/>
      <c r="E212" s="50"/>
      <c r="F212" s="272">
        <f>F211</f>
        <v>0</v>
      </c>
      <c r="G212" s="93">
        <f>'Lease Rent'!P63</f>
        <v>2040000</v>
      </c>
      <c r="H212" s="627"/>
      <c r="I212" s="93">
        <f>'Lease Rent'!O63</f>
        <v>1917744.4440000001</v>
      </c>
      <c r="J212" s="94"/>
      <c r="S212" s="395"/>
      <c r="T212" s="394"/>
      <c r="U212" s="395"/>
    </row>
    <row r="213" spans="1:24" ht="15.9" customHeight="1">
      <c r="A213" s="43"/>
      <c r="B213" s="91">
        <v>4</v>
      </c>
      <c r="C213" s="93">
        <f>'Lease Rent'!N75</f>
        <v>15071760</v>
      </c>
      <c r="D213" s="269"/>
      <c r="E213" s="50"/>
      <c r="F213" s="272">
        <f>+F212*115%</f>
        <v>0</v>
      </c>
      <c r="G213" s="93">
        <f>'Lease Rent'!P75</f>
        <v>2244000</v>
      </c>
      <c r="H213" s="627"/>
      <c r="I213" s="93">
        <f>'Lease Rent'!O75</f>
        <v>2013631.6662000006</v>
      </c>
      <c r="J213" s="94"/>
      <c r="S213" s="395"/>
      <c r="T213" s="394"/>
      <c r="U213" s="395"/>
    </row>
    <row r="214" spans="1:24" ht="15.9" customHeight="1">
      <c r="A214" s="43"/>
      <c r="B214" s="91">
        <v>5</v>
      </c>
      <c r="C214" s="93">
        <f>'Lease Rent'!N87</f>
        <v>15756840</v>
      </c>
      <c r="D214" s="269"/>
      <c r="E214" s="50"/>
      <c r="F214" s="272">
        <f>+F213</f>
        <v>0</v>
      </c>
      <c r="G214" s="93">
        <f>'Lease Rent'!P87</f>
        <v>2345999.9999999995</v>
      </c>
      <c r="H214" s="627"/>
      <c r="I214" s="93">
        <f>'Lease Rent'!O87</f>
        <v>2114313.2495100005</v>
      </c>
      <c r="J214" s="94"/>
      <c r="S214" s="395"/>
      <c r="T214" s="394"/>
      <c r="U214" s="395"/>
    </row>
    <row r="215" spans="1:24" ht="15.9" customHeight="1">
      <c r="A215" s="43"/>
      <c r="B215" s="107">
        <v>6</v>
      </c>
      <c r="C215" s="93">
        <f>'Lease Rent'!N99</f>
        <v>15756840</v>
      </c>
      <c r="D215" s="269"/>
      <c r="E215" s="109"/>
      <c r="F215" s="272">
        <f>+F214</f>
        <v>0</v>
      </c>
      <c r="G215" s="573">
        <f>'Lease Rent'!P99</f>
        <v>2345999.9999999995</v>
      </c>
      <c r="H215" s="627"/>
      <c r="I215" s="93">
        <f>'Lease Rent'!O99</f>
        <v>2220028.9119855007</v>
      </c>
      <c r="J215" s="94"/>
      <c r="T215" s="394"/>
      <c r="U215" s="395"/>
    </row>
    <row r="216" spans="1:24" ht="15.9" customHeight="1">
      <c r="A216" s="43"/>
      <c r="B216" s="107">
        <v>7</v>
      </c>
      <c r="C216" s="93">
        <f>'Lease Rent'!N103</f>
        <v>5252280</v>
      </c>
      <c r="D216" s="269"/>
      <c r="E216" s="109"/>
      <c r="F216" s="272">
        <f>+F215*115%</f>
        <v>0</v>
      </c>
      <c r="G216" s="573">
        <f>'Lease Rent'!P103</f>
        <v>781999.99999999988</v>
      </c>
      <c r="H216" s="627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0"/>
      <c r="E217" s="109"/>
      <c r="F217" s="273">
        <f>F216</f>
        <v>0</v>
      </c>
      <c r="G217" s="105">
        <f>'Lease Rent'!R10</f>
        <v>0</v>
      </c>
      <c r="H217" s="627"/>
      <c r="I217" s="289"/>
      <c r="J217" s="103"/>
    </row>
    <row r="218" spans="1:24" ht="15.9" customHeight="1">
      <c r="A218" s="43"/>
      <c r="B218" s="107">
        <v>9</v>
      </c>
      <c r="C218" s="108"/>
      <c r="D218" s="270"/>
      <c r="E218" s="109"/>
      <c r="F218" s="273">
        <f>F217</f>
        <v>0</v>
      </c>
      <c r="G218" s="110"/>
      <c r="H218" s="627"/>
      <c r="I218" s="93"/>
      <c r="J218" s="103"/>
    </row>
    <row r="219" spans="1:24" ht="15.9" customHeight="1">
      <c r="A219" s="43"/>
      <c r="B219" s="107">
        <v>10</v>
      </c>
      <c r="C219" s="108"/>
      <c r="D219" s="219"/>
      <c r="E219" s="109"/>
      <c r="F219" s="220"/>
      <c r="G219" s="110"/>
      <c r="H219" s="627"/>
      <c r="I219" s="93"/>
      <c r="J219" s="103"/>
    </row>
    <row r="220" spans="1:24" ht="15.9" customHeight="1" thickBot="1">
      <c r="A220" s="43"/>
      <c r="B220" s="111" t="s">
        <v>29</v>
      </c>
      <c r="C220" s="271">
        <f>SUM(C210:C219)</f>
        <v>88375320</v>
      </c>
      <c r="D220" s="271"/>
      <c r="E220" s="44"/>
      <c r="F220" s="271">
        <f>+AVERAGE(F210:F219)</f>
        <v>0</v>
      </c>
      <c r="G220" s="271">
        <f>SUM(G210:G219)</f>
        <v>13158000</v>
      </c>
      <c r="H220" s="628"/>
      <c r="I220" s="271">
        <f>SUM(I210:I219)</f>
        <v>12022424.428335754</v>
      </c>
      <c r="J220" s="271">
        <f>SUM(J210:J219)</f>
        <v>0</v>
      </c>
      <c r="S220" s="396"/>
      <c r="X220" s="396"/>
    </row>
    <row r="221" spans="1:24">
      <c r="S221" s="394"/>
    </row>
    <row r="222" spans="1:24">
      <c r="C222" s="396"/>
      <c r="D222" s="388"/>
      <c r="G222" s="396"/>
      <c r="I222" s="396"/>
    </row>
    <row r="223" spans="1:24">
      <c r="C223" s="394"/>
      <c r="D223" s="394"/>
      <c r="F223" s="395"/>
      <c r="I223" s="395"/>
    </row>
    <row r="224" spans="1:24">
      <c r="C224" s="394"/>
      <c r="D224" s="400"/>
      <c r="I224" s="394"/>
      <c r="J224" s="400"/>
    </row>
    <row r="225" spans="3:10">
      <c r="C225" s="394"/>
      <c r="I225" s="394"/>
    </row>
    <row r="226" spans="3:10">
      <c r="C226" s="396"/>
      <c r="D226" s="394"/>
      <c r="I226" s="396"/>
      <c r="J226" s="394"/>
    </row>
    <row r="227" spans="3:10">
      <c r="C227" s="394"/>
    </row>
    <row r="228" spans="3:10">
      <c r="C228" s="394"/>
    </row>
    <row r="229" spans="3:10">
      <c r="C229" s="394"/>
    </row>
    <row r="230" spans="3:10">
      <c r="C230" s="394"/>
    </row>
    <row r="231" spans="3:10">
      <c r="C231" s="394"/>
      <c r="D231" s="394"/>
      <c r="F231" s="394"/>
      <c r="I231" s="394"/>
    </row>
    <row r="232" spans="3:10">
      <c r="I232" s="394"/>
    </row>
    <row r="233" spans="3:10">
      <c r="I233" s="394"/>
      <c r="J233" s="394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abSelected="1" zoomScale="112" zoomScaleNormal="112" workbookViewId="0">
      <selection activeCell="Z28" sqref="Z2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0" width="16.6328125" style="1" bestFit="1" customWidth="1"/>
    <col min="21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70"/>
      <c r="B2" s="671"/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671"/>
      <c r="V2" s="671"/>
      <c r="W2" s="671"/>
      <c r="X2" s="671"/>
      <c r="Y2" s="671"/>
      <c r="Z2" s="671"/>
      <c r="AA2" s="695"/>
    </row>
    <row r="3" spans="1:27" ht="11.25" customHeight="1">
      <c r="A3" s="696"/>
      <c r="B3" s="697"/>
      <c r="C3" s="697"/>
      <c r="D3" s="697"/>
      <c r="E3" s="697"/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  <c r="AA3" s="698"/>
    </row>
    <row r="4" spans="1:27" ht="12" customHeight="1" thickBot="1">
      <c r="A4" s="699"/>
      <c r="B4" s="700"/>
      <c r="C4" s="700"/>
      <c r="D4" s="700"/>
      <c r="E4" s="700"/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  <c r="AA4" s="701"/>
    </row>
    <row r="5" spans="1:27" ht="12.75" customHeight="1">
      <c r="A5" s="670" t="s">
        <v>0</v>
      </c>
      <c r="B5" s="671"/>
      <c r="C5" s="671"/>
      <c r="D5" s="671"/>
      <c r="E5" s="671"/>
      <c r="F5" s="671"/>
      <c r="G5" s="671"/>
      <c r="H5" s="671"/>
      <c r="I5" s="671"/>
      <c r="J5" s="671"/>
      <c r="K5" s="671"/>
      <c r="L5" s="671"/>
      <c r="M5" s="671"/>
      <c r="N5" s="671"/>
      <c r="O5" s="671"/>
      <c r="P5" s="671"/>
      <c r="Q5" s="671"/>
      <c r="R5" s="671"/>
      <c r="S5" s="671"/>
      <c r="T5" s="671"/>
      <c r="U5" s="671"/>
      <c r="V5" s="671"/>
      <c r="W5" s="671"/>
      <c r="X5" s="671"/>
      <c r="Y5" s="671"/>
      <c r="Z5" s="671"/>
      <c r="AA5" s="695"/>
    </row>
    <row r="6" spans="1:27" ht="13.5" customHeight="1">
      <c r="A6" s="702"/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  <c r="AA6" s="704"/>
    </row>
    <row r="7" spans="1:27" ht="13.5" customHeight="1" thickBot="1">
      <c r="A7" s="705" t="s">
        <v>292</v>
      </c>
      <c r="B7" s="706"/>
      <c r="C7" s="706"/>
      <c r="D7" s="706"/>
      <c r="E7" s="706"/>
      <c r="F7" s="706"/>
      <c r="G7" s="706"/>
      <c r="H7" s="706"/>
      <c r="I7" s="706"/>
      <c r="J7" s="706"/>
      <c r="K7" s="706"/>
      <c r="L7" s="706"/>
      <c r="M7" s="706"/>
      <c r="N7" s="706"/>
      <c r="O7" s="706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  <c r="AA7" s="708"/>
    </row>
    <row r="8" spans="1:27" ht="12.75" customHeight="1" thickBot="1">
      <c r="A8" s="709" t="s">
        <v>1</v>
      </c>
      <c r="B8" s="710"/>
      <c r="C8" s="710"/>
      <c r="D8" s="710"/>
      <c r="E8" s="710"/>
      <c r="F8" s="710"/>
      <c r="G8" s="710"/>
      <c r="H8" s="710"/>
      <c r="I8" s="710"/>
      <c r="J8" s="710"/>
      <c r="K8" s="710"/>
      <c r="L8" s="710"/>
      <c r="M8" s="710"/>
      <c r="N8" s="711"/>
      <c r="O8" s="6"/>
      <c r="P8" s="709" t="s">
        <v>2</v>
      </c>
      <c r="Q8" s="710"/>
      <c r="R8" s="710"/>
      <c r="S8" s="710"/>
      <c r="T8" s="710"/>
      <c r="U8" s="710"/>
      <c r="V8" s="710"/>
      <c r="W8" s="710"/>
      <c r="X8" s="710"/>
      <c r="Y8" s="710"/>
      <c r="Z8" s="710"/>
      <c r="AA8" s="712"/>
    </row>
    <row r="9" spans="1:27" s="203" customFormat="1" ht="45.75" customHeight="1">
      <c r="A9" s="204">
        <f>+'Rent Calculation'!B1</f>
        <v>0</v>
      </c>
      <c r="B9" s="205" t="s">
        <v>3</v>
      </c>
      <c r="C9" s="205" t="s">
        <v>4</v>
      </c>
      <c r="D9" s="205" t="s">
        <v>5</v>
      </c>
      <c r="E9" s="205" t="s">
        <v>294</v>
      </c>
      <c r="F9" s="205" t="s">
        <v>6</v>
      </c>
      <c r="G9" s="205" t="s">
        <v>7</v>
      </c>
      <c r="H9" s="206" t="s">
        <v>8</v>
      </c>
      <c r="I9" s="205" t="s">
        <v>9</v>
      </c>
      <c r="J9" s="205" t="s">
        <v>10</v>
      </c>
      <c r="K9" s="205" t="s">
        <v>11</v>
      </c>
      <c r="L9" s="206" t="s">
        <v>12</v>
      </c>
      <c r="M9" s="205" t="s">
        <v>13</v>
      </c>
      <c r="N9" s="205" t="s">
        <v>14</v>
      </c>
      <c r="O9" s="207"/>
      <c r="P9" s="208" t="s">
        <v>15</v>
      </c>
      <c r="Q9" s="209">
        <f>+'Rent Calculation'!F28</f>
        <v>0.105</v>
      </c>
      <c r="R9" s="210"/>
      <c r="S9" s="208" t="s">
        <v>16</v>
      </c>
      <c r="T9" s="211">
        <f>'Rent Calculation'!J5</f>
        <v>105.02</v>
      </c>
      <c r="U9" s="212"/>
      <c r="V9" s="213"/>
      <c r="W9" s="213"/>
      <c r="X9" s="213"/>
      <c r="Y9" s="213"/>
      <c r="Z9" s="213"/>
      <c r="AA9" s="214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12.611665790856541</v>
      </c>
      <c r="F10" s="8">
        <f>+'Rent Calculation'!F41</f>
        <v>15.48</v>
      </c>
      <c r="G10" s="8">
        <f t="shared" ref="G10:G15" si="0">SUM(B10:F10)</f>
        <v>148.09166579085652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119999.99999999999</v>
      </c>
      <c r="F11" s="9">
        <f>F10*'Rent Calculation'!F21</f>
        <v>147292.20000000001</v>
      </c>
      <c r="G11" s="9">
        <f t="shared" si="0"/>
        <v>1409092.2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5">
        <f>+Q28</f>
        <v>14000000</v>
      </c>
      <c r="J12" s="345">
        <f>+Q27</f>
        <v>1500000</v>
      </c>
      <c r="K12" s="5">
        <f>+G12+I12+J12</f>
        <v>27172737.600000001</v>
      </c>
      <c r="L12" s="345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5">
        <f>+R28</f>
        <v>12000000</v>
      </c>
      <c r="J13" s="345">
        <f>+R27</f>
        <v>200000</v>
      </c>
      <c r="K13" s="5">
        <f t="shared" ref="K13:K21" si="1">+G13+I13+J13</f>
        <v>29768023.280000001</v>
      </c>
      <c r="L13" s="345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5">
        <f>+S28</f>
        <v>5000000</v>
      </c>
      <c r="J14" s="345">
        <f>+S27</f>
        <v>200000</v>
      </c>
      <c r="K14" s="5">
        <f t="shared" si="1"/>
        <v>22859344.443999998</v>
      </c>
      <c r="L14" s="345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79">
        <f>H20</f>
        <v>0</v>
      </c>
      <c r="Z14" s="179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5">
        <f>+T28</f>
        <v>6000000</v>
      </c>
      <c r="J15" s="345">
        <f>+T27</f>
        <v>200000</v>
      </c>
      <c r="K15" s="5">
        <f t="shared" si="1"/>
        <v>25529391.666200001</v>
      </c>
      <c r="L15" s="345">
        <f t="shared" si="2"/>
        <v>243090.76048562181</v>
      </c>
      <c r="M15" s="5"/>
      <c r="N15" s="5"/>
      <c r="P15" s="182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3">
        <f>+W26/$T$9</f>
        <v>-113483.14606741573</v>
      </c>
      <c r="X15" s="183">
        <f>+X26/$T$9</f>
        <v>0</v>
      </c>
      <c r="Y15" s="183">
        <f>+Y26/$T$9</f>
        <v>0</v>
      </c>
      <c r="Z15" s="183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5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5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5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5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5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5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5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5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6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5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88" t="s">
        <v>36</v>
      </c>
      <c r="Q26" s="288">
        <f>U34</f>
        <v>11918000</v>
      </c>
      <c r="R26" s="358"/>
      <c r="S26" s="288"/>
      <c r="T26" s="288"/>
      <c r="U26" s="580"/>
      <c r="V26" s="288"/>
      <c r="W26" s="288">
        <f>-Q26</f>
        <v>-11918000</v>
      </c>
      <c r="X26" s="581"/>
      <c r="Y26" s="581"/>
      <c r="Z26" s="582">
        <v>0</v>
      </c>
      <c r="AA26" s="583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PM'!F104</f>
        <v>1500000</v>
      </c>
      <c r="R27" s="10">
        <f>'CAPEX and PM'!G104</f>
        <v>200000</v>
      </c>
      <c r="S27" s="10">
        <f>'CAPEX and PM'!H104</f>
        <v>200000</v>
      </c>
      <c r="T27" s="10">
        <f>'CAPEX and PM'!I104</f>
        <v>200000</v>
      </c>
      <c r="U27" s="10">
        <f>'CAPEX and PM'!J104</f>
        <v>200000</v>
      </c>
      <c r="V27" s="10">
        <f>+'CAPEX and PM'!K104</f>
        <v>200000</v>
      </c>
      <c r="W27" s="10">
        <f>+'CAPEX and PM'!L104</f>
        <v>0</v>
      </c>
      <c r="X27" s="10">
        <f>+'CAPEX and PM'!M104</f>
        <v>0</v>
      </c>
      <c r="Y27" s="10">
        <f>+'CAPEX and PM'!N104</f>
        <v>0</v>
      </c>
      <c r="Z27" s="10">
        <f>+'CAPEX and PM'!O104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75">
        <f>+H31/1000000</f>
        <v>1.8436589195408826</v>
      </c>
      <c r="I32" s="149"/>
      <c r="J32" s="149"/>
      <c r="K32" s="149"/>
      <c r="L32" s="149"/>
      <c r="M32" s="35"/>
      <c r="N32" s="575">
        <f>+N31/1000000</f>
        <v>1.4582436408706672</v>
      </c>
      <c r="P32" s="27"/>
      <c r="Q32" s="28" t="s">
        <v>47</v>
      </c>
      <c r="R32" s="29" t="s">
        <v>52</v>
      </c>
      <c r="T32" s="692" t="s">
        <v>53</v>
      </c>
      <c r="U32" s="693"/>
      <c r="V32" s="694"/>
    </row>
    <row r="33" spans="1:27" ht="10.5">
      <c r="A33" s="36"/>
      <c r="H33" s="1"/>
      <c r="I33" s="1"/>
      <c r="J33" s="171"/>
      <c r="K33" s="1"/>
      <c r="L33" s="1"/>
      <c r="M33" s="1"/>
      <c r="N33" s="171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6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76">
        <f>+H32+H34</f>
        <v>1.8436589195408826</v>
      </c>
      <c r="I36" s="152"/>
      <c r="J36" s="152"/>
      <c r="K36" s="152"/>
      <c r="L36" s="152"/>
      <c r="M36" s="3"/>
      <c r="N36" s="576">
        <f>+N32+N34</f>
        <v>1.4582436408706672</v>
      </c>
      <c r="P36" s="691"/>
      <c r="Q36" s="691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59"/>
      <c r="P37" s="563"/>
      <c r="Q37" s="563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2"/>
      <c r="G38" s="352"/>
      <c r="H38" s="352"/>
      <c r="I38" s="352"/>
      <c r="J38" s="352"/>
      <c r="K38" s="352"/>
      <c r="M38" s="1"/>
      <c r="Q38" s="216"/>
      <c r="T38" s="41" t="s">
        <v>29</v>
      </c>
      <c r="U38" s="577">
        <f>SUM(U34:U37)</f>
        <v>11918000</v>
      </c>
      <c r="V38" s="579">
        <f>SUM(V34:V37)</f>
        <v>113483.14606741573</v>
      </c>
    </row>
    <row r="39" spans="1:27" ht="10.5">
      <c r="A39" s="36"/>
      <c r="F39" s="352"/>
      <c r="G39" s="352"/>
      <c r="H39" s="216"/>
      <c r="I39" s="1"/>
      <c r="J39" s="1"/>
      <c r="K39" s="1"/>
      <c r="L39" s="1"/>
      <c r="M39" s="1"/>
      <c r="Q39" s="216"/>
      <c r="T39" s="578"/>
      <c r="U39" s="544"/>
      <c r="V39" s="544"/>
    </row>
    <row r="40" spans="1:27" ht="10.5">
      <c r="A40" s="36"/>
      <c r="H40" s="1"/>
      <c r="I40" s="1"/>
      <c r="J40" s="1"/>
      <c r="K40" s="1"/>
      <c r="L40" s="1"/>
      <c r="M40" s="1"/>
      <c r="N40" s="1"/>
      <c r="Q40" s="216"/>
      <c r="T40" s="533"/>
      <c r="U40" s="555"/>
      <c r="V40" s="2"/>
    </row>
    <row r="41" spans="1:27" ht="10.5">
      <c r="A41" s="36"/>
      <c r="H41" s="360"/>
      <c r="I41" s="1"/>
      <c r="J41" s="216"/>
      <c r="K41" s="1"/>
      <c r="L41" s="1"/>
      <c r="M41" s="1"/>
      <c r="N41" s="1"/>
      <c r="P41" s="216"/>
      <c r="Q41" s="216"/>
      <c r="T41" s="533"/>
      <c r="U41" s="555"/>
      <c r="V41" s="2"/>
    </row>
    <row r="42" spans="1:27" ht="10.5">
      <c r="A42" s="36"/>
      <c r="F42" s="184"/>
      <c r="H42" s="1"/>
      <c r="I42" s="1"/>
      <c r="J42" s="361"/>
      <c r="K42" s="1"/>
      <c r="L42" s="1"/>
      <c r="M42" s="1"/>
      <c r="N42" s="1"/>
      <c r="T42" s="533"/>
      <c r="U42" s="555"/>
      <c r="V42" s="2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3"/>
      <c r="Q44" s="533"/>
      <c r="R44" s="533"/>
    </row>
    <row r="45" spans="1:27" ht="10.5">
      <c r="R45" s="534"/>
      <c r="S45" s="534"/>
      <c r="T45" s="534"/>
      <c r="U45" s="534"/>
      <c r="V45" s="534"/>
      <c r="W45" s="534"/>
      <c r="X45" s="534"/>
      <c r="Y45" s="534"/>
      <c r="Z45" s="534"/>
    </row>
    <row r="46" spans="1:27" ht="13">
      <c r="A46" s="562"/>
      <c r="B46" s="535"/>
      <c r="C46" s="536"/>
      <c r="D46" s="536"/>
      <c r="E46" s="536"/>
      <c r="F46" s="535"/>
      <c r="G46" s="535"/>
      <c r="H46" s="537"/>
      <c r="I46" s="535"/>
      <c r="J46" s="535"/>
      <c r="K46" s="535"/>
      <c r="L46" s="537"/>
      <c r="M46" s="535"/>
      <c r="N46" s="536"/>
      <c r="P46" s="538"/>
      <c r="Q46" s="539"/>
      <c r="R46" s="534"/>
      <c r="S46" s="534"/>
      <c r="T46" s="534"/>
      <c r="U46" s="534"/>
      <c r="V46" s="534"/>
      <c r="W46" s="534"/>
      <c r="X46" s="534"/>
      <c r="Y46" s="534"/>
      <c r="Z46" s="534"/>
      <c r="AA46" s="540"/>
    </row>
    <row r="47" spans="1:27" ht="12.5">
      <c r="A47" s="541"/>
      <c r="B47" s="542"/>
      <c r="C47" s="542"/>
      <c r="D47" s="542"/>
      <c r="E47" s="542"/>
      <c r="F47" s="542"/>
      <c r="G47" s="543"/>
      <c r="H47" s="1"/>
      <c r="I47" s="1"/>
      <c r="J47" s="1"/>
      <c r="K47" s="1"/>
      <c r="L47" s="1"/>
      <c r="M47" s="1"/>
      <c r="P47" s="533"/>
      <c r="Q47" s="418"/>
      <c r="R47" s="418"/>
      <c r="S47" s="418"/>
      <c r="T47" s="418"/>
      <c r="U47" s="418"/>
      <c r="V47" s="418"/>
      <c r="W47" s="418"/>
      <c r="X47" s="418"/>
      <c r="Y47" s="418"/>
      <c r="Z47" s="418"/>
      <c r="AA47" s="418"/>
    </row>
    <row r="48" spans="1:27" ht="12.5">
      <c r="A48" s="541"/>
      <c r="B48" s="2"/>
      <c r="C48" s="2"/>
      <c r="D48" s="2"/>
      <c r="E48" s="2"/>
      <c r="F48" s="2"/>
      <c r="G48" s="543"/>
      <c r="H48" s="1"/>
      <c r="I48" s="1"/>
      <c r="J48" s="1"/>
      <c r="K48" s="1"/>
      <c r="L48" s="1"/>
      <c r="O48" s="544"/>
      <c r="P48" s="545"/>
      <c r="Q48" s="418"/>
      <c r="R48" s="418"/>
      <c r="S48" s="418"/>
      <c r="T48" s="418"/>
      <c r="U48" s="418"/>
      <c r="V48" s="418"/>
      <c r="W48" s="418"/>
      <c r="X48" s="418"/>
      <c r="Y48" s="418"/>
      <c r="Z48" s="418"/>
      <c r="AA48" s="418"/>
    </row>
    <row r="49" spans="1:28" ht="12.5">
      <c r="B49" s="2"/>
      <c r="C49" s="2"/>
      <c r="D49" s="2"/>
      <c r="E49" s="2"/>
      <c r="F49" s="2"/>
      <c r="G49" s="543"/>
      <c r="H49" s="1"/>
      <c r="K49" s="1"/>
      <c r="L49" s="1"/>
      <c r="O49" s="544"/>
      <c r="Q49" s="546"/>
      <c r="R49" s="546"/>
      <c r="S49" s="546"/>
      <c r="T49" s="546"/>
      <c r="U49" s="546"/>
      <c r="V49" s="546"/>
      <c r="W49" s="546"/>
      <c r="X49" s="546"/>
      <c r="Y49" s="546"/>
      <c r="Z49" s="546"/>
      <c r="AA49" s="418"/>
    </row>
    <row r="50" spans="1:28" ht="13"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S50" s="418"/>
      <c r="T50" s="418"/>
      <c r="U50" s="418"/>
      <c r="V50" s="418"/>
      <c r="W50" s="418"/>
      <c r="X50" s="418"/>
      <c r="Y50" s="2"/>
      <c r="Z50" s="2"/>
      <c r="AA50" s="418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18"/>
      <c r="AA51" s="418"/>
    </row>
    <row r="52" spans="1:28" ht="12.5">
      <c r="B52" s="2"/>
      <c r="C52" s="2"/>
      <c r="D52" s="2"/>
      <c r="E52" s="2"/>
      <c r="F52" s="2"/>
      <c r="G52" s="533"/>
      <c r="H52" s="547"/>
      <c r="I52" s="547"/>
      <c r="J52" s="547"/>
      <c r="K52" s="547"/>
      <c r="L52" s="547"/>
      <c r="M52" s="1"/>
      <c r="N52" s="533"/>
      <c r="P52" s="1"/>
      <c r="Q52" s="418"/>
      <c r="R52" s="418"/>
      <c r="S52" s="418"/>
      <c r="T52" s="418"/>
      <c r="U52" s="418"/>
      <c r="V52" s="418"/>
      <c r="W52" s="418"/>
      <c r="X52" s="418"/>
      <c r="Y52" s="418"/>
      <c r="Z52" s="418"/>
      <c r="AA52" s="418"/>
    </row>
    <row r="53" spans="1:28" ht="12.5">
      <c r="B53" s="2"/>
      <c r="C53" s="2"/>
      <c r="D53" s="2"/>
      <c r="E53" s="2"/>
      <c r="F53" s="2"/>
      <c r="G53" s="548"/>
      <c r="H53" s="548"/>
      <c r="I53" s="548"/>
      <c r="J53" s="548"/>
      <c r="K53" s="548"/>
      <c r="L53" s="548"/>
      <c r="M53" s="1"/>
      <c r="N53" s="533"/>
      <c r="P53" s="533"/>
      <c r="Q53" s="418"/>
      <c r="R53" s="418"/>
      <c r="S53" s="418"/>
      <c r="T53" s="418"/>
      <c r="U53" s="418"/>
      <c r="V53" s="418"/>
      <c r="W53" s="418"/>
      <c r="X53" s="418"/>
      <c r="Y53" s="418"/>
      <c r="Z53" s="418"/>
      <c r="AA53" s="418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3"/>
      <c r="H55" s="547"/>
      <c r="I55" s="547"/>
      <c r="J55" s="547"/>
      <c r="K55" s="547"/>
      <c r="L55" s="547"/>
      <c r="M55" s="1"/>
      <c r="N55" s="533"/>
      <c r="P55" s="1"/>
      <c r="Q55" s="1"/>
      <c r="R55" s="1"/>
      <c r="S55" s="1"/>
      <c r="AB55" s="561"/>
    </row>
    <row r="56" spans="1:28" ht="13">
      <c r="B56" s="2"/>
      <c r="C56" s="2"/>
      <c r="D56" s="2"/>
      <c r="E56" s="2"/>
      <c r="F56" s="2"/>
      <c r="H56" s="562"/>
      <c r="I56" s="562"/>
      <c r="J56" s="562"/>
      <c r="K56" s="562"/>
      <c r="L56" s="562"/>
      <c r="M56" s="562"/>
      <c r="N56" s="562"/>
      <c r="P56" s="533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0"/>
    </row>
    <row r="57" spans="1:28" ht="12.5">
      <c r="B57" s="2"/>
      <c r="C57" s="2"/>
      <c r="D57" s="2"/>
      <c r="E57" s="2"/>
      <c r="F57" s="2"/>
      <c r="G57" s="551"/>
      <c r="H57" s="1"/>
      <c r="I57" s="1"/>
      <c r="J57" s="1"/>
      <c r="K57" s="1"/>
      <c r="L57" s="1"/>
      <c r="M57" s="1"/>
      <c r="N57" s="551"/>
      <c r="P57" s="533"/>
      <c r="Q57" s="418"/>
      <c r="R57" s="418"/>
      <c r="S57" s="418"/>
      <c r="T57" s="418"/>
      <c r="U57" s="418"/>
      <c r="V57" s="418"/>
      <c r="W57" s="418"/>
      <c r="X57" s="418"/>
      <c r="Y57" s="418"/>
      <c r="Z57" s="418"/>
      <c r="AA57" s="550"/>
      <c r="AB57" s="552"/>
    </row>
    <row r="58" spans="1:28" ht="10.5">
      <c r="A58" s="54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4"/>
      <c r="R58" s="544"/>
      <c r="S58" s="544"/>
      <c r="T58" s="544"/>
      <c r="AA58" s="552"/>
    </row>
    <row r="59" spans="1:28">
      <c r="A59" s="543"/>
      <c r="B59" s="553"/>
      <c r="C59" s="553"/>
      <c r="D59" s="553"/>
      <c r="E59" s="553"/>
      <c r="F59" s="2"/>
      <c r="G59" s="2"/>
      <c r="H59" s="1"/>
      <c r="I59" s="1"/>
      <c r="J59" s="1"/>
      <c r="K59" s="1"/>
      <c r="L59" s="1"/>
      <c r="M59" s="1"/>
      <c r="T59" s="2"/>
      <c r="X59" s="216"/>
      <c r="AA59" s="554"/>
      <c r="AB59" s="171"/>
    </row>
    <row r="60" spans="1:28">
      <c r="A60" s="555"/>
      <c r="B60" s="556"/>
      <c r="C60" s="556"/>
      <c r="D60" s="556"/>
      <c r="E60" s="556"/>
      <c r="H60" s="1"/>
      <c r="I60" s="1"/>
      <c r="J60" s="1"/>
      <c r="K60" s="1"/>
      <c r="L60" s="1"/>
      <c r="M60" s="1"/>
      <c r="T60" s="2"/>
      <c r="X60" s="216"/>
      <c r="AA60" s="554"/>
      <c r="AB60" s="171"/>
    </row>
    <row r="61" spans="1:28" ht="10.5">
      <c r="A61" s="554"/>
      <c r="B61" s="556"/>
      <c r="C61" s="556"/>
      <c r="D61" s="556"/>
      <c r="E61" s="556"/>
      <c r="H61" s="1"/>
      <c r="I61" s="1"/>
      <c r="J61" s="1"/>
      <c r="K61" s="1"/>
      <c r="L61" s="1"/>
      <c r="M61" s="1"/>
      <c r="P61" s="533"/>
      <c r="Q61" s="1"/>
      <c r="T61" s="2"/>
      <c r="X61" s="216"/>
      <c r="AA61" s="557"/>
    </row>
    <row r="62" spans="1:28">
      <c r="A62" s="554"/>
      <c r="B62" s="556"/>
      <c r="C62" s="556"/>
      <c r="D62" s="556"/>
      <c r="E62" s="55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4"/>
      <c r="B63" s="556"/>
      <c r="C63" s="556"/>
      <c r="D63" s="556"/>
      <c r="E63" s="55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4"/>
      <c r="B64" s="556"/>
      <c r="C64" s="556"/>
      <c r="D64" s="556"/>
      <c r="E64" s="55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58"/>
      <c r="B65" s="556"/>
      <c r="C65" s="556"/>
      <c r="D65" s="556"/>
      <c r="E65" s="55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4"/>
      <c r="B66" s="556"/>
      <c r="C66" s="556"/>
      <c r="D66" s="556"/>
      <c r="E66" s="55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59"/>
      <c r="B67" s="556"/>
      <c r="C67" s="43"/>
      <c r="M67" s="1"/>
    </row>
    <row r="68" spans="1:19" ht="12.75" customHeight="1">
      <c r="A68" s="560"/>
      <c r="B68" s="556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E33" sqref="E33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6" bestFit="1" customWidth="1"/>
    <col min="15" max="15" width="15.08984375" style="416" bestFit="1" customWidth="1"/>
    <col min="16" max="16" width="14.08984375" style="416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6" t="s">
        <v>233</v>
      </c>
      <c r="C1" s="327"/>
      <c r="D1" s="327"/>
      <c r="E1" s="327"/>
      <c r="F1" s="327"/>
      <c r="G1" s="327"/>
      <c r="H1" s="327"/>
      <c r="I1" s="328"/>
      <c r="J1" s="327"/>
      <c r="K1" s="329">
        <v>10.763999999999999</v>
      </c>
      <c r="L1" s="330">
        <f>D24</f>
        <v>130</v>
      </c>
      <c r="M1" s="327"/>
      <c r="N1" s="339"/>
      <c r="O1" s="339"/>
      <c r="P1" s="339"/>
      <c r="Q1" s="327"/>
      <c r="R1" s="327"/>
      <c r="S1" s="327"/>
      <c r="T1" s="327"/>
    </row>
    <row r="2" spans="2:21" ht="21" hidden="1">
      <c r="B2" s="331" t="s">
        <v>234</v>
      </c>
      <c r="C2" s="331" t="s">
        <v>235</v>
      </c>
      <c r="D2" s="331" t="s">
        <v>236</v>
      </c>
      <c r="E2" s="331" t="s">
        <v>238</v>
      </c>
      <c r="F2" s="331" t="s">
        <v>237</v>
      </c>
      <c r="G2" s="331" t="s">
        <v>239</v>
      </c>
      <c r="H2" s="331" t="s">
        <v>240</v>
      </c>
      <c r="I2" s="332" t="s">
        <v>241</v>
      </c>
      <c r="J2" s="331" t="s">
        <v>62</v>
      </c>
      <c r="K2" s="332" t="s">
        <v>242</v>
      </c>
      <c r="L2" s="332" t="s">
        <v>243</v>
      </c>
      <c r="M2" s="332" t="s">
        <v>244</v>
      </c>
      <c r="N2" s="440" t="s">
        <v>245</v>
      </c>
      <c r="O2" s="441"/>
      <c r="P2" s="440" t="s">
        <v>232</v>
      </c>
      <c r="Q2" s="331" t="s">
        <v>61</v>
      </c>
      <c r="R2" s="331" t="s">
        <v>284</v>
      </c>
      <c r="S2" s="331" t="s">
        <v>62</v>
      </c>
      <c r="T2" s="331" t="s">
        <v>29</v>
      </c>
    </row>
    <row r="3" spans="2:21" hidden="1">
      <c r="B3" s="333">
        <v>45976</v>
      </c>
      <c r="C3" s="334">
        <v>46295</v>
      </c>
      <c r="D3" s="335">
        <f>ROUND((C3-B3)/30,0)-0.5</f>
        <v>10.5</v>
      </c>
      <c r="E3" s="335">
        <f>'Rent Calculation'!F21</f>
        <v>9515</v>
      </c>
      <c r="F3" s="335">
        <f>'Rent Calculation'!G21</f>
        <v>883.96506874767749</v>
      </c>
      <c r="G3" s="337"/>
      <c r="H3" s="336">
        <f>'Rent Calculation'!F36</f>
        <v>120</v>
      </c>
      <c r="I3" s="385">
        <f>E25</f>
        <v>1307.6923076923076</v>
      </c>
      <c r="J3" s="335">
        <f>14.67723796875</f>
        <v>14.677237968749999</v>
      </c>
      <c r="K3" s="335">
        <f>H3*$K$1</f>
        <v>1291.6799999999998</v>
      </c>
      <c r="L3" s="336">
        <f t="shared" ref="L3:L10" si="0">I3/E3</f>
        <v>0.13743481951574438</v>
      </c>
      <c r="M3" s="336">
        <f>J3*$K$1</f>
        <v>157.98578949562497</v>
      </c>
      <c r="N3" s="385">
        <f>K3+L3</f>
        <v>1291.8174348195155</v>
      </c>
      <c r="O3" s="339"/>
      <c r="P3" s="442">
        <f>YEAR(C3)</f>
        <v>2026</v>
      </c>
      <c r="Q3" s="385">
        <f t="shared" ref="Q3:Q10" si="1">D3*E3*H3</f>
        <v>11988900</v>
      </c>
      <c r="R3" s="385">
        <f t="shared" ref="R3:R8" si="2">$I$37*D3</f>
        <v>1785000</v>
      </c>
      <c r="S3" s="385">
        <f t="shared" ref="S3:S10" si="3">D3*E3*J3</f>
        <v>1466366.1523628905</v>
      </c>
      <c r="T3" s="385">
        <f>SUM(Q3:S3)</f>
        <v>15240266.152362891</v>
      </c>
      <c r="U3" s="419">
        <f>T3/12</f>
        <v>1270022.1793635741</v>
      </c>
    </row>
    <row r="4" spans="2:21" hidden="1">
      <c r="B4" s="333">
        <f>C3+1</f>
        <v>46296</v>
      </c>
      <c r="C4" s="333">
        <v>46340</v>
      </c>
      <c r="D4" s="335">
        <f t="shared" ref="D4:D8" si="4">ROUND((C4-B4)/30,0)+0.5</f>
        <v>1.5</v>
      </c>
      <c r="E4" s="335">
        <f>E3</f>
        <v>9515</v>
      </c>
      <c r="F4" s="335">
        <f>F3</f>
        <v>883.96506874767749</v>
      </c>
      <c r="G4" s="337"/>
      <c r="H4" s="336">
        <f>H3</f>
        <v>120</v>
      </c>
      <c r="I4" s="412">
        <f t="shared" ref="I4:J4" si="5">I3</f>
        <v>1307.6923076923076</v>
      </c>
      <c r="J4" s="336">
        <f t="shared" si="5"/>
        <v>14.677237968749999</v>
      </c>
      <c r="K4" s="335">
        <f t="shared" ref="K4:K8" si="6">H4*$K$1</f>
        <v>1291.6799999999998</v>
      </c>
      <c r="L4" s="336">
        <f t="shared" si="0"/>
        <v>0.13743481951574438</v>
      </c>
      <c r="M4" s="336">
        <f t="shared" ref="M4:M8" si="7">J4*$K$1</f>
        <v>157.98578949562497</v>
      </c>
      <c r="N4" s="385">
        <f t="shared" ref="N4:N8" si="8">K4+L4</f>
        <v>1291.8174348195155</v>
      </c>
      <c r="O4" s="339"/>
      <c r="P4" s="442">
        <f>P3+1</f>
        <v>2027</v>
      </c>
      <c r="Q4" s="385">
        <f t="shared" si="1"/>
        <v>1712700</v>
      </c>
      <c r="R4" s="385">
        <f t="shared" si="2"/>
        <v>255000</v>
      </c>
      <c r="S4" s="385">
        <f t="shared" si="3"/>
        <v>209480.87890898436</v>
      </c>
      <c r="T4" s="385">
        <f t="shared" ref="T4:T10" si="9">SUM(Q4:S4)</f>
        <v>2177180.8789089844</v>
      </c>
    </row>
    <row r="5" spans="2:21" hidden="1">
      <c r="B5" s="333">
        <f>C4+1</f>
        <v>46341</v>
      </c>
      <c r="C5" s="334">
        <v>46660</v>
      </c>
      <c r="D5" s="335">
        <f>ROUND((C5-B5)/30,0)-0.5</f>
        <v>10.5</v>
      </c>
      <c r="E5" s="335">
        <f t="shared" ref="E5:E10" si="10">E4</f>
        <v>9515</v>
      </c>
      <c r="F5" s="335">
        <f t="shared" ref="F5:F10" si="11">F4</f>
        <v>883.96506874767749</v>
      </c>
      <c r="G5" s="337"/>
      <c r="H5" s="336">
        <f>H3</f>
        <v>120</v>
      </c>
      <c r="I5" s="385">
        <f>I3</f>
        <v>1307.6923076923076</v>
      </c>
      <c r="J5" s="335">
        <f>J4*1.05</f>
        <v>15.411099867187501</v>
      </c>
      <c r="K5" s="335">
        <f t="shared" si="6"/>
        <v>1291.6799999999998</v>
      </c>
      <c r="L5" s="336">
        <f t="shared" si="0"/>
        <v>0.13743481951574438</v>
      </c>
      <c r="M5" s="336">
        <f t="shared" si="7"/>
        <v>165.88507897040625</v>
      </c>
      <c r="N5" s="385">
        <f t="shared" si="8"/>
        <v>1291.8174348195155</v>
      </c>
      <c r="O5" s="339"/>
      <c r="P5" s="442">
        <f>P4</f>
        <v>2027</v>
      </c>
      <c r="Q5" s="385">
        <f t="shared" si="1"/>
        <v>11988900</v>
      </c>
      <c r="R5" s="385">
        <f t="shared" si="2"/>
        <v>1785000</v>
      </c>
      <c r="S5" s="385">
        <f t="shared" si="3"/>
        <v>1539684.4599810352</v>
      </c>
      <c r="T5" s="385">
        <f t="shared" si="9"/>
        <v>15313584.459981035</v>
      </c>
    </row>
    <row r="6" spans="2:21" hidden="1">
      <c r="B6" s="333">
        <f t="shared" ref="B6:B8" si="12">C5+1</f>
        <v>46661</v>
      </c>
      <c r="C6" s="333">
        <v>46705</v>
      </c>
      <c r="D6" s="335">
        <f t="shared" si="4"/>
        <v>1.5</v>
      </c>
      <c r="E6" s="335">
        <f t="shared" si="10"/>
        <v>9515</v>
      </c>
      <c r="F6" s="335">
        <f t="shared" si="11"/>
        <v>883.96506874767749</v>
      </c>
      <c r="G6" s="337"/>
      <c r="H6" s="336">
        <f t="shared" ref="H6:I6" si="13">H4</f>
        <v>120</v>
      </c>
      <c r="I6" s="385">
        <f t="shared" si="13"/>
        <v>1307.6923076923076</v>
      </c>
      <c r="J6" s="335">
        <f>J5</f>
        <v>15.411099867187501</v>
      </c>
      <c r="K6" s="335">
        <f t="shared" si="6"/>
        <v>1291.6799999999998</v>
      </c>
      <c r="L6" s="336">
        <f t="shared" si="0"/>
        <v>0.13743481951574438</v>
      </c>
      <c r="M6" s="336">
        <f t="shared" si="7"/>
        <v>165.88507897040625</v>
      </c>
      <c r="N6" s="385">
        <f t="shared" si="8"/>
        <v>1291.8174348195155</v>
      </c>
      <c r="O6" s="339"/>
      <c r="P6" s="442">
        <f>P5+1</f>
        <v>2028</v>
      </c>
      <c r="Q6" s="385">
        <f t="shared" si="1"/>
        <v>1712700</v>
      </c>
      <c r="R6" s="385">
        <f t="shared" si="2"/>
        <v>255000</v>
      </c>
      <c r="S6" s="385">
        <f t="shared" si="3"/>
        <v>219954.92285443359</v>
      </c>
      <c r="T6" s="385">
        <f t="shared" si="9"/>
        <v>2187654.9228544338</v>
      </c>
    </row>
    <row r="7" spans="2:21" hidden="1">
      <c r="B7" s="333">
        <f t="shared" si="12"/>
        <v>46706</v>
      </c>
      <c r="C7" s="334">
        <v>47026</v>
      </c>
      <c r="D7" s="335">
        <f>ROUND((C7-B7)/30,0)-0.5</f>
        <v>10.5</v>
      </c>
      <c r="E7" s="335">
        <f t="shared" si="10"/>
        <v>9515</v>
      </c>
      <c r="F7" s="335">
        <f t="shared" si="11"/>
        <v>883.96506874767749</v>
      </c>
      <c r="G7" s="338"/>
      <c r="H7" s="336">
        <f t="shared" ref="H7:I7" si="14">H5</f>
        <v>120</v>
      </c>
      <c r="I7" s="385">
        <f t="shared" si="14"/>
        <v>1307.6923076923076</v>
      </c>
      <c r="J7" s="335">
        <f t="shared" ref="J7" si="15">J6*1.05</f>
        <v>16.181654860546875</v>
      </c>
      <c r="K7" s="335">
        <f t="shared" si="6"/>
        <v>1291.6799999999998</v>
      </c>
      <c r="L7" s="336">
        <f t="shared" si="0"/>
        <v>0.13743481951574438</v>
      </c>
      <c r="M7" s="336">
        <f t="shared" si="7"/>
        <v>174.17933291892655</v>
      </c>
      <c r="N7" s="385">
        <f t="shared" si="8"/>
        <v>1291.8174348195155</v>
      </c>
      <c r="O7" s="339"/>
      <c r="P7" s="442">
        <f>P6</f>
        <v>2028</v>
      </c>
      <c r="Q7" s="385">
        <f t="shared" si="1"/>
        <v>11988900</v>
      </c>
      <c r="R7" s="385">
        <f t="shared" si="2"/>
        <v>1785000</v>
      </c>
      <c r="S7" s="385">
        <f t="shared" si="3"/>
        <v>1616668.6829800869</v>
      </c>
      <c r="T7" s="385">
        <f t="shared" si="9"/>
        <v>15390568.682980087</v>
      </c>
    </row>
    <row r="8" spans="2:21" hidden="1">
      <c r="B8" s="333">
        <f t="shared" si="12"/>
        <v>47027</v>
      </c>
      <c r="C8" s="333">
        <v>47071</v>
      </c>
      <c r="D8" s="335">
        <f t="shared" si="4"/>
        <v>1.5</v>
      </c>
      <c r="E8" s="335">
        <f t="shared" si="10"/>
        <v>9515</v>
      </c>
      <c r="F8" s="335">
        <f t="shared" si="11"/>
        <v>883.96506874767749</v>
      </c>
      <c r="G8" s="338"/>
      <c r="H8" s="336">
        <f>H6+(H6*G8)</f>
        <v>120</v>
      </c>
      <c r="I8" s="412">
        <f>I6+(I6*G8)</f>
        <v>1307.6923076923076</v>
      </c>
      <c r="J8" s="335">
        <f t="shared" ref="J8:J10" si="16">J7</f>
        <v>16.181654860546875</v>
      </c>
      <c r="K8" s="335">
        <f t="shared" si="6"/>
        <v>1291.6799999999998</v>
      </c>
      <c r="L8" s="336">
        <f t="shared" si="0"/>
        <v>0.13743481951574438</v>
      </c>
      <c r="M8" s="336">
        <f t="shared" si="7"/>
        <v>174.17933291892655</v>
      </c>
      <c r="N8" s="385">
        <f t="shared" si="8"/>
        <v>1291.8174348195155</v>
      </c>
      <c r="O8" s="339"/>
      <c r="P8" s="442">
        <f>P7+1</f>
        <v>2029</v>
      </c>
      <c r="Q8" s="385">
        <f t="shared" si="1"/>
        <v>1712700</v>
      </c>
      <c r="R8" s="385">
        <f t="shared" si="2"/>
        <v>255000</v>
      </c>
      <c r="S8" s="385">
        <f t="shared" si="3"/>
        <v>230952.66899715527</v>
      </c>
      <c r="T8" s="385">
        <f t="shared" si="9"/>
        <v>2198652.6689971555</v>
      </c>
    </row>
    <row r="9" spans="2:21" hidden="1">
      <c r="B9" s="333"/>
      <c r="C9" s="334"/>
      <c r="D9" s="335"/>
      <c r="E9" s="335">
        <f t="shared" si="10"/>
        <v>9515</v>
      </c>
      <c r="F9" s="335">
        <f t="shared" si="11"/>
        <v>883.96506874767749</v>
      </c>
      <c r="G9" s="338"/>
      <c r="H9" s="336">
        <f>H7+(H7*G9)</f>
        <v>120</v>
      </c>
      <c r="I9" s="412">
        <f>I7+(I7*G9)</f>
        <v>1307.6923076923076</v>
      </c>
      <c r="J9" s="335">
        <f t="shared" si="16"/>
        <v>16.181654860546875</v>
      </c>
      <c r="K9" s="335">
        <f t="shared" ref="K9:K10" si="17">H9*$K$1</f>
        <v>1291.6799999999998</v>
      </c>
      <c r="L9" s="336">
        <f t="shared" si="0"/>
        <v>0.13743481951574438</v>
      </c>
      <c r="M9" s="336">
        <f t="shared" ref="M9:M10" si="18">J9*$K$1</f>
        <v>174.17933291892655</v>
      </c>
      <c r="N9" s="385">
        <f t="shared" ref="N9:N10" si="19">K9+L9</f>
        <v>1291.8174348195155</v>
      </c>
      <c r="O9" s="339"/>
      <c r="P9" s="442">
        <f>P8</f>
        <v>2029</v>
      </c>
      <c r="Q9" s="385">
        <f t="shared" si="1"/>
        <v>0</v>
      </c>
      <c r="R9" s="385">
        <f>D9*$D$24*I9</f>
        <v>0</v>
      </c>
      <c r="S9" s="385">
        <f t="shared" si="3"/>
        <v>0</v>
      </c>
      <c r="T9" s="385">
        <f t="shared" si="9"/>
        <v>0</v>
      </c>
    </row>
    <row r="10" spans="2:21" hidden="1">
      <c r="B10" s="333"/>
      <c r="C10" s="333"/>
      <c r="D10" s="335"/>
      <c r="E10" s="335">
        <f t="shared" si="10"/>
        <v>9515</v>
      </c>
      <c r="F10" s="335">
        <f t="shared" si="11"/>
        <v>883.96506874767749</v>
      </c>
      <c r="G10" s="338"/>
      <c r="H10" s="336">
        <f>H8+(H8*G10)</f>
        <v>120</v>
      </c>
      <c r="I10" s="412">
        <f>I8+(I8*G10)</f>
        <v>1307.6923076923076</v>
      </c>
      <c r="J10" s="335">
        <f t="shared" si="16"/>
        <v>16.181654860546875</v>
      </c>
      <c r="K10" s="335">
        <f t="shared" si="17"/>
        <v>1291.6799999999998</v>
      </c>
      <c r="L10" s="336">
        <f t="shared" si="0"/>
        <v>0.13743481951574438</v>
      </c>
      <c r="M10" s="336">
        <f t="shared" si="18"/>
        <v>174.17933291892655</v>
      </c>
      <c r="N10" s="385">
        <f t="shared" si="19"/>
        <v>1291.8174348195155</v>
      </c>
      <c r="O10" s="339"/>
      <c r="P10" s="442">
        <f>P9+1</f>
        <v>2030</v>
      </c>
      <c r="Q10" s="385">
        <f t="shared" si="1"/>
        <v>0</v>
      </c>
      <c r="R10" s="385">
        <f>D10*$D$24*I10</f>
        <v>0</v>
      </c>
      <c r="S10" s="385">
        <f t="shared" si="3"/>
        <v>0</v>
      </c>
      <c r="T10" s="385">
        <f t="shared" si="9"/>
        <v>0</v>
      </c>
    </row>
    <row r="11" spans="2:21" s="350" customFormat="1" ht="13" hidden="1">
      <c r="B11" s="713" t="s">
        <v>29</v>
      </c>
      <c r="C11" s="713"/>
      <c r="D11" s="379">
        <v>42</v>
      </c>
      <c r="E11" s="379"/>
      <c r="F11" s="380"/>
      <c r="G11" s="381"/>
      <c r="H11" s="380"/>
      <c r="I11" s="382"/>
      <c r="J11" s="379"/>
      <c r="K11" s="379"/>
      <c r="L11" s="380"/>
      <c r="M11" s="380"/>
      <c r="N11" s="386"/>
      <c r="O11" s="443"/>
      <c r="P11" s="444" t="s">
        <v>29</v>
      </c>
      <c r="Q11" s="386">
        <f>SUM(Q3:Q10)</f>
        <v>41104800</v>
      </c>
      <c r="R11" s="386">
        <f>SUM(R3:R10)</f>
        <v>6120000</v>
      </c>
      <c r="S11" s="386">
        <f>SUM(S3:S10)</f>
        <v>5283107.7660845863</v>
      </c>
      <c r="T11" s="386">
        <f>SUM(T3:T10)</f>
        <v>52507907.766084582</v>
      </c>
    </row>
    <row r="12" spans="2:21" hidden="1">
      <c r="B12" s="327"/>
      <c r="C12" s="327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39"/>
      <c r="O12" s="339"/>
      <c r="P12" s="339"/>
      <c r="Q12" s="327"/>
      <c r="R12" s="327"/>
      <c r="S12" s="327"/>
      <c r="T12" s="327"/>
    </row>
    <row r="13" spans="2:21" hidden="1">
      <c r="F13" s="327"/>
      <c r="G13" s="420"/>
      <c r="J13" s="458"/>
      <c r="K13" s="458"/>
      <c r="L13" s="327"/>
      <c r="M13" s="327"/>
      <c r="N13" s="459"/>
      <c r="O13" s="459"/>
      <c r="P13" s="459"/>
      <c r="Q13" s="459"/>
      <c r="R13" s="459"/>
      <c r="S13" s="339"/>
      <c r="T13" s="341"/>
    </row>
    <row r="14" spans="2:21" hidden="1">
      <c r="F14" s="327"/>
      <c r="G14" s="420"/>
      <c r="H14" s="420"/>
      <c r="L14" s="460"/>
      <c r="M14" s="460"/>
      <c r="N14" s="459"/>
      <c r="O14" s="459"/>
      <c r="P14" s="459"/>
      <c r="Q14" s="447"/>
      <c r="R14" s="327"/>
      <c r="S14" s="327"/>
      <c r="T14" s="327"/>
    </row>
    <row r="15" spans="2:21" hidden="1">
      <c r="F15" s="327"/>
      <c r="G15" s="420"/>
      <c r="H15" s="420"/>
      <c r="L15" s="460"/>
      <c r="M15" s="460"/>
      <c r="N15" s="459"/>
      <c r="O15" s="459"/>
      <c r="P15" s="459"/>
      <c r="Q15" s="447"/>
      <c r="R15" s="327"/>
      <c r="S15" s="327"/>
      <c r="T15" s="327"/>
    </row>
    <row r="16" spans="2:21" hidden="1">
      <c r="F16" s="342"/>
      <c r="G16" s="420"/>
      <c r="H16" s="420"/>
      <c r="L16" s="460"/>
      <c r="M16" s="460"/>
      <c r="N16" s="459"/>
      <c r="O16" s="459"/>
      <c r="P16" s="459"/>
      <c r="Q16" s="327"/>
      <c r="R16" s="327"/>
      <c r="S16" s="327"/>
      <c r="T16" s="327"/>
    </row>
    <row r="17" spans="1:20" ht="13">
      <c r="F17" s="342"/>
      <c r="G17" s="466" t="s">
        <v>293</v>
      </c>
      <c r="H17" s="420"/>
      <c r="L17" s="460"/>
      <c r="M17" s="460"/>
      <c r="N17" s="459"/>
      <c r="O17" s="459"/>
      <c r="P17" s="459"/>
      <c r="Q17" s="327"/>
      <c r="R17" s="327"/>
      <c r="S17" s="327"/>
      <c r="T17" s="327"/>
    </row>
    <row r="18" spans="1:20">
      <c r="F18" s="343"/>
      <c r="G18" s="507" t="s">
        <v>225</v>
      </c>
      <c r="H18" s="507" t="s">
        <v>236</v>
      </c>
      <c r="I18" s="507" t="s">
        <v>293</v>
      </c>
      <c r="J18" s="508" t="s">
        <v>62</v>
      </c>
      <c r="K18" s="508" t="s">
        <v>29</v>
      </c>
      <c r="M18" s="327"/>
      <c r="N18" s="339"/>
      <c r="O18" s="339"/>
      <c r="P18" s="339"/>
      <c r="Q18" s="327"/>
      <c r="R18" s="327"/>
      <c r="S18" s="327"/>
      <c r="T18" s="327"/>
    </row>
    <row r="19" spans="1:20">
      <c r="B19" s="343"/>
      <c r="C19" s="343"/>
      <c r="D19" s="343"/>
      <c r="E19" s="343"/>
      <c r="F19" s="343"/>
      <c r="G19" s="465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28">
        <f ca="1">I19+J19</f>
        <v>10312737.6</v>
      </c>
      <c r="L19" s="327"/>
      <c r="M19" s="327"/>
      <c r="N19" s="339"/>
      <c r="O19" s="339"/>
      <c r="P19" s="339"/>
      <c r="Q19" s="327"/>
      <c r="R19" s="327"/>
      <c r="S19" s="327"/>
      <c r="T19" s="327"/>
    </row>
    <row r="20" spans="1:20">
      <c r="B20" s="343"/>
      <c r="C20" s="343"/>
      <c r="D20" s="343"/>
      <c r="E20" s="343"/>
      <c r="F20" s="343"/>
      <c r="G20" s="465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28">
        <f t="shared" ref="K20:K25" ca="1" si="23">I20+J20</f>
        <v>15528023.280000001</v>
      </c>
      <c r="L20" s="327"/>
      <c r="M20" s="327"/>
      <c r="N20" s="339"/>
      <c r="O20" s="339"/>
      <c r="P20" s="339"/>
      <c r="Q20" s="327"/>
      <c r="R20" s="327"/>
      <c r="S20" s="327"/>
      <c r="T20" s="327"/>
    </row>
    <row r="21" spans="1:20">
      <c r="B21" s="515" t="s">
        <v>246</v>
      </c>
      <c r="C21" s="515" t="s">
        <v>247</v>
      </c>
      <c r="D21" s="515" t="s">
        <v>248</v>
      </c>
      <c r="E21" s="515" t="s">
        <v>249</v>
      </c>
      <c r="F21" s="343"/>
      <c r="G21" s="465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28">
        <f t="shared" ca="1" si="23"/>
        <v>15619344.444</v>
      </c>
      <c r="L21" s="327"/>
      <c r="M21" s="327"/>
      <c r="N21" s="339"/>
      <c r="O21" s="339"/>
      <c r="P21" s="339"/>
      <c r="Q21" s="327"/>
      <c r="R21" s="327"/>
      <c r="S21" s="327"/>
      <c r="T21" s="327"/>
    </row>
    <row r="22" spans="1:20">
      <c r="B22" s="340" t="s">
        <v>250</v>
      </c>
      <c r="C22" s="340">
        <v>1500</v>
      </c>
      <c r="D22" s="383">
        <v>80</v>
      </c>
      <c r="E22" s="340">
        <f>C22*D22</f>
        <v>120000</v>
      </c>
      <c r="F22" s="343"/>
      <c r="G22" s="465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28">
        <f t="shared" ca="1" si="23"/>
        <v>17085391.666200001</v>
      </c>
      <c r="L22" s="327"/>
      <c r="M22" s="327"/>
      <c r="N22" s="339"/>
      <c r="O22" s="339"/>
      <c r="P22" s="339"/>
      <c r="Q22" s="327"/>
      <c r="R22" s="327"/>
      <c r="S22" s="327"/>
      <c r="T22" s="327"/>
    </row>
    <row r="23" spans="1:20">
      <c r="B23" s="340" t="s">
        <v>251</v>
      </c>
      <c r="C23" s="340">
        <v>1000</v>
      </c>
      <c r="D23" s="383">
        <v>50</v>
      </c>
      <c r="E23" s="340">
        <f>C23*D23</f>
        <v>50000</v>
      </c>
      <c r="F23" s="343"/>
      <c r="G23" s="465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28">
        <f t="shared" ca="1" si="23"/>
        <v>17871153.249510001</v>
      </c>
      <c r="L23" s="327"/>
      <c r="M23" s="327"/>
      <c r="N23" s="339"/>
      <c r="O23" s="339"/>
      <c r="P23" s="339"/>
      <c r="Q23" s="327"/>
      <c r="R23" s="327"/>
      <c r="S23" s="327"/>
      <c r="T23" s="327"/>
    </row>
    <row r="24" spans="1:20">
      <c r="B24" s="384" t="s">
        <v>29</v>
      </c>
      <c r="C24" s="384"/>
      <c r="D24" s="384">
        <f>D22+D23</f>
        <v>130</v>
      </c>
      <c r="E24" s="384">
        <f>E22+E23</f>
        <v>170000</v>
      </c>
      <c r="F24" s="343"/>
      <c r="G24" s="465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28">
        <f t="shared" ca="1" si="23"/>
        <v>17976868.911985502</v>
      </c>
      <c r="L24" s="327"/>
      <c r="M24" s="327"/>
      <c r="N24" s="339"/>
      <c r="O24" s="339"/>
      <c r="P24" s="339"/>
      <c r="Q24" s="327"/>
      <c r="R24" s="327"/>
      <c r="S24" s="327"/>
      <c r="T24" s="327"/>
    </row>
    <row r="25" spans="1:20">
      <c r="B25" s="340"/>
      <c r="C25" s="340"/>
      <c r="D25" s="340"/>
      <c r="E25" s="340">
        <f>IFERROR(E24/D24,0)</f>
        <v>1307.6923076923076</v>
      </c>
      <c r="F25" s="343"/>
      <c r="G25" s="465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27"/>
      <c r="M25" s="327"/>
      <c r="N25" s="339"/>
      <c r="O25" s="339"/>
      <c r="P25" s="339"/>
      <c r="Q25" s="327"/>
      <c r="R25" s="327"/>
      <c r="S25" s="327"/>
      <c r="T25" s="327"/>
    </row>
    <row r="26" spans="1:20" ht="13">
      <c r="B26" s="343"/>
      <c r="C26" s="343"/>
      <c r="D26" s="343"/>
      <c r="E26" s="343"/>
      <c r="F26" s="343"/>
      <c r="G26" s="465"/>
      <c r="H26" s="177">
        <f ca="1">SUM(H19:H25)</f>
        <v>72</v>
      </c>
      <c r="I26" s="177">
        <f ca="1">SUM(I19:I25)</f>
        <v>88375320</v>
      </c>
      <c r="J26" s="177">
        <f t="shared" ref="J26:K26" ca="1" si="25">SUM(J19:J25)</f>
        <v>12022424.428335754</v>
      </c>
      <c r="K26" s="177">
        <f t="shared" ca="1" si="25"/>
        <v>100397744.42833576</v>
      </c>
      <c r="L26" s="327"/>
      <c r="M26" s="327"/>
      <c r="N26" s="339"/>
      <c r="O26" s="339"/>
      <c r="P26" s="339"/>
      <c r="Q26" s="327"/>
      <c r="R26" s="327"/>
      <c r="S26" s="327"/>
      <c r="T26" s="327"/>
    </row>
    <row r="27" spans="1:20">
      <c r="B27" s="343"/>
      <c r="C27" s="343"/>
      <c r="D27" s="343"/>
      <c r="E27" s="343"/>
      <c r="F27" s="343"/>
      <c r="H27" s="327"/>
      <c r="I27" s="327"/>
      <c r="J27" s="327"/>
      <c r="K27" s="327"/>
      <c r="L27" s="327"/>
      <c r="M27" s="327"/>
      <c r="N27" s="339"/>
      <c r="O27" s="339"/>
      <c r="P27" s="339"/>
      <c r="Q27" s="327"/>
      <c r="R27" s="327"/>
      <c r="S27" s="327"/>
      <c r="T27" s="327"/>
    </row>
    <row r="28" spans="1:20">
      <c r="B28" s="343"/>
      <c r="C28" s="343"/>
      <c r="D28" s="343"/>
      <c r="E28" s="343"/>
      <c r="F28" s="343"/>
      <c r="H28" s="327"/>
      <c r="I28" s="327"/>
      <c r="J28" s="327"/>
      <c r="K28" s="327"/>
      <c r="L28" s="490"/>
      <c r="M28" s="327"/>
      <c r="N28" s="339"/>
      <c r="O28" s="339"/>
      <c r="P28" s="339"/>
      <c r="Q28" s="327"/>
      <c r="R28" s="327"/>
      <c r="S28" s="327"/>
      <c r="T28" s="327"/>
    </row>
    <row r="29" spans="1:20">
      <c r="M29" s="497"/>
      <c r="N29" s="498"/>
      <c r="O29" s="498"/>
      <c r="P29" s="498"/>
    </row>
    <row r="30" spans="1:20" ht="26.5" thickBot="1">
      <c r="A30" s="509" t="s">
        <v>225</v>
      </c>
      <c r="B30" s="510" t="s">
        <v>234</v>
      </c>
      <c r="C30" s="510" t="s">
        <v>235</v>
      </c>
      <c r="D30" s="510" t="s">
        <v>236</v>
      </c>
      <c r="E30" s="510" t="s">
        <v>238</v>
      </c>
      <c r="F30" s="510" t="s">
        <v>237</v>
      </c>
      <c r="G30" s="510" t="s">
        <v>239</v>
      </c>
      <c r="H30" s="510" t="s">
        <v>240</v>
      </c>
      <c r="I30" s="511" t="s">
        <v>241</v>
      </c>
      <c r="J30" s="510" t="s">
        <v>62</v>
      </c>
      <c r="K30" s="511" t="s">
        <v>324</v>
      </c>
      <c r="L30" s="511" t="s">
        <v>325</v>
      </c>
      <c r="M30" s="512" t="s">
        <v>29</v>
      </c>
      <c r="N30" s="513" t="s">
        <v>293</v>
      </c>
      <c r="O30" s="514" t="s">
        <v>62</v>
      </c>
      <c r="P30" s="571" t="s">
        <v>326</v>
      </c>
      <c r="Q30" s="572"/>
    </row>
    <row r="31" spans="1:20" ht="13">
      <c r="A31" s="423">
        <v>2026</v>
      </c>
      <c r="B31" s="424">
        <v>46023</v>
      </c>
      <c r="C31" s="424">
        <f>B31+30</f>
        <v>46053</v>
      </c>
      <c r="D31" s="425">
        <v>1</v>
      </c>
      <c r="E31" s="426">
        <f>'Rent Calculation'!$F$23</f>
        <v>9515</v>
      </c>
      <c r="F31" s="426">
        <f>'Rent Calculation'!G23</f>
        <v>883.96506874767749</v>
      </c>
      <c r="G31" s="467"/>
      <c r="H31" s="427">
        <f>Main!B7</f>
        <v>120</v>
      </c>
      <c r="I31" s="426">
        <f>E24</f>
        <v>170000</v>
      </c>
      <c r="J31" s="428">
        <f>15.48</f>
        <v>15.48</v>
      </c>
      <c r="K31" s="426">
        <f t="shared" ref="K31:K62" si="26">H31*E31</f>
        <v>1141800</v>
      </c>
      <c r="L31" s="427">
        <f>J31*E31</f>
        <v>147292.20000000001</v>
      </c>
      <c r="M31" s="429">
        <f t="shared" ref="M31:M36" si="27">I31+K31+L31</f>
        <v>1459092.2</v>
      </c>
      <c r="N31" s="445"/>
      <c r="O31" s="565"/>
      <c r="P31" s="566"/>
    </row>
    <row r="32" spans="1:20" ht="13">
      <c r="A32" s="430">
        <f>A31</f>
        <v>2026</v>
      </c>
      <c r="B32" s="420">
        <f>C31+1</f>
        <v>46054</v>
      </c>
      <c r="C32" s="420">
        <f>B32+30-3</f>
        <v>46081</v>
      </c>
      <c r="D32">
        <v>1</v>
      </c>
      <c r="E32" s="431">
        <v>9515</v>
      </c>
      <c r="F32" s="431">
        <v>883.96506874767749</v>
      </c>
      <c r="G32" s="468"/>
      <c r="H32" s="432">
        <f>H31</f>
        <v>120</v>
      </c>
      <c r="I32" s="431">
        <f>I31</f>
        <v>170000</v>
      </c>
      <c r="J32" s="421">
        <v>15.48</v>
      </c>
      <c r="K32" s="431">
        <f t="shared" si="26"/>
        <v>1141800</v>
      </c>
      <c r="L32" s="432">
        <f t="shared" ref="L32:L62" si="28">J32*E32</f>
        <v>147292.20000000001</v>
      </c>
      <c r="M32" s="419">
        <f t="shared" si="27"/>
        <v>1459092.2</v>
      </c>
      <c r="N32" s="417"/>
      <c r="O32" s="564"/>
      <c r="P32" s="567"/>
    </row>
    <row r="33" spans="1:16" ht="13">
      <c r="A33" s="430">
        <f t="shared" ref="A33:A38" si="29">A32</f>
        <v>2026</v>
      </c>
      <c r="B33" s="420">
        <f>C32+1</f>
        <v>46082</v>
      </c>
      <c r="C33" s="420">
        <f>B33+30</f>
        <v>46112</v>
      </c>
      <c r="D33">
        <v>1</v>
      </c>
      <c r="E33" s="431">
        <f t="shared" ref="E33:E96" si="30">E32</f>
        <v>9515</v>
      </c>
      <c r="F33" s="431">
        <f t="shared" ref="F33:F96" si="31">F32</f>
        <v>883.96506874767749</v>
      </c>
      <c r="G33" s="468"/>
      <c r="H33" s="432">
        <f>H32</f>
        <v>120</v>
      </c>
      <c r="I33" s="431">
        <f>I32</f>
        <v>170000</v>
      </c>
      <c r="J33" s="421">
        <f t="shared" ref="J33:J42" si="32">J32</f>
        <v>15.48</v>
      </c>
      <c r="K33" s="431">
        <f t="shared" si="26"/>
        <v>1141800</v>
      </c>
      <c r="L33" s="432">
        <f t="shared" si="28"/>
        <v>147292.20000000001</v>
      </c>
      <c r="M33" s="419">
        <f t="shared" si="27"/>
        <v>1459092.2</v>
      </c>
      <c r="N33" s="417"/>
      <c r="O33" s="564"/>
      <c r="P33" s="567"/>
    </row>
    <row r="34" spans="1:16" ht="13">
      <c r="A34" s="430">
        <f t="shared" si="29"/>
        <v>2026</v>
      </c>
      <c r="B34" s="420">
        <f>C33+1</f>
        <v>46113</v>
      </c>
      <c r="C34" s="420">
        <f>B34+30-1</f>
        <v>46142</v>
      </c>
      <c r="D34">
        <v>1</v>
      </c>
      <c r="E34" s="431">
        <f t="shared" si="30"/>
        <v>9515</v>
      </c>
      <c r="F34" s="431">
        <f t="shared" si="31"/>
        <v>883.96506874767749</v>
      </c>
      <c r="G34" s="468"/>
      <c r="H34" s="432">
        <f>H33</f>
        <v>120</v>
      </c>
      <c r="I34" s="431">
        <f t="shared" ref="I34:I97" si="33">I33</f>
        <v>170000</v>
      </c>
      <c r="J34" s="421">
        <f t="shared" si="32"/>
        <v>15.48</v>
      </c>
      <c r="K34" s="431">
        <f t="shared" si="26"/>
        <v>1141800</v>
      </c>
      <c r="L34" s="432">
        <f t="shared" si="28"/>
        <v>147292.20000000001</v>
      </c>
      <c r="M34" s="419">
        <f t="shared" si="27"/>
        <v>1459092.2</v>
      </c>
      <c r="N34" s="417"/>
      <c r="O34" s="564"/>
      <c r="P34" s="567"/>
    </row>
    <row r="35" spans="1:16" ht="13">
      <c r="A35" s="430">
        <f t="shared" si="29"/>
        <v>2026</v>
      </c>
      <c r="B35" s="420">
        <f t="shared" ref="B35:B36" si="34">C34+1</f>
        <v>46143</v>
      </c>
      <c r="C35" s="420">
        <f>B35+30</f>
        <v>46173</v>
      </c>
      <c r="D35">
        <v>1</v>
      </c>
      <c r="E35" s="431">
        <f t="shared" si="30"/>
        <v>9515</v>
      </c>
      <c r="F35" s="431">
        <f t="shared" si="31"/>
        <v>883.96506874767749</v>
      </c>
      <c r="G35" s="468"/>
      <c r="H35" s="432">
        <f t="shared" ref="H35:H65" si="35">H34</f>
        <v>120</v>
      </c>
      <c r="I35" s="431">
        <f t="shared" si="33"/>
        <v>170000</v>
      </c>
      <c r="J35" s="421">
        <f t="shared" si="32"/>
        <v>15.48</v>
      </c>
      <c r="K35" s="431">
        <f t="shared" si="26"/>
        <v>1141800</v>
      </c>
      <c r="L35" s="432">
        <f t="shared" si="28"/>
        <v>147292.20000000001</v>
      </c>
      <c r="M35" s="419">
        <f t="shared" si="27"/>
        <v>1459092.2</v>
      </c>
      <c r="N35" s="417"/>
      <c r="O35" s="564"/>
      <c r="P35" s="567"/>
    </row>
    <row r="36" spans="1:16" ht="13">
      <c r="A36" s="430">
        <f t="shared" si="29"/>
        <v>2026</v>
      </c>
      <c r="B36" s="420">
        <f t="shared" si="34"/>
        <v>46174</v>
      </c>
      <c r="C36" s="420">
        <f>B36+30-1</f>
        <v>46203</v>
      </c>
      <c r="D36">
        <v>1</v>
      </c>
      <c r="E36" s="431">
        <f t="shared" si="30"/>
        <v>9515</v>
      </c>
      <c r="F36" s="431">
        <f t="shared" si="31"/>
        <v>883.96506874767749</v>
      </c>
      <c r="G36" s="468"/>
      <c r="H36" s="432">
        <f t="shared" si="35"/>
        <v>120</v>
      </c>
      <c r="I36" s="431">
        <f t="shared" si="33"/>
        <v>170000</v>
      </c>
      <c r="J36" s="421">
        <f t="shared" si="32"/>
        <v>15.48</v>
      </c>
      <c r="K36" s="431">
        <f t="shared" si="26"/>
        <v>1141800</v>
      </c>
      <c r="L36" s="432">
        <f t="shared" si="28"/>
        <v>147292.20000000001</v>
      </c>
      <c r="M36" s="419">
        <f t="shared" si="27"/>
        <v>1459092.2</v>
      </c>
      <c r="N36" s="417"/>
      <c r="O36" s="564"/>
      <c r="P36" s="567"/>
    </row>
    <row r="37" spans="1:16">
      <c r="A37" s="430">
        <f t="shared" si="29"/>
        <v>2026</v>
      </c>
      <c r="B37" s="420">
        <f>C36+1</f>
        <v>46204</v>
      </c>
      <c r="C37" s="420">
        <f>B37+30-1</f>
        <v>46233</v>
      </c>
      <c r="D37">
        <v>1</v>
      </c>
      <c r="E37" s="431">
        <f t="shared" si="30"/>
        <v>9515</v>
      </c>
      <c r="F37" s="431">
        <f t="shared" si="31"/>
        <v>883.96506874767749</v>
      </c>
      <c r="H37" s="432">
        <f t="shared" si="35"/>
        <v>120</v>
      </c>
      <c r="I37" s="431">
        <f t="shared" si="33"/>
        <v>170000</v>
      </c>
      <c r="J37" s="421">
        <f t="shared" si="32"/>
        <v>15.48</v>
      </c>
      <c r="K37" s="431">
        <f t="shared" si="26"/>
        <v>1141800</v>
      </c>
      <c r="L37" s="432">
        <f t="shared" si="28"/>
        <v>147292.20000000001</v>
      </c>
      <c r="M37" s="419">
        <f>I37+K37+L37</f>
        <v>1459092.2</v>
      </c>
      <c r="N37" s="431"/>
      <c r="O37" s="431"/>
      <c r="P37" s="496"/>
    </row>
    <row r="38" spans="1:16" ht="13" thickBot="1">
      <c r="A38" s="433">
        <f t="shared" si="29"/>
        <v>2026</v>
      </c>
      <c r="B38" s="434">
        <f>C37+1</f>
        <v>46234</v>
      </c>
      <c r="C38" s="434">
        <f>B38+30</f>
        <v>46264</v>
      </c>
      <c r="D38" s="435">
        <v>1</v>
      </c>
      <c r="E38" s="436">
        <f t="shared" si="30"/>
        <v>9515</v>
      </c>
      <c r="F38" s="436">
        <f t="shared" si="31"/>
        <v>883.96506874767749</v>
      </c>
      <c r="G38" s="435"/>
      <c r="H38" s="437">
        <f t="shared" si="35"/>
        <v>120</v>
      </c>
      <c r="I38" s="436">
        <f t="shared" si="33"/>
        <v>170000</v>
      </c>
      <c r="J38" s="438">
        <f t="shared" si="32"/>
        <v>15.48</v>
      </c>
      <c r="K38" s="436">
        <f t="shared" si="26"/>
        <v>1141800</v>
      </c>
      <c r="L38" s="437">
        <f t="shared" si="28"/>
        <v>147292.20000000001</v>
      </c>
      <c r="M38" s="439">
        <f t="shared" ref="M38:M84" si="36">I38+K38+L38</f>
        <v>1459092.2</v>
      </c>
      <c r="N38" s="436"/>
      <c r="O38" s="436"/>
      <c r="P38" s="568"/>
    </row>
    <row r="39" spans="1:16">
      <c r="A39" s="430">
        <f>A38+1</f>
        <v>2027</v>
      </c>
      <c r="B39" s="420">
        <f t="shared" ref="B39:B84" si="37">C38+1</f>
        <v>46265</v>
      </c>
      <c r="C39" s="420">
        <f>B39+30</f>
        <v>46295</v>
      </c>
      <c r="D39">
        <v>1</v>
      </c>
      <c r="E39" s="431">
        <f t="shared" si="30"/>
        <v>9515</v>
      </c>
      <c r="F39" s="431">
        <f t="shared" si="31"/>
        <v>883.96506874767749</v>
      </c>
      <c r="H39" s="432">
        <f t="shared" si="35"/>
        <v>120</v>
      </c>
      <c r="I39" s="431">
        <f t="shared" si="33"/>
        <v>170000</v>
      </c>
      <c r="J39" s="421">
        <f t="shared" si="32"/>
        <v>15.48</v>
      </c>
      <c r="K39" s="431">
        <f t="shared" si="26"/>
        <v>1141800</v>
      </c>
      <c r="L39" s="432">
        <f t="shared" si="28"/>
        <v>147292.20000000001</v>
      </c>
      <c r="M39" s="419">
        <f t="shared" si="36"/>
        <v>1459092.2</v>
      </c>
      <c r="N39" s="431">
        <f>SUM(K31:K38)</f>
        <v>9134400</v>
      </c>
      <c r="O39" s="431">
        <f>SUM(L31:L38)</f>
        <v>1178337.5999999999</v>
      </c>
      <c r="P39" s="566">
        <f>SUM(I31:I38)</f>
        <v>1360000</v>
      </c>
    </row>
    <row r="40" spans="1:16">
      <c r="A40">
        <f>A39</f>
        <v>2027</v>
      </c>
      <c r="B40" s="420">
        <f t="shared" si="37"/>
        <v>46296</v>
      </c>
      <c r="C40" s="420">
        <f>B40+30</f>
        <v>46326</v>
      </c>
      <c r="D40">
        <v>1</v>
      </c>
      <c r="E40" s="431">
        <f t="shared" si="30"/>
        <v>9515</v>
      </c>
      <c r="F40" s="431">
        <f t="shared" si="31"/>
        <v>883.96506874767749</v>
      </c>
      <c r="H40" s="432">
        <f t="shared" si="35"/>
        <v>120</v>
      </c>
      <c r="I40" s="431">
        <f t="shared" si="33"/>
        <v>170000</v>
      </c>
      <c r="J40" s="421">
        <f t="shared" si="32"/>
        <v>15.48</v>
      </c>
      <c r="K40" s="431">
        <f t="shared" si="26"/>
        <v>1141800</v>
      </c>
      <c r="L40" s="432">
        <f t="shared" si="28"/>
        <v>147292.20000000001</v>
      </c>
      <c r="M40" s="419">
        <f t="shared" si="36"/>
        <v>1459092.2</v>
      </c>
      <c r="N40" s="431"/>
      <c r="O40" s="431"/>
      <c r="P40" s="567"/>
    </row>
    <row r="41" spans="1:16">
      <c r="A41" s="430">
        <f>A40</f>
        <v>2027</v>
      </c>
      <c r="B41" s="420">
        <f t="shared" si="37"/>
        <v>46327</v>
      </c>
      <c r="C41" s="420">
        <f>B41+30-1</f>
        <v>46356</v>
      </c>
      <c r="D41">
        <v>1</v>
      </c>
      <c r="E41" s="431">
        <f t="shared" si="30"/>
        <v>9515</v>
      </c>
      <c r="F41" s="431">
        <f t="shared" si="31"/>
        <v>883.96506874767749</v>
      </c>
      <c r="H41" s="432">
        <f t="shared" si="35"/>
        <v>120</v>
      </c>
      <c r="I41" s="431">
        <f t="shared" si="33"/>
        <v>170000</v>
      </c>
      <c r="J41" s="421">
        <f t="shared" si="32"/>
        <v>15.48</v>
      </c>
      <c r="K41" s="431">
        <f t="shared" si="26"/>
        <v>1141800</v>
      </c>
      <c r="L41" s="432">
        <f t="shared" si="28"/>
        <v>147292.20000000001</v>
      </c>
      <c r="M41" s="419">
        <f t="shared" si="36"/>
        <v>1459092.2</v>
      </c>
      <c r="N41" s="431"/>
      <c r="O41" s="431"/>
      <c r="P41" s="567"/>
    </row>
    <row r="42" spans="1:16">
      <c r="A42" s="430">
        <f>A41</f>
        <v>2027</v>
      </c>
      <c r="B42" s="420">
        <f t="shared" si="37"/>
        <v>46357</v>
      </c>
      <c r="C42" s="420">
        <f>B42+30</f>
        <v>46387</v>
      </c>
      <c r="D42">
        <v>1</v>
      </c>
      <c r="E42" s="431">
        <f t="shared" si="30"/>
        <v>9515</v>
      </c>
      <c r="F42" s="431">
        <f t="shared" si="31"/>
        <v>883.96506874767749</v>
      </c>
      <c r="H42" s="432">
        <f t="shared" si="35"/>
        <v>120</v>
      </c>
      <c r="I42" s="431">
        <f t="shared" si="33"/>
        <v>170000</v>
      </c>
      <c r="J42" s="421">
        <f t="shared" si="32"/>
        <v>15.48</v>
      </c>
      <c r="K42" s="431">
        <f t="shared" si="26"/>
        <v>1141800</v>
      </c>
      <c r="L42" s="432">
        <f t="shared" si="28"/>
        <v>147292.20000000001</v>
      </c>
      <c r="M42" s="419">
        <f t="shared" si="36"/>
        <v>1459092.2</v>
      </c>
      <c r="N42" s="431"/>
      <c r="O42" s="431"/>
      <c r="P42" s="567"/>
    </row>
    <row r="43" spans="1:16">
      <c r="A43" s="430">
        <f>A42</f>
        <v>2027</v>
      </c>
      <c r="B43" s="420">
        <f t="shared" si="37"/>
        <v>46388</v>
      </c>
      <c r="C43" s="420">
        <f>B43+30</f>
        <v>46418</v>
      </c>
      <c r="D43">
        <v>1</v>
      </c>
      <c r="E43" s="431">
        <f t="shared" si="30"/>
        <v>9515</v>
      </c>
      <c r="F43" s="431">
        <f t="shared" si="31"/>
        <v>883.96506874767749</v>
      </c>
      <c r="H43" s="432">
        <f t="shared" si="35"/>
        <v>120</v>
      </c>
      <c r="I43" s="431">
        <f t="shared" si="33"/>
        <v>170000</v>
      </c>
      <c r="J43" s="421">
        <f>J42*1.05</f>
        <v>16.254000000000001</v>
      </c>
      <c r="K43" s="431">
        <f t="shared" si="26"/>
        <v>1141800</v>
      </c>
      <c r="L43" s="432">
        <f t="shared" si="28"/>
        <v>154656.81000000003</v>
      </c>
      <c r="M43" s="419">
        <f t="shared" si="36"/>
        <v>1466456.81</v>
      </c>
      <c r="N43" s="431"/>
      <c r="O43" s="431"/>
      <c r="P43" s="567"/>
    </row>
    <row r="44" spans="1:16">
      <c r="A44" s="430">
        <f>A43</f>
        <v>2027</v>
      </c>
      <c r="B44" s="420">
        <f t="shared" si="37"/>
        <v>46419</v>
      </c>
      <c r="C44" s="420">
        <f>B44+30-3</f>
        <v>46446</v>
      </c>
      <c r="D44">
        <v>1</v>
      </c>
      <c r="E44" s="431">
        <f t="shared" si="30"/>
        <v>9515</v>
      </c>
      <c r="F44" s="431">
        <f t="shared" si="31"/>
        <v>883.96506874767749</v>
      </c>
      <c r="H44" s="432">
        <f t="shared" si="35"/>
        <v>120</v>
      </c>
      <c r="I44" s="431">
        <f t="shared" si="33"/>
        <v>170000</v>
      </c>
      <c r="J44" s="421">
        <f>J43</f>
        <v>16.254000000000001</v>
      </c>
      <c r="K44" s="431">
        <f t="shared" si="26"/>
        <v>1141800</v>
      </c>
      <c r="L44" s="432">
        <f t="shared" si="28"/>
        <v>154656.81000000003</v>
      </c>
      <c r="M44" s="419">
        <f t="shared" si="36"/>
        <v>1466456.81</v>
      </c>
      <c r="N44" s="431"/>
      <c r="O44" s="431"/>
      <c r="P44" s="567"/>
    </row>
    <row r="45" spans="1:16">
      <c r="A45" s="430">
        <f t="shared" ref="A45:A50" si="38">A44</f>
        <v>2027</v>
      </c>
      <c r="B45" s="420">
        <f t="shared" si="37"/>
        <v>46447</v>
      </c>
      <c r="C45" s="420">
        <f>B45+30</f>
        <v>46477</v>
      </c>
      <c r="D45">
        <v>1</v>
      </c>
      <c r="E45" s="431">
        <f t="shared" si="30"/>
        <v>9515</v>
      </c>
      <c r="F45" s="431">
        <f t="shared" si="31"/>
        <v>883.96506874767749</v>
      </c>
      <c r="H45" s="432">
        <f t="shared" si="35"/>
        <v>120</v>
      </c>
      <c r="I45" s="431">
        <f t="shared" si="33"/>
        <v>170000</v>
      </c>
      <c r="J45" s="421">
        <f t="shared" ref="J45:J54" si="39">J44</f>
        <v>16.254000000000001</v>
      </c>
      <c r="K45" s="431">
        <f t="shared" si="26"/>
        <v>1141800</v>
      </c>
      <c r="L45" s="432">
        <f t="shared" si="28"/>
        <v>154656.81000000003</v>
      </c>
      <c r="M45" s="419">
        <f t="shared" si="36"/>
        <v>1466456.81</v>
      </c>
      <c r="N45" s="431"/>
      <c r="O45" s="431"/>
      <c r="P45" s="567"/>
    </row>
    <row r="46" spans="1:16">
      <c r="A46" s="430">
        <f t="shared" si="38"/>
        <v>2027</v>
      </c>
      <c r="B46" s="420">
        <f t="shared" si="37"/>
        <v>46478</v>
      </c>
      <c r="C46" s="420">
        <f>B46+30-1</f>
        <v>46507</v>
      </c>
      <c r="D46">
        <v>1</v>
      </c>
      <c r="E46" s="431">
        <f t="shared" si="30"/>
        <v>9515</v>
      </c>
      <c r="F46" s="431">
        <f t="shared" si="31"/>
        <v>883.96506874767749</v>
      </c>
      <c r="H46" s="432">
        <f t="shared" si="35"/>
        <v>120</v>
      </c>
      <c r="I46" s="431">
        <f t="shared" si="33"/>
        <v>170000</v>
      </c>
      <c r="J46" s="421">
        <f t="shared" si="39"/>
        <v>16.254000000000001</v>
      </c>
      <c r="K46" s="431">
        <f t="shared" si="26"/>
        <v>1141800</v>
      </c>
      <c r="L46" s="432">
        <f t="shared" si="28"/>
        <v>154656.81000000003</v>
      </c>
      <c r="M46" s="419">
        <f t="shared" si="36"/>
        <v>1466456.81</v>
      </c>
      <c r="N46" s="431"/>
      <c r="O46" s="431"/>
      <c r="P46" s="567"/>
    </row>
    <row r="47" spans="1:16">
      <c r="A47" s="430">
        <f t="shared" si="38"/>
        <v>2027</v>
      </c>
      <c r="B47" s="420">
        <f t="shared" si="37"/>
        <v>46508</v>
      </c>
      <c r="C47" s="420">
        <f>B47+30</f>
        <v>46538</v>
      </c>
      <c r="D47">
        <v>1</v>
      </c>
      <c r="E47" s="431">
        <f t="shared" si="30"/>
        <v>9515</v>
      </c>
      <c r="F47" s="431">
        <f t="shared" si="31"/>
        <v>883.96506874767749</v>
      </c>
      <c r="H47" s="432">
        <f t="shared" si="35"/>
        <v>120</v>
      </c>
      <c r="I47" s="431">
        <f t="shared" si="33"/>
        <v>170000</v>
      </c>
      <c r="J47" s="421">
        <f t="shared" si="39"/>
        <v>16.254000000000001</v>
      </c>
      <c r="K47" s="431">
        <f t="shared" si="26"/>
        <v>1141800</v>
      </c>
      <c r="L47" s="432">
        <f t="shared" si="28"/>
        <v>154656.81000000003</v>
      </c>
      <c r="M47" s="419">
        <f t="shared" si="36"/>
        <v>1466456.81</v>
      </c>
      <c r="N47" s="431"/>
      <c r="O47" s="431"/>
      <c r="P47" s="567"/>
    </row>
    <row r="48" spans="1:16">
      <c r="A48" s="430">
        <f t="shared" si="38"/>
        <v>2027</v>
      </c>
      <c r="B48" s="420">
        <f t="shared" si="37"/>
        <v>46539</v>
      </c>
      <c r="C48" s="420">
        <f>B48+30-1</f>
        <v>46568</v>
      </c>
      <c r="D48">
        <v>1</v>
      </c>
      <c r="E48" s="431">
        <f t="shared" si="30"/>
        <v>9515</v>
      </c>
      <c r="F48" s="431">
        <f t="shared" si="31"/>
        <v>883.96506874767749</v>
      </c>
      <c r="H48" s="432">
        <f t="shared" si="35"/>
        <v>120</v>
      </c>
      <c r="I48" s="431">
        <f t="shared" si="33"/>
        <v>170000</v>
      </c>
      <c r="J48" s="421">
        <f t="shared" si="39"/>
        <v>16.254000000000001</v>
      </c>
      <c r="K48" s="431">
        <f t="shared" si="26"/>
        <v>1141800</v>
      </c>
      <c r="L48" s="432">
        <f t="shared" si="28"/>
        <v>154656.81000000003</v>
      </c>
      <c r="M48" s="419">
        <f t="shared" si="36"/>
        <v>1466456.81</v>
      </c>
      <c r="N48" s="431"/>
      <c r="O48" s="431"/>
      <c r="P48" s="567"/>
    </row>
    <row r="49" spans="1:16">
      <c r="A49" s="430">
        <f t="shared" si="38"/>
        <v>2027</v>
      </c>
      <c r="B49" s="420">
        <f t="shared" si="37"/>
        <v>46569</v>
      </c>
      <c r="C49" s="420">
        <f>B49+30</f>
        <v>46599</v>
      </c>
      <c r="D49">
        <v>1</v>
      </c>
      <c r="E49" s="431">
        <f t="shared" si="30"/>
        <v>9515</v>
      </c>
      <c r="F49" s="431">
        <f t="shared" si="31"/>
        <v>883.96506874767749</v>
      </c>
      <c r="H49" s="432">
        <f t="shared" si="35"/>
        <v>120</v>
      </c>
      <c r="I49" s="431">
        <f t="shared" si="33"/>
        <v>170000</v>
      </c>
      <c r="J49" s="421">
        <f t="shared" si="39"/>
        <v>16.254000000000001</v>
      </c>
      <c r="K49" s="431">
        <f t="shared" si="26"/>
        <v>1141800</v>
      </c>
      <c r="L49" s="432">
        <f t="shared" si="28"/>
        <v>154656.81000000003</v>
      </c>
      <c r="M49" s="419">
        <f t="shared" si="36"/>
        <v>1466456.81</v>
      </c>
      <c r="N49" s="431"/>
      <c r="O49" s="431"/>
      <c r="P49" s="567"/>
    </row>
    <row r="50" spans="1:16" ht="13" thickBot="1">
      <c r="A50" s="433">
        <f t="shared" si="38"/>
        <v>2027</v>
      </c>
      <c r="B50" s="434">
        <f t="shared" si="37"/>
        <v>46600</v>
      </c>
      <c r="C50" s="434">
        <f>B50+30</f>
        <v>46630</v>
      </c>
      <c r="D50" s="435">
        <v>1</v>
      </c>
      <c r="E50" s="436">
        <f t="shared" si="30"/>
        <v>9515</v>
      </c>
      <c r="F50" s="436">
        <f t="shared" si="31"/>
        <v>883.96506874767749</v>
      </c>
      <c r="G50" s="435"/>
      <c r="H50" s="437">
        <f t="shared" si="35"/>
        <v>120</v>
      </c>
      <c r="I50" s="436">
        <f t="shared" si="33"/>
        <v>170000</v>
      </c>
      <c r="J50" s="438">
        <f t="shared" si="39"/>
        <v>16.254000000000001</v>
      </c>
      <c r="K50" s="436">
        <f t="shared" si="26"/>
        <v>1141800</v>
      </c>
      <c r="L50" s="437">
        <f t="shared" si="28"/>
        <v>154656.81000000003</v>
      </c>
      <c r="M50" s="439">
        <f t="shared" si="36"/>
        <v>1466456.81</v>
      </c>
      <c r="N50" s="436"/>
      <c r="O50" s="436"/>
      <c r="P50" s="568"/>
    </row>
    <row r="51" spans="1:16">
      <c r="A51" s="430">
        <f>A50+1</f>
        <v>2028</v>
      </c>
      <c r="B51" s="420">
        <f t="shared" si="37"/>
        <v>46631</v>
      </c>
      <c r="C51" s="420">
        <f>B51+30-1</f>
        <v>46660</v>
      </c>
      <c r="D51">
        <v>1</v>
      </c>
      <c r="E51" s="431">
        <f t="shared" si="30"/>
        <v>9515</v>
      </c>
      <c r="F51" s="431">
        <f t="shared" si="31"/>
        <v>883.96506874767749</v>
      </c>
      <c r="H51" s="432">
        <f t="shared" si="35"/>
        <v>120</v>
      </c>
      <c r="I51" s="431">
        <f t="shared" si="33"/>
        <v>170000</v>
      </c>
      <c r="J51" s="421">
        <f t="shared" si="39"/>
        <v>16.254000000000001</v>
      </c>
      <c r="K51" s="431">
        <f t="shared" si="26"/>
        <v>1141800</v>
      </c>
      <c r="L51" s="432">
        <f t="shared" si="28"/>
        <v>154656.81000000003</v>
      </c>
      <c r="M51" s="419">
        <f t="shared" si="36"/>
        <v>1466456.81</v>
      </c>
      <c r="N51" s="431">
        <f>SUM(K39:K50)</f>
        <v>13701600</v>
      </c>
      <c r="O51" s="431">
        <f>SUM(L39:L50)</f>
        <v>1826423.2800000005</v>
      </c>
      <c r="P51" s="566">
        <f>SUM(I39:I50)</f>
        <v>2040000</v>
      </c>
    </row>
    <row r="52" spans="1:16">
      <c r="A52" s="430">
        <f>A51</f>
        <v>2028</v>
      </c>
      <c r="B52" s="420">
        <f t="shared" si="37"/>
        <v>46661</v>
      </c>
      <c r="C52" s="420">
        <f>B52+30</f>
        <v>46691</v>
      </c>
      <c r="D52">
        <v>1</v>
      </c>
      <c r="E52" s="431">
        <f t="shared" si="30"/>
        <v>9515</v>
      </c>
      <c r="F52" s="431">
        <f t="shared" si="31"/>
        <v>883.96506874767749</v>
      </c>
      <c r="H52" s="432">
        <f t="shared" si="35"/>
        <v>120</v>
      </c>
      <c r="I52" s="431">
        <f t="shared" si="33"/>
        <v>170000</v>
      </c>
      <c r="J52" s="421">
        <f t="shared" si="39"/>
        <v>16.254000000000001</v>
      </c>
      <c r="K52" s="431">
        <f t="shared" si="26"/>
        <v>1141800</v>
      </c>
      <c r="L52" s="432">
        <f t="shared" si="28"/>
        <v>154656.81000000003</v>
      </c>
      <c r="M52" s="419">
        <f t="shared" si="36"/>
        <v>1466456.81</v>
      </c>
      <c r="N52" s="431"/>
      <c r="O52" s="431"/>
      <c r="P52" s="567"/>
    </row>
    <row r="53" spans="1:16">
      <c r="A53" s="430">
        <f>A52</f>
        <v>2028</v>
      </c>
      <c r="B53" s="420">
        <f t="shared" si="37"/>
        <v>46692</v>
      </c>
      <c r="C53" s="420">
        <f>B53+30-1</f>
        <v>46721</v>
      </c>
      <c r="D53">
        <v>1</v>
      </c>
      <c r="E53" s="431">
        <f t="shared" si="30"/>
        <v>9515</v>
      </c>
      <c r="F53" s="431">
        <f t="shared" si="31"/>
        <v>883.96506874767749</v>
      </c>
      <c r="H53" s="432">
        <f t="shared" si="35"/>
        <v>120</v>
      </c>
      <c r="I53" s="431">
        <f t="shared" si="33"/>
        <v>170000</v>
      </c>
      <c r="J53" s="421">
        <f t="shared" si="39"/>
        <v>16.254000000000001</v>
      </c>
      <c r="K53" s="431">
        <f t="shared" si="26"/>
        <v>1141800</v>
      </c>
      <c r="L53" s="432">
        <f t="shared" si="28"/>
        <v>154656.81000000003</v>
      </c>
      <c r="M53" s="419">
        <f t="shared" si="36"/>
        <v>1466456.81</v>
      </c>
      <c r="N53" s="431"/>
      <c r="O53" s="431"/>
      <c r="P53" s="567"/>
    </row>
    <row r="54" spans="1:16">
      <c r="A54" s="430">
        <f t="shared" ref="A54:A62" si="40">A53</f>
        <v>2028</v>
      </c>
      <c r="B54" s="420">
        <f t="shared" si="37"/>
        <v>46722</v>
      </c>
      <c r="C54" s="420">
        <f>B54+30</f>
        <v>46752</v>
      </c>
      <c r="D54">
        <v>1</v>
      </c>
      <c r="E54" s="431">
        <f t="shared" si="30"/>
        <v>9515</v>
      </c>
      <c r="F54" s="431">
        <f t="shared" si="31"/>
        <v>883.96506874767749</v>
      </c>
      <c r="H54" s="432">
        <f>H53</f>
        <v>120</v>
      </c>
      <c r="I54" s="431">
        <f t="shared" si="33"/>
        <v>170000</v>
      </c>
      <c r="J54" s="421">
        <f t="shared" si="39"/>
        <v>16.254000000000001</v>
      </c>
      <c r="K54" s="431">
        <f t="shared" si="26"/>
        <v>1141800</v>
      </c>
      <c r="L54" s="432">
        <f t="shared" si="28"/>
        <v>154656.81000000003</v>
      </c>
      <c r="M54" s="419">
        <f t="shared" si="36"/>
        <v>1466456.81</v>
      </c>
      <c r="N54" s="431"/>
      <c r="O54" s="431"/>
      <c r="P54" s="567"/>
    </row>
    <row r="55" spans="1:16">
      <c r="A55" s="430">
        <f t="shared" si="40"/>
        <v>2028</v>
      </c>
      <c r="B55" s="420">
        <f t="shared" si="37"/>
        <v>46753</v>
      </c>
      <c r="C55" s="420">
        <f>B55+30</f>
        <v>46783</v>
      </c>
      <c r="D55">
        <v>1</v>
      </c>
      <c r="E55" s="431">
        <f t="shared" si="30"/>
        <v>9515</v>
      </c>
      <c r="F55" s="431">
        <f t="shared" si="31"/>
        <v>883.96506874767749</v>
      </c>
      <c r="H55" s="432">
        <f t="shared" si="35"/>
        <v>120</v>
      </c>
      <c r="I55" s="431">
        <f t="shared" si="33"/>
        <v>170000</v>
      </c>
      <c r="J55" s="421">
        <f>J54*1.05</f>
        <v>17.066700000000001</v>
      </c>
      <c r="K55" s="431">
        <f t="shared" si="26"/>
        <v>1141800</v>
      </c>
      <c r="L55" s="432">
        <f t="shared" si="28"/>
        <v>162389.65050000002</v>
      </c>
      <c r="M55" s="419">
        <f t="shared" si="36"/>
        <v>1474189.6505</v>
      </c>
      <c r="N55" s="431"/>
      <c r="O55" s="431"/>
      <c r="P55" s="567"/>
    </row>
    <row r="56" spans="1:16">
      <c r="A56" s="430">
        <f t="shared" si="40"/>
        <v>2028</v>
      </c>
      <c r="B56" s="420">
        <f t="shared" si="37"/>
        <v>46784</v>
      </c>
      <c r="C56" s="420">
        <f>B56+30-2</f>
        <v>46812</v>
      </c>
      <c r="D56">
        <v>1</v>
      </c>
      <c r="E56" s="431">
        <f t="shared" si="30"/>
        <v>9515</v>
      </c>
      <c r="F56" s="431">
        <f t="shared" si="31"/>
        <v>883.96506874767749</v>
      </c>
      <c r="H56" s="432">
        <f t="shared" si="35"/>
        <v>120</v>
      </c>
      <c r="I56" s="431">
        <f t="shared" si="33"/>
        <v>170000</v>
      </c>
      <c r="J56" s="421">
        <f>J55</f>
        <v>17.066700000000001</v>
      </c>
      <c r="K56" s="431">
        <f t="shared" si="26"/>
        <v>1141800</v>
      </c>
      <c r="L56" s="432">
        <f t="shared" si="28"/>
        <v>162389.65050000002</v>
      </c>
      <c r="M56" s="419">
        <f t="shared" si="36"/>
        <v>1474189.6505</v>
      </c>
      <c r="N56" s="431"/>
      <c r="O56" s="431"/>
      <c r="P56" s="567"/>
    </row>
    <row r="57" spans="1:16">
      <c r="A57" s="430">
        <f t="shared" si="40"/>
        <v>2028</v>
      </c>
      <c r="B57" s="420">
        <f t="shared" si="37"/>
        <v>46813</v>
      </c>
      <c r="C57" s="420">
        <f>B57+30</f>
        <v>46843</v>
      </c>
      <c r="D57">
        <v>1</v>
      </c>
      <c r="E57" s="431">
        <f t="shared" si="30"/>
        <v>9515</v>
      </c>
      <c r="F57" s="431">
        <f t="shared" si="31"/>
        <v>883.96506874767749</v>
      </c>
      <c r="H57" s="432">
        <f t="shared" si="35"/>
        <v>120</v>
      </c>
      <c r="I57" s="431">
        <f t="shared" si="33"/>
        <v>170000</v>
      </c>
      <c r="J57" s="421">
        <f t="shared" ref="J57:J59" si="41">J56</f>
        <v>17.066700000000001</v>
      </c>
      <c r="K57" s="431">
        <f t="shared" si="26"/>
        <v>1141800</v>
      </c>
      <c r="L57" s="432">
        <f t="shared" si="28"/>
        <v>162389.65050000002</v>
      </c>
      <c r="M57" s="419">
        <f t="shared" si="36"/>
        <v>1474189.6505</v>
      </c>
      <c r="N57" s="431"/>
      <c r="O57" s="431"/>
      <c r="P57" s="567"/>
    </row>
    <row r="58" spans="1:16">
      <c r="A58" s="430">
        <f t="shared" si="40"/>
        <v>2028</v>
      </c>
      <c r="B58" s="420">
        <f t="shared" si="37"/>
        <v>46844</v>
      </c>
      <c r="C58" s="420">
        <f>B58+30-1</f>
        <v>46873</v>
      </c>
      <c r="D58">
        <v>1</v>
      </c>
      <c r="E58" s="431">
        <f t="shared" si="30"/>
        <v>9515</v>
      </c>
      <c r="F58" s="431">
        <f t="shared" si="31"/>
        <v>883.96506874767749</v>
      </c>
      <c r="H58" s="432">
        <f t="shared" si="35"/>
        <v>120</v>
      </c>
      <c r="I58" s="431">
        <f t="shared" si="33"/>
        <v>170000</v>
      </c>
      <c r="J58" s="421">
        <f t="shared" si="41"/>
        <v>17.066700000000001</v>
      </c>
      <c r="K58" s="431">
        <f t="shared" si="26"/>
        <v>1141800</v>
      </c>
      <c r="L58" s="432">
        <f t="shared" si="28"/>
        <v>162389.65050000002</v>
      </c>
      <c r="M58" s="419">
        <f t="shared" si="36"/>
        <v>1474189.6505</v>
      </c>
      <c r="N58" s="431"/>
      <c r="O58" s="431"/>
      <c r="P58" s="567"/>
    </row>
    <row r="59" spans="1:16">
      <c r="A59" s="430">
        <f t="shared" si="40"/>
        <v>2028</v>
      </c>
      <c r="B59" s="420">
        <f t="shared" si="37"/>
        <v>46874</v>
      </c>
      <c r="C59" s="420">
        <f>B59+30</f>
        <v>46904</v>
      </c>
      <c r="D59">
        <v>1</v>
      </c>
      <c r="E59" s="431">
        <f t="shared" si="30"/>
        <v>9515</v>
      </c>
      <c r="F59" s="431">
        <f t="shared" si="31"/>
        <v>883.96506874767749</v>
      </c>
      <c r="H59" s="432">
        <f t="shared" si="35"/>
        <v>120</v>
      </c>
      <c r="I59" s="431">
        <f t="shared" si="33"/>
        <v>170000</v>
      </c>
      <c r="J59" s="421">
        <f t="shared" si="41"/>
        <v>17.066700000000001</v>
      </c>
      <c r="K59" s="431">
        <f t="shared" si="26"/>
        <v>1141800</v>
      </c>
      <c r="L59" s="432">
        <f t="shared" si="28"/>
        <v>162389.65050000002</v>
      </c>
      <c r="M59" s="419">
        <f t="shared" si="36"/>
        <v>1474189.6505</v>
      </c>
      <c r="N59" s="431"/>
      <c r="O59" s="431"/>
      <c r="P59" s="567"/>
    </row>
    <row r="60" spans="1:16">
      <c r="A60" s="430">
        <f t="shared" si="40"/>
        <v>2028</v>
      </c>
      <c r="B60" s="420">
        <f t="shared" si="37"/>
        <v>46905</v>
      </c>
      <c r="C60" s="420">
        <f>B60+30-1</f>
        <v>46934</v>
      </c>
      <c r="D60">
        <v>1</v>
      </c>
      <c r="E60" s="431">
        <f t="shared" si="30"/>
        <v>9515</v>
      </c>
      <c r="F60" s="431">
        <f t="shared" si="31"/>
        <v>883.96506874767749</v>
      </c>
      <c r="H60" s="432">
        <f t="shared" si="35"/>
        <v>120</v>
      </c>
      <c r="I60" s="431">
        <f t="shared" si="33"/>
        <v>170000</v>
      </c>
      <c r="J60" s="421">
        <f t="shared" ref="J60:J84" si="42">J59</f>
        <v>17.066700000000001</v>
      </c>
      <c r="K60" s="431">
        <f t="shared" si="26"/>
        <v>1141800</v>
      </c>
      <c r="L60" s="432">
        <f t="shared" si="28"/>
        <v>162389.65050000002</v>
      </c>
      <c r="M60" s="419">
        <f t="shared" si="36"/>
        <v>1474189.6505</v>
      </c>
      <c r="N60" s="431"/>
      <c r="O60" s="431"/>
      <c r="P60" s="567"/>
    </row>
    <row r="61" spans="1:16">
      <c r="A61" s="430">
        <f t="shared" si="40"/>
        <v>2028</v>
      </c>
      <c r="B61" s="420">
        <f t="shared" si="37"/>
        <v>46935</v>
      </c>
      <c r="C61" s="420">
        <f>B61+30</f>
        <v>46965</v>
      </c>
      <c r="D61">
        <v>1</v>
      </c>
      <c r="E61" s="431">
        <f t="shared" si="30"/>
        <v>9515</v>
      </c>
      <c r="F61" s="431">
        <f t="shared" si="31"/>
        <v>883.96506874767749</v>
      </c>
      <c r="H61" s="432">
        <f t="shared" si="35"/>
        <v>120</v>
      </c>
      <c r="I61" s="431">
        <f t="shared" si="33"/>
        <v>170000</v>
      </c>
      <c r="J61" s="421">
        <f>J60</f>
        <v>17.066700000000001</v>
      </c>
      <c r="K61" s="431">
        <f t="shared" si="26"/>
        <v>1141800</v>
      </c>
      <c r="L61" s="432">
        <f t="shared" si="28"/>
        <v>162389.65050000002</v>
      </c>
      <c r="M61" s="419">
        <f t="shared" si="36"/>
        <v>1474189.6505</v>
      </c>
      <c r="N61" s="431"/>
      <c r="O61" s="431"/>
      <c r="P61" s="567"/>
    </row>
    <row r="62" spans="1:16" ht="13" thickBot="1">
      <c r="A62" s="433">
        <f t="shared" si="40"/>
        <v>2028</v>
      </c>
      <c r="B62" s="434">
        <f t="shared" si="37"/>
        <v>46966</v>
      </c>
      <c r="C62" s="434">
        <f>B62+30</f>
        <v>46996</v>
      </c>
      <c r="D62" s="435">
        <v>1</v>
      </c>
      <c r="E62" s="436">
        <f t="shared" si="30"/>
        <v>9515</v>
      </c>
      <c r="F62" s="436">
        <f t="shared" si="31"/>
        <v>883.96506874767749</v>
      </c>
      <c r="G62" s="435"/>
      <c r="H62" s="437">
        <f t="shared" si="35"/>
        <v>120</v>
      </c>
      <c r="I62" s="431">
        <f t="shared" si="33"/>
        <v>170000</v>
      </c>
      <c r="J62" s="438">
        <f>J61</f>
        <v>17.066700000000001</v>
      </c>
      <c r="K62" s="436">
        <f t="shared" si="26"/>
        <v>1141800</v>
      </c>
      <c r="L62" s="437">
        <f t="shared" si="28"/>
        <v>162389.65050000002</v>
      </c>
      <c r="M62" s="439">
        <f t="shared" si="36"/>
        <v>1474189.6505</v>
      </c>
      <c r="N62" s="436"/>
      <c r="O62" s="436"/>
      <c r="P62" s="567"/>
    </row>
    <row r="63" spans="1:16">
      <c r="A63">
        <f>A62+1</f>
        <v>2029</v>
      </c>
      <c r="B63" s="420">
        <f t="shared" si="37"/>
        <v>46997</v>
      </c>
      <c r="C63" s="420">
        <f>B63+30-1</f>
        <v>47026</v>
      </c>
      <c r="D63">
        <v>1</v>
      </c>
      <c r="E63" s="431">
        <f t="shared" si="30"/>
        <v>9515</v>
      </c>
      <c r="F63" s="431">
        <f t="shared" si="31"/>
        <v>883.96506874767749</v>
      </c>
      <c r="H63" s="432">
        <f t="shared" si="35"/>
        <v>120</v>
      </c>
      <c r="I63" s="426">
        <f t="shared" si="33"/>
        <v>170000</v>
      </c>
      <c r="J63" s="421">
        <f t="shared" ref="J63:J72" si="43">J62</f>
        <v>17.066700000000001</v>
      </c>
      <c r="K63" s="431">
        <f t="shared" ref="K63:K94" si="44">H63*E63</f>
        <v>1141800</v>
      </c>
      <c r="L63" s="432">
        <f t="shared" ref="L63:L94" si="45">J63*E63</f>
        <v>162389.65050000002</v>
      </c>
      <c r="M63" s="419">
        <f t="shared" si="36"/>
        <v>1474189.6505</v>
      </c>
      <c r="N63" s="431">
        <f>SUM(K51:K62)</f>
        <v>13701600</v>
      </c>
      <c r="O63" s="431">
        <f>SUM(L51:L62)</f>
        <v>1917744.4440000001</v>
      </c>
      <c r="P63" s="569">
        <f>SUM(I51:I62)</f>
        <v>2040000</v>
      </c>
    </row>
    <row r="64" spans="1:16">
      <c r="A64" s="430">
        <f>A63</f>
        <v>2029</v>
      </c>
      <c r="B64" s="420">
        <f t="shared" si="37"/>
        <v>47027</v>
      </c>
      <c r="C64" s="420">
        <f>B64+30</f>
        <v>47057</v>
      </c>
      <c r="D64">
        <v>1</v>
      </c>
      <c r="E64" s="431">
        <f t="shared" si="30"/>
        <v>9515</v>
      </c>
      <c r="F64" s="431">
        <f t="shared" si="31"/>
        <v>883.96506874767749</v>
      </c>
      <c r="H64" s="432">
        <f t="shared" si="35"/>
        <v>120</v>
      </c>
      <c r="I64" s="431">
        <f t="shared" si="33"/>
        <v>170000</v>
      </c>
      <c r="J64" s="421">
        <f t="shared" si="43"/>
        <v>17.066700000000001</v>
      </c>
      <c r="K64" s="431">
        <f t="shared" si="44"/>
        <v>1141800</v>
      </c>
      <c r="L64" s="432">
        <f t="shared" si="45"/>
        <v>162389.65050000002</v>
      </c>
      <c r="M64" s="419">
        <f t="shared" si="36"/>
        <v>1474189.6505</v>
      </c>
      <c r="N64" s="431"/>
      <c r="O64" s="431"/>
      <c r="P64" s="567"/>
    </row>
    <row r="65" spans="1:16">
      <c r="A65" s="430">
        <f>A64</f>
        <v>2029</v>
      </c>
      <c r="B65" s="420">
        <f t="shared" si="37"/>
        <v>47058</v>
      </c>
      <c r="C65" s="420">
        <f>B65+30-1</f>
        <v>47087</v>
      </c>
      <c r="D65">
        <v>1</v>
      </c>
      <c r="E65" s="431">
        <f t="shared" si="30"/>
        <v>9515</v>
      </c>
      <c r="F65" s="431">
        <f t="shared" si="31"/>
        <v>883.96506874767749</v>
      </c>
      <c r="H65" s="432">
        <f t="shared" si="35"/>
        <v>120</v>
      </c>
      <c r="I65" s="431">
        <f t="shared" si="33"/>
        <v>170000</v>
      </c>
      <c r="J65" s="421">
        <f t="shared" si="43"/>
        <v>17.066700000000001</v>
      </c>
      <c r="K65" s="431">
        <f t="shared" si="44"/>
        <v>1141800</v>
      </c>
      <c r="L65" s="432">
        <f t="shared" si="45"/>
        <v>162389.65050000002</v>
      </c>
      <c r="M65" s="419">
        <f t="shared" si="36"/>
        <v>1474189.6505</v>
      </c>
      <c r="N65" s="431"/>
      <c r="O65" s="431"/>
      <c r="P65" s="567"/>
    </row>
    <row r="66" spans="1:16">
      <c r="A66" s="430">
        <f t="shared" ref="A66:A74" si="46">A65</f>
        <v>2029</v>
      </c>
      <c r="B66" s="420">
        <f t="shared" si="37"/>
        <v>47088</v>
      </c>
      <c r="C66" s="420">
        <f>B66+30</f>
        <v>47118</v>
      </c>
      <c r="D66">
        <v>1</v>
      </c>
      <c r="E66" s="431">
        <f t="shared" si="30"/>
        <v>9515</v>
      </c>
      <c r="F66" s="431">
        <f t="shared" si="31"/>
        <v>883.96506874767749</v>
      </c>
      <c r="H66" s="432">
        <f>H65</f>
        <v>120</v>
      </c>
      <c r="I66" s="431">
        <f t="shared" si="33"/>
        <v>170000</v>
      </c>
      <c r="J66" s="421">
        <f t="shared" si="43"/>
        <v>17.066700000000001</v>
      </c>
      <c r="K66" s="431">
        <f t="shared" si="44"/>
        <v>1141800</v>
      </c>
      <c r="L66" s="432">
        <f t="shared" si="45"/>
        <v>162389.65050000002</v>
      </c>
      <c r="M66" s="419">
        <f t="shared" si="36"/>
        <v>1474189.6505</v>
      </c>
      <c r="N66" s="431"/>
      <c r="O66" s="431"/>
      <c r="P66" s="567"/>
    </row>
    <row r="67" spans="1:16">
      <c r="A67" s="430">
        <f t="shared" si="46"/>
        <v>2029</v>
      </c>
      <c r="B67" s="420">
        <f t="shared" si="37"/>
        <v>47119</v>
      </c>
      <c r="C67" s="420">
        <f>B67+30</f>
        <v>47149</v>
      </c>
      <c r="D67">
        <v>1</v>
      </c>
      <c r="E67" s="431">
        <f t="shared" si="30"/>
        <v>9515</v>
      </c>
      <c r="F67" s="431">
        <f t="shared" si="31"/>
        <v>883.96506874767749</v>
      </c>
      <c r="H67" s="432">
        <f>H66*1.15</f>
        <v>138</v>
      </c>
      <c r="I67" s="431">
        <f>I66*1.15</f>
        <v>195499.99999999997</v>
      </c>
      <c r="J67" s="421">
        <f>J66*1.05</f>
        <v>17.920035000000002</v>
      </c>
      <c r="K67" s="431">
        <f t="shared" si="44"/>
        <v>1313070</v>
      </c>
      <c r="L67" s="432">
        <f t="shared" si="45"/>
        <v>170509.13302500002</v>
      </c>
      <c r="M67" s="419">
        <f t="shared" si="36"/>
        <v>1679079.1330250001</v>
      </c>
      <c r="N67" s="431"/>
      <c r="O67" s="431"/>
      <c r="P67" s="567"/>
    </row>
    <row r="68" spans="1:16">
      <c r="A68" s="430">
        <f t="shared" si="46"/>
        <v>2029</v>
      </c>
      <c r="B68" s="420">
        <f t="shared" si="37"/>
        <v>47150</v>
      </c>
      <c r="C68" s="420">
        <f>B68+30-3</f>
        <v>47177</v>
      </c>
      <c r="D68">
        <v>1</v>
      </c>
      <c r="E68" s="431">
        <f t="shared" si="30"/>
        <v>9515</v>
      </c>
      <c r="F68" s="431">
        <f t="shared" si="31"/>
        <v>883.96506874767749</v>
      </c>
      <c r="H68" s="432">
        <f>H67</f>
        <v>138</v>
      </c>
      <c r="I68" s="431">
        <f t="shared" si="33"/>
        <v>195499.99999999997</v>
      </c>
      <c r="J68" s="421">
        <f>J67</f>
        <v>17.920035000000002</v>
      </c>
      <c r="K68" s="431">
        <f t="shared" si="44"/>
        <v>1313070</v>
      </c>
      <c r="L68" s="432">
        <f t="shared" si="45"/>
        <v>170509.13302500002</v>
      </c>
      <c r="M68" s="419">
        <f t="shared" si="36"/>
        <v>1679079.1330250001</v>
      </c>
      <c r="N68" s="431"/>
      <c r="O68" s="431"/>
      <c r="P68" s="567"/>
    </row>
    <row r="69" spans="1:16">
      <c r="A69" s="430">
        <f t="shared" si="46"/>
        <v>2029</v>
      </c>
      <c r="B69" s="420">
        <f t="shared" si="37"/>
        <v>47178</v>
      </c>
      <c r="C69" s="420">
        <f>B69+30</f>
        <v>47208</v>
      </c>
      <c r="D69">
        <v>1</v>
      </c>
      <c r="E69" s="431">
        <f t="shared" si="30"/>
        <v>9515</v>
      </c>
      <c r="F69" s="431">
        <f t="shared" si="31"/>
        <v>883.96506874767749</v>
      </c>
      <c r="H69" s="432">
        <f t="shared" ref="H69:I102" si="47">H68</f>
        <v>138</v>
      </c>
      <c r="I69" s="431">
        <f t="shared" si="33"/>
        <v>195499.99999999997</v>
      </c>
      <c r="J69" s="421">
        <f t="shared" si="43"/>
        <v>17.920035000000002</v>
      </c>
      <c r="K69" s="431">
        <f t="shared" si="44"/>
        <v>1313070</v>
      </c>
      <c r="L69" s="432">
        <f t="shared" si="45"/>
        <v>170509.13302500002</v>
      </c>
      <c r="M69" s="419">
        <f t="shared" si="36"/>
        <v>1679079.1330250001</v>
      </c>
      <c r="N69" s="431"/>
      <c r="O69" s="431"/>
      <c r="P69" s="567"/>
    </row>
    <row r="70" spans="1:16">
      <c r="A70" s="430">
        <f t="shared" si="46"/>
        <v>2029</v>
      </c>
      <c r="B70" s="420">
        <f t="shared" si="37"/>
        <v>47209</v>
      </c>
      <c r="C70" s="420">
        <f>B70+30-1</f>
        <v>47238</v>
      </c>
      <c r="D70">
        <v>1</v>
      </c>
      <c r="E70" s="431">
        <f t="shared" si="30"/>
        <v>9515</v>
      </c>
      <c r="F70" s="431">
        <f t="shared" si="31"/>
        <v>883.96506874767749</v>
      </c>
      <c r="H70" s="432">
        <f t="shared" si="47"/>
        <v>138</v>
      </c>
      <c r="I70" s="431">
        <f t="shared" si="33"/>
        <v>195499.99999999997</v>
      </c>
      <c r="J70" s="421">
        <f t="shared" si="43"/>
        <v>17.920035000000002</v>
      </c>
      <c r="K70" s="431">
        <f t="shared" si="44"/>
        <v>1313070</v>
      </c>
      <c r="L70" s="432">
        <f t="shared" si="45"/>
        <v>170509.13302500002</v>
      </c>
      <c r="M70" s="419">
        <f t="shared" si="36"/>
        <v>1679079.1330250001</v>
      </c>
      <c r="N70" s="431"/>
      <c r="O70" s="431"/>
      <c r="P70" s="567"/>
    </row>
    <row r="71" spans="1:16">
      <c r="A71" s="430">
        <f t="shared" si="46"/>
        <v>2029</v>
      </c>
      <c r="B71" s="420">
        <f t="shared" si="37"/>
        <v>47239</v>
      </c>
      <c r="C71" s="420">
        <f>B71+30</f>
        <v>47269</v>
      </c>
      <c r="D71">
        <v>1</v>
      </c>
      <c r="E71" s="431">
        <f t="shared" si="30"/>
        <v>9515</v>
      </c>
      <c r="F71" s="431">
        <f t="shared" si="31"/>
        <v>883.96506874767749</v>
      </c>
      <c r="H71" s="432">
        <f t="shared" si="47"/>
        <v>138</v>
      </c>
      <c r="I71" s="431">
        <f t="shared" si="33"/>
        <v>195499.99999999997</v>
      </c>
      <c r="J71" s="421">
        <f t="shared" si="43"/>
        <v>17.920035000000002</v>
      </c>
      <c r="K71" s="431">
        <f t="shared" si="44"/>
        <v>1313070</v>
      </c>
      <c r="L71" s="432">
        <f t="shared" si="45"/>
        <v>170509.13302500002</v>
      </c>
      <c r="M71" s="419">
        <f t="shared" si="36"/>
        <v>1679079.1330250001</v>
      </c>
      <c r="N71" s="431"/>
      <c r="O71" s="431"/>
      <c r="P71" s="567"/>
    </row>
    <row r="72" spans="1:16">
      <c r="A72" s="430">
        <f t="shared" si="46"/>
        <v>2029</v>
      </c>
      <c r="B72" s="420">
        <f t="shared" si="37"/>
        <v>47270</v>
      </c>
      <c r="C72" s="420">
        <f>B72+30-1</f>
        <v>47299</v>
      </c>
      <c r="D72">
        <v>1</v>
      </c>
      <c r="E72" s="431">
        <f t="shared" si="30"/>
        <v>9515</v>
      </c>
      <c r="F72" s="431">
        <f t="shared" si="31"/>
        <v>883.96506874767749</v>
      </c>
      <c r="H72" s="432">
        <f t="shared" si="47"/>
        <v>138</v>
      </c>
      <c r="I72" s="431">
        <f t="shared" si="33"/>
        <v>195499.99999999997</v>
      </c>
      <c r="J72" s="421">
        <f t="shared" si="43"/>
        <v>17.920035000000002</v>
      </c>
      <c r="K72" s="431">
        <f t="shared" si="44"/>
        <v>1313070</v>
      </c>
      <c r="L72" s="432">
        <f t="shared" si="45"/>
        <v>170509.13302500002</v>
      </c>
      <c r="M72" s="419">
        <f t="shared" si="36"/>
        <v>1679079.1330250001</v>
      </c>
      <c r="N72" s="431"/>
      <c r="O72" s="431"/>
      <c r="P72" s="567"/>
    </row>
    <row r="73" spans="1:16">
      <c r="A73" s="430">
        <f t="shared" si="46"/>
        <v>2029</v>
      </c>
      <c r="B73" s="420">
        <f t="shared" si="37"/>
        <v>47300</v>
      </c>
      <c r="C73" s="420">
        <f>B73+30</f>
        <v>47330</v>
      </c>
      <c r="D73">
        <v>1</v>
      </c>
      <c r="E73" s="431">
        <f t="shared" si="30"/>
        <v>9515</v>
      </c>
      <c r="F73" s="431">
        <f t="shared" si="31"/>
        <v>883.96506874767749</v>
      </c>
      <c r="H73" s="432">
        <f t="shared" si="47"/>
        <v>138</v>
      </c>
      <c r="I73" s="431">
        <f t="shared" si="33"/>
        <v>195499.99999999997</v>
      </c>
      <c r="J73" s="421">
        <f>J72</f>
        <v>17.920035000000002</v>
      </c>
      <c r="K73" s="431">
        <f t="shared" si="44"/>
        <v>1313070</v>
      </c>
      <c r="L73" s="432">
        <f t="shared" si="45"/>
        <v>170509.13302500002</v>
      </c>
      <c r="M73" s="419">
        <f t="shared" si="36"/>
        <v>1679079.1330250001</v>
      </c>
      <c r="N73" s="431"/>
      <c r="O73" s="431"/>
      <c r="P73" s="567"/>
    </row>
    <row r="74" spans="1:16" ht="13" thickBot="1">
      <c r="A74" s="433">
        <f t="shared" si="46"/>
        <v>2029</v>
      </c>
      <c r="B74" s="434">
        <f t="shared" si="37"/>
        <v>47331</v>
      </c>
      <c r="C74" s="434">
        <f t="shared" ref="C74" si="48">B74+30</f>
        <v>47361</v>
      </c>
      <c r="D74" s="435">
        <v>1</v>
      </c>
      <c r="E74" s="436">
        <f t="shared" si="30"/>
        <v>9515</v>
      </c>
      <c r="F74" s="436">
        <f t="shared" si="31"/>
        <v>883.96506874767749</v>
      </c>
      <c r="G74" s="435"/>
      <c r="H74" s="437">
        <f t="shared" si="47"/>
        <v>138</v>
      </c>
      <c r="I74" s="436">
        <f t="shared" si="33"/>
        <v>195499.99999999997</v>
      </c>
      <c r="J74" s="438">
        <f t="shared" si="42"/>
        <v>17.920035000000002</v>
      </c>
      <c r="K74" s="436">
        <f t="shared" si="44"/>
        <v>1313070</v>
      </c>
      <c r="L74" s="437">
        <f t="shared" si="45"/>
        <v>170509.13302500002</v>
      </c>
      <c r="M74" s="439">
        <f t="shared" si="36"/>
        <v>1679079.1330250001</v>
      </c>
      <c r="N74" s="436"/>
      <c r="O74" s="436"/>
      <c r="P74" s="567"/>
    </row>
    <row r="75" spans="1:16">
      <c r="A75">
        <f>A74+1</f>
        <v>2030</v>
      </c>
      <c r="B75" s="420">
        <f t="shared" si="37"/>
        <v>47362</v>
      </c>
      <c r="C75" s="420">
        <f>B75+30-1</f>
        <v>47391</v>
      </c>
      <c r="D75">
        <v>1</v>
      </c>
      <c r="E75" s="431">
        <f t="shared" si="30"/>
        <v>9515</v>
      </c>
      <c r="F75" s="431">
        <f t="shared" si="31"/>
        <v>883.96506874767749</v>
      </c>
      <c r="H75" s="432">
        <f t="shared" si="47"/>
        <v>138</v>
      </c>
      <c r="I75" s="431">
        <f t="shared" si="33"/>
        <v>195499.99999999997</v>
      </c>
      <c r="J75" s="421">
        <f t="shared" si="42"/>
        <v>17.920035000000002</v>
      </c>
      <c r="K75" s="431">
        <f t="shared" si="44"/>
        <v>1313070</v>
      </c>
      <c r="L75" s="432">
        <f t="shared" si="45"/>
        <v>170509.13302500002</v>
      </c>
      <c r="M75" s="419">
        <f t="shared" si="36"/>
        <v>1679079.1330250001</v>
      </c>
      <c r="N75" s="431">
        <f>SUM(K63:K74)</f>
        <v>15071760</v>
      </c>
      <c r="O75" s="431">
        <f>SUM(L63:L74)</f>
        <v>2013631.6662000006</v>
      </c>
      <c r="P75" s="569">
        <f>SUM(I63:I74)</f>
        <v>2244000</v>
      </c>
    </row>
    <row r="76" spans="1:16">
      <c r="A76" s="430">
        <f>A75</f>
        <v>2030</v>
      </c>
      <c r="B76" s="420">
        <f t="shared" si="37"/>
        <v>47392</v>
      </c>
      <c r="C76" s="420">
        <f>B76+30</f>
        <v>47422</v>
      </c>
      <c r="D76">
        <v>1</v>
      </c>
      <c r="E76" s="431">
        <f t="shared" si="30"/>
        <v>9515</v>
      </c>
      <c r="F76" s="431">
        <f t="shared" si="31"/>
        <v>883.96506874767749</v>
      </c>
      <c r="H76" s="432">
        <f t="shared" si="47"/>
        <v>138</v>
      </c>
      <c r="I76" s="431">
        <f t="shared" si="33"/>
        <v>195499.99999999997</v>
      </c>
      <c r="J76" s="421">
        <f t="shared" si="42"/>
        <v>17.920035000000002</v>
      </c>
      <c r="K76" s="431">
        <f t="shared" si="44"/>
        <v>1313070</v>
      </c>
      <c r="L76" s="432">
        <f t="shared" si="45"/>
        <v>170509.13302500002</v>
      </c>
      <c r="M76" s="419">
        <f t="shared" si="36"/>
        <v>1679079.1330250001</v>
      </c>
      <c r="N76" s="431"/>
      <c r="O76" s="431"/>
      <c r="P76" s="567"/>
    </row>
    <row r="77" spans="1:16">
      <c r="A77" s="430">
        <f>A76</f>
        <v>2030</v>
      </c>
      <c r="B77" s="420">
        <f t="shared" si="37"/>
        <v>47423</v>
      </c>
      <c r="C77" s="420">
        <f>B77+30-1</f>
        <v>47452</v>
      </c>
      <c r="D77">
        <v>1</v>
      </c>
      <c r="E77" s="431">
        <f t="shared" si="30"/>
        <v>9515</v>
      </c>
      <c r="F77" s="431">
        <f t="shared" si="31"/>
        <v>883.96506874767749</v>
      </c>
      <c r="H77" s="432">
        <f t="shared" si="47"/>
        <v>138</v>
      </c>
      <c r="I77" s="431">
        <f t="shared" si="33"/>
        <v>195499.99999999997</v>
      </c>
      <c r="J77" s="421">
        <f t="shared" si="42"/>
        <v>17.920035000000002</v>
      </c>
      <c r="K77" s="431">
        <f t="shared" si="44"/>
        <v>1313070</v>
      </c>
      <c r="L77" s="432">
        <f t="shared" si="45"/>
        <v>170509.13302500002</v>
      </c>
      <c r="M77" s="419">
        <f t="shared" si="36"/>
        <v>1679079.1330250001</v>
      </c>
      <c r="N77" s="431"/>
      <c r="O77" s="431"/>
      <c r="P77" s="567"/>
    </row>
    <row r="78" spans="1:16">
      <c r="A78" s="430">
        <f t="shared" ref="A78:A86" si="49">A77</f>
        <v>2030</v>
      </c>
      <c r="B78" s="420">
        <f t="shared" si="37"/>
        <v>47453</v>
      </c>
      <c r="C78" s="420">
        <f>B78+30</f>
        <v>47483</v>
      </c>
      <c r="D78">
        <v>1</v>
      </c>
      <c r="E78" s="431">
        <f t="shared" si="30"/>
        <v>9515</v>
      </c>
      <c r="F78" s="431">
        <f t="shared" si="31"/>
        <v>883.96506874767749</v>
      </c>
      <c r="H78" s="432">
        <f t="shared" si="47"/>
        <v>138</v>
      </c>
      <c r="I78" s="431">
        <f t="shared" si="33"/>
        <v>195499.99999999997</v>
      </c>
      <c r="J78" s="421">
        <f t="shared" si="42"/>
        <v>17.920035000000002</v>
      </c>
      <c r="K78" s="431">
        <f t="shared" si="44"/>
        <v>1313070</v>
      </c>
      <c r="L78" s="432">
        <f t="shared" si="45"/>
        <v>170509.13302500002</v>
      </c>
      <c r="M78" s="419">
        <f t="shared" si="36"/>
        <v>1679079.1330250001</v>
      </c>
      <c r="N78" s="431"/>
      <c r="O78" s="431"/>
      <c r="P78" s="567"/>
    </row>
    <row r="79" spans="1:16">
      <c r="A79" s="430">
        <f t="shared" si="49"/>
        <v>2030</v>
      </c>
      <c r="B79" s="420">
        <f t="shared" si="37"/>
        <v>47484</v>
      </c>
      <c r="C79" s="420">
        <f>B79+30</f>
        <v>47514</v>
      </c>
      <c r="D79">
        <v>1</v>
      </c>
      <c r="E79" s="431">
        <f t="shared" si="30"/>
        <v>9515</v>
      </c>
      <c r="F79" s="431">
        <f t="shared" si="31"/>
        <v>883.96506874767749</v>
      </c>
      <c r="H79" s="432">
        <f t="shared" si="47"/>
        <v>138</v>
      </c>
      <c r="I79" s="431">
        <f t="shared" si="33"/>
        <v>195499.99999999997</v>
      </c>
      <c r="J79" s="421">
        <f>J78*1.05</f>
        <v>18.816036750000002</v>
      </c>
      <c r="K79" s="431">
        <f t="shared" si="44"/>
        <v>1313070</v>
      </c>
      <c r="L79" s="432">
        <f t="shared" si="45"/>
        <v>179034.58967625003</v>
      </c>
      <c r="M79" s="419">
        <f t="shared" si="36"/>
        <v>1687604.58967625</v>
      </c>
      <c r="N79" s="431"/>
      <c r="O79" s="431"/>
      <c r="P79" s="567"/>
    </row>
    <row r="80" spans="1:16">
      <c r="A80" s="430">
        <f t="shared" si="49"/>
        <v>2030</v>
      </c>
      <c r="B80" s="420">
        <f t="shared" si="37"/>
        <v>47515</v>
      </c>
      <c r="C80" s="420">
        <f>B80+30-3</f>
        <v>47542</v>
      </c>
      <c r="D80">
        <v>1</v>
      </c>
      <c r="E80" s="431">
        <f t="shared" si="30"/>
        <v>9515</v>
      </c>
      <c r="F80" s="431">
        <f t="shared" si="31"/>
        <v>883.96506874767749</v>
      </c>
      <c r="H80" s="432">
        <f t="shared" si="47"/>
        <v>138</v>
      </c>
      <c r="I80" s="431">
        <f t="shared" si="33"/>
        <v>195499.99999999997</v>
      </c>
      <c r="J80" s="421">
        <f>J79</f>
        <v>18.816036750000002</v>
      </c>
      <c r="K80" s="431">
        <f t="shared" si="44"/>
        <v>1313070</v>
      </c>
      <c r="L80" s="432">
        <f t="shared" si="45"/>
        <v>179034.58967625003</v>
      </c>
      <c r="M80" s="419">
        <f t="shared" si="36"/>
        <v>1687604.58967625</v>
      </c>
      <c r="N80" s="431"/>
      <c r="O80" s="431"/>
      <c r="P80" s="567"/>
    </row>
    <row r="81" spans="1:16">
      <c r="A81" s="430">
        <f t="shared" si="49"/>
        <v>2030</v>
      </c>
      <c r="B81" s="420">
        <f t="shared" si="37"/>
        <v>47543</v>
      </c>
      <c r="C81" s="420">
        <f>B81+30</f>
        <v>47573</v>
      </c>
      <c r="D81">
        <v>1</v>
      </c>
      <c r="E81" s="431">
        <f t="shared" si="30"/>
        <v>9515</v>
      </c>
      <c r="F81" s="431">
        <f t="shared" si="31"/>
        <v>883.96506874767749</v>
      </c>
      <c r="H81" s="432">
        <f t="shared" si="47"/>
        <v>138</v>
      </c>
      <c r="I81" s="431">
        <f t="shared" si="33"/>
        <v>195499.99999999997</v>
      </c>
      <c r="J81" s="421">
        <f t="shared" si="42"/>
        <v>18.816036750000002</v>
      </c>
      <c r="K81" s="431">
        <f t="shared" si="44"/>
        <v>1313070</v>
      </c>
      <c r="L81" s="432">
        <f t="shared" si="45"/>
        <v>179034.58967625003</v>
      </c>
      <c r="M81" s="419">
        <f t="shared" si="36"/>
        <v>1687604.58967625</v>
      </c>
      <c r="N81" s="431"/>
      <c r="O81" s="431"/>
      <c r="P81" s="567"/>
    </row>
    <row r="82" spans="1:16">
      <c r="A82" s="430">
        <f t="shared" si="49"/>
        <v>2030</v>
      </c>
      <c r="B82" s="420">
        <f t="shared" si="37"/>
        <v>47574</v>
      </c>
      <c r="C82" s="420">
        <f>B82+30-1</f>
        <v>47603</v>
      </c>
      <c r="D82">
        <v>1</v>
      </c>
      <c r="E82" s="431">
        <f t="shared" si="30"/>
        <v>9515</v>
      </c>
      <c r="F82" s="431">
        <f t="shared" si="31"/>
        <v>883.96506874767749</v>
      </c>
      <c r="H82" s="432">
        <f t="shared" si="47"/>
        <v>138</v>
      </c>
      <c r="I82" s="431">
        <f t="shared" si="33"/>
        <v>195499.99999999997</v>
      </c>
      <c r="J82" s="421">
        <f t="shared" si="42"/>
        <v>18.816036750000002</v>
      </c>
      <c r="K82" s="431">
        <f t="shared" si="44"/>
        <v>1313070</v>
      </c>
      <c r="L82" s="432">
        <f t="shared" si="45"/>
        <v>179034.58967625003</v>
      </c>
      <c r="M82" s="419">
        <f t="shared" si="36"/>
        <v>1687604.58967625</v>
      </c>
      <c r="N82" s="431"/>
      <c r="O82" s="431"/>
      <c r="P82" s="567"/>
    </row>
    <row r="83" spans="1:16">
      <c r="A83" s="430">
        <f t="shared" si="49"/>
        <v>2030</v>
      </c>
      <c r="B83" s="420">
        <f t="shared" si="37"/>
        <v>47604</v>
      </c>
      <c r="C83" s="420">
        <f>B83+30</f>
        <v>47634</v>
      </c>
      <c r="D83">
        <v>1</v>
      </c>
      <c r="E83" s="431">
        <f t="shared" si="30"/>
        <v>9515</v>
      </c>
      <c r="F83" s="431">
        <f t="shared" si="31"/>
        <v>883.96506874767749</v>
      </c>
      <c r="H83" s="432">
        <f t="shared" si="47"/>
        <v>138</v>
      </c>
      <c r="I83" s="431">
        <f t="shared" si="33"/>
        <v>195499.99999999997</v>
      </c>
      <c r="J83" s="421">
        <f t="shared" si="42"/>
        <v>18.816036750000002</v>
      </c>
      <c r="K83" s="431">
        <f t="shared" si="44"/>
        <v>1313070</v>
      </c>
      <c r="L83" s="432">
        <f t="shared" si="45"/>
        <v>179034.58967625003</v>
      </c>
      <c r="M83" s="419">
        <f t="shared" si="36"/>
        <v>1687604.58967625</v>
      </c>
      <c r="N83" s="431"/>
      <c r="O83" s="431"/>
      <c r="P83" s="567"/>
    </row>
    <row r="84" spans="1:16">
      <c r="A84" s="430">
        <f t="shared" si="49"/>
        <v>2030</v>
      </c>
      <c r="B84" s="420">
        <f t="shared" si="37"/>
        <v>47635</v>
      </c>
      <c r="C84" s="420">
        <f>B84+30-1</f>
        <v>47664</v>
      </c>
      <c r="D84">
        <v>1</v>
      </c>
      <c r="E84" s="431">
        <f t="shared" si="30"/>
        <v>9515</v>
      </c>
      <c r="F84" s="431">
        <f t="shared" si="31"/>
        <v>883.96506874767749</v>
      </c>
      <c r="H84" s="432">
        <f t="shared" si="47"/>
        <v>138</v>
      </c>
      <c r="I84" s="431">
        <f t="shared" si="33"/>
        <v>195499.99999999997</v>
      </c>
      <c r="J84" s="421">
        <f t="shared" si="42"/>
        <v>18.816036750000002</v>
      </c>
      <c r="K84" s="431">
        <f t="shared" si="44"/>
        <v>1313070</v>
      </c>
      <c r="L84" s="432">
        <f t="shared" si="45"/>
        <v>179034.58967625003</v>
      </c>
      <c r="M84" s="419">
        <f t="shared" si="36"/>
        <v>1687604.58967625</v>
      </c>
      <c r="N84" s="431"/>
      <c r="O84" s="431"/>
      <c r="P84" s="567"/>
    </row>
    <row r="85" spans="1:16">
      <c r="A85" s="430">
        <f t="shared" si="49"/>
        <v>2030</v>
      </c>
      <c r="B85" s="420">
        <f t="shared" ref="B85:B96" si="50">C84+1</f>
        <v>47665</v>
      </c>
      <c r="C85" s="420">
        <f t="shared" ref="C85:C90" si="51">B85+30</f>
        <v>47695</v>
      </c>
      <c r="D85">
        <v>1</v>
      </c>
      <c r="E85" s="431">
        <f t="shared" si="30"/>
        <v>9515</v>
      </c>
      <c r="F85" s="431">
        <f t="shared" si="31"/>
        <v>883.96506874767749</v>
      </c>
      <c r="H85" s="432">
        <f t="shared" si="47"/>
        <v>138</v>
      </c>
      <c r="I85" s="431">
        <f t="shared" si="33"/>
        <v>195499.99999999997</v>
      </c>
      <c r="J85" s="421">
        <f t="shared" ref="J85" si="52">J84</f>
        <v>18.816036750000002</v>
      </c>
      <c r="K85" s="431">
        <f t="shared" si="44"/>
        <v>1313070</v>
      </c>
      <c r="L85" s="432">
        <f t="shared" si="45"/>
        <v>179034.58967625003</v>
      </c>
      <c r="M85" s="419">
        <f t="shared" ref="M85:M96" si="53">I85+K85+L85</f>
        <v>1687604.58967625</v>
      </c>
      <c r="N85" s="431"/>
      <c r="O85" s="431"/>
      <c r="P85" s="567"/>
    </row>
    <row r="86" spans="1:16" ht="13" thickBot="1">
      <c r="A86" s="433">
        <f t="shared" si="49"/>
        <v>2030</v>
      </c>
      <c r="B86" s="434">
        <f t="shared" si="50"/>
        <v>47696</v>
      </c>
      <c r="C86" s="434">
        <f t="shared" si="51"/>
        <v>47726</v>
      </c>
      <c r="D86" s="435">
        <v>1</v>
      </c>
      <c r="E86" s="436">
        <f t="shared" si="30"/>
        <v>9515</v>
      </c>
      <c r="F86" s="436">
        <f t="shared" si="31"/>
        <v>883.96506874767749</v>
      </c>
      <c r="G86" s="435"/>
      <c r="H86" s="437">
        <f t="shared" si="47"/>
        <v>138</v>
      </c>
      <c r="I86" s="431">
        <f t="shared" si="33"/>
        <v>195499.99999999997</v>
      </c>
      <c r="J86" s="438">
        <f t="shared" ref="J86" si="54">J85</f>
        <v>18.816036750000002</v>
      </c>
      <c r="K86" s="436">
        <f t="shared" si="44"/>
        <v>1313070</v>
      </c>
      <c r="L86" s="437">
        <f t="shared" si="45"/>
        <v>179034.58967625003</v>
      </c>
      <c r="M86" s="439">
        <f t="shared" si="53"/>
        <v>1687604.58967625</v>
      </c>
      <c r="N86" s="436"/>
      <c r="O86" s="436"/>
      <c r="P86" s="568"/>
    </row>
    <row r="87" spans="1:16">
      <c r="A87" s="423">
        <f>A86+1</f>
        <v>2031</v>
      </c>
      <c r="B87" s="424">
        <f t="shared" si="50"/>
        <v>47727</v>
      </c>
      <c r="C87" s="424">
        <f>B87+30-1</f>
        <v>47756</v>
      </c>
      <c r="D87" s="425">
        <v>1</v>
      </c>
      <c r="E87" s="426">
        <f t="shared" si="30"/>
        <v>9515</v>
      </c>
      <c r="F87" s="431">
        <f t="shared" si="31"/>
        <v>883.96506874767749</v>
      </c>
      <c r="H87" s="432">
        <f t="shared" si="47"/>
        <v>138</v>
      </c>
      <c r="I87" s="426">
        <f t="shared" si="33"/>
        <v>195499.99999999997</v>
      </c>
      <c r="J87" s="421">
        <f t="shared" ref="J87" si="55">J86</f>
        <v>18.816036750000002</v>
      </c>
      <c r="K87" s="431">
        <f t="shared" si="44"/>
        <v>1313070</v>
      </c>
      <c r="L87" s="432">
        <f t="shared" si="45"/>
        <v>179034.58967625003</v>
      </c>
      <c r="M87" s="419">
        <f t="shared" si="53"/>
        <v>1687604.58967625</v>
      </c>
      <c r="N87" s="431">
        <f>SUM(K75:K86)</f>
        <v>15756840</v>
      </c>
      <c r="O87" s="431">
        <f>SUM(L75:L86)</f>
        <v>2114313.2495100005</v>
      </c>
      <c r="P87" s="566">
        <f>SUM(I75:I86)</f>
        <v>2345999.9999999995</v>
      </c>
    </row>
    <row r="88" spans="1:16">
      <c r="A88" s="430">
        <f>A87</f>
        <v>2031</v>
      </c>
      <c r="B88" s="420">
        <f t="shared" si="50"/>
        <v>47757</v>
      </c>
      <c r="C88" s="420">
        <f t="shared" si="51"/>
        <v>47787</v>
      </c>
      <c r="D88">
        <v>1</v>
      </c>
      <c r="E88" s="431">
        <f t="shared" si="30"/>
        <v>9515</v>
      </c>
      <c r="F88" s="431">
        <f t="shared" si="31"/>
        <v>883.96506874767749</v>
      </c>
      <c r="H88" s="432">
        <f t="shared" si="47"/>
        <v>138</v>
      </c>
      <c r="I88" s="431">
        <f t="shared" si="33"/>
        <v>195499.99999999997</v>
      </c>
      <c r="J88" s="421">
        <f t="shared" ref="J88" si="56">J87</f>
        <v>18.816036750000002</v>
      </c>
      <c r="K88" s="431">
        <f t="shared" si="44"/>
        <v>1313070</v>
      </c>
      <c r="L88" s="432">
        <f t="shared" si="45"/>
        <v>179034.58967625003</v>
      </c>
      <c r="M88" s="419">
        <f t="shared" si="53"/>
        <v>1687604.58967625</v>
      </c>
      <c r="N88" s="431"/>
      <c r="O88" s="431"/>
      <c r="P88" s="567"/>
    </row>
    <row r="89" spans="1:16">
      <c r="A89" s="430">
        <f>A88</f>
        <v>2031</v>
      </c>
      <c r="B89" s="420">
        <f t="shared" si="50"/>
        <v>47788</v>
      </c>
      <c r="C89" s="420">
        <f>B89+30-1</f>
        <v>47817</v>
      </c>
      <c r="D89">
        <v>1</v>
      </c>
      <c r="E89" s="431">
        <f t="shared" si="30"/>
        <v>9515</v>
      </c>
      <c r="F89" s="431">
        <f t="shared" si="31"/>
        <v>883.96506874767749</v>
      </c>
      <c r="H89" s="432">
        <f t="shared" si="47"/>
        <v>138</v>
      </c>
      <c r="I89" s="431">
        <f t="shared" si="33"/>
        <v>195499.99999999997</v>
      </c>
      <c r="J89" s="421">
        <f t="shared" ref="J89" si="57">J88</f>
        <v>18.816036750000002</v>
      </c>
      <c r="K89" s="431">
        <f t="shared" si="44"/>
        <v>1313070</v>
      </c>
      <c r="L89" s="432">
        <f t="shared" si="45"/>
        <v>179034.58967625003</v>
      </c>
      <c r="M89" s="419">
        <f t="shared" si="53"/>
        <v>1687604.58967625</v>
      </c>
      <c r="N89" s="431"/>
      <c r="O89" s="431"/>
      <c r="P89" s="567"/>
    </row>
    <row r="90" spans="1:16">
      <c r="A90" s="430">
        <f t="shared" ref="A90:A98" si="58">A89</f>
        <v>2031</v>
      </c>
      <c r="B90" s="420">
        <f t="shared" si="50"/>
        <v>47818</v>
      </c>
      <c r="C90" s="420">
        <f t="shared" si="51"/>
        <v>47848</v>
      </c>
      <c r="D90">
        <v>1</v>
      </c>
      <c r="E90" s="431">
        <f t="shared" si="30"/>
        <v>9515</v>
      </c>
      <c r="F90" s="431">
        <f t="shared" si="31"/>
        <v>883.96506874767749</v>
      </c>
      <c r="H90" s="432">
        <f t="shared" si="47"/>
        <v>138</v>
      </c>
      <c r="I90" s="431">
        <f t="shared" si="33"/>
        <v>195499.99999999997</v>
      </c>
      <c r="J90" s="421">
        <f t="shared" ref="J90" si="59">J89</f>
        <v>18.816036750000002</v>
      </c>
      <c r="K90" s="431">
        <f t="shared" si="44"/>
        <v>1313070</v>
      </c>
      <c r="L90" s="432">
        <f t="shared" si="45"/>
        <v>179034.58967625003</v>
      </c>
      <c r="M90" s="419">
        <f t="shared" si="53"/>
        <v>1687604.58967625</v>
      </c>
      <c r="N90" s="431"/>
      <c r="O90" s="431"/>
      <c r="P90" s="567"/>
    </row>
    <row r="91" spans="1:16">
      <c r="A91" s="430">
        <f t="shared" si="58"/>
        <v>2031</v>
      </c>
      <c r="B91" s="420">
        <f t="shared" si="50"/>
        <v>47849</v>
      </c>
      <c r="C91" s="420">
        <f>B91+30</f>
        <v>47879</v>
      </c>
      <c r="D91">
        <v>1</v>
      </c>
      <c r="E91" s="431">
        <f t="shared" si="30"/>
        <v>9515</v>
      </c>
      <c r="F91" s="431">
        <f t="shared" si="31"/>
        <v>883.96506874767749</v>
      </c>
      <c r="H91" s="432">
        <f t="shared" si="47"/>
        <v>138</v>
      </c>
      <c r="I91" s="431">
        <f t="shared" si="33"/>
        <v>195499.99999999997</v>
      </c>
      <c r="J91" s="421">
        <f>J90*1.05</f>
        <v>19.756838587500003</v>
      </c>
      <c r="K91" s="431">
        <f t="shared" si="44"/>
        <v>1313070</v>
      </c>
      <c r="L91" s="432">
        <f t="shared" si="45"/>
        <v>187986.31916006253</v>
      </c>
      <c r="M91" s="419">
        <f t="shared" si="53"/>
        <v>1696556.3191600626</v>
      </c>
      <c r="N91" s="431"/>
      <c r="O91" s="431"/>
      <c r="P91" s="567"/>
    </row>
    <row r="92" spans="1:16">
      <c r="A92" s="430">
        <f t="shared" si="58"/>
        <v>2031</v>
      </c>
      <c r="B92" s="420">
        <f t="shared" si="50"/>
        <v>47880</v>
      </c>
      <c r="C92" s="420">
        <f>B92+30-3</f>
        <v>47907</v>
      </c>
      <c r="D92">
        <v>1</v>
      </c>
      <c r="E92" s="431">
        <f t="shared" si="30"/>
        <v>9515</v>
      </c>
      <c r="F92" s="431">
        <f t="shared" si="31"/>
        <v>883.96506874767749</v>
      </c>
      <c r="H92" s="432">
        <f t="shared" si="47"/>
        <v>138</v>
      </c>
      <c r="I92" s="431">
        <f t="shared" si="33"/>
        <v>195499.99999999997</v>
      </c>
      <c r="J92" s="421">
        <f>J91</f>
        <v>19.756838587500003</v>
      </c>
      <c r="K92" s="431">
        <f t="shared" si="44"/>
        <v>1313070</v>
      </c>
      <c r="L92" s="432">
        <f t="shared" si="45"/>
        <v>187986.31916006253</v>
      </c>
      <c r="M92" s="419">
        <f t="shared" si="53"/>
        <v>1696556.3191600626</v>
      </c>
      <c r="N92" s="431"/>
      <c r="O92" s="431"/>
      <c r="P92" s="567"/>
    </row>
    <row r="93" spans="1:16">
      <c r="A93" s="430">
        <f t="shared" si="58"/>
        <v>2031</v>
      </c>
      <c r="B93" s="420">
        <f t="shared" si="50"/>
        <v>47908</v>
      </c>
      <c r="C93" s="420">
        <f>B93+30</f>
        <v>47938</v>
      </c>
      <c r="D93">
        <v>1</v>
      </c>
      <c r="E93" s="431">
        <f t="shared" si="30"/>
        <v>9515</v>
      </c>
      <c r="F93" s="431">
        <f t="shared" si="31"/>
        <v>883.96506874767749</v>
      </c>
      <c r="H93" s="432">
        <f t="shared" si="47"/>
        <v>138</v>
      </c>
      <c r="I93" s="431">
        <f t="shared" si="33"/>
        <v>195499.99999999997</v>
      </c>
      <c r="J93" s="421">
        <f t="shared" ref="J93" si="60">J92</f>
        <v>19.756838587500003</v>
      </c>
      <c r="K93" s="431">
        <f t="shared" si="44"/>
        <v>1313070</v>
      </c>
      <c r="L93" s="432">
        <f t="shared" si="45"/>
        <v>187986.31916006253</v>
      </c>
      <c r="M93" s="419">
        <f t="shared" si="53"/>
        <v>1696556.3191600626</v>
      </c>
      <c r="N93" s="431"/>
      <c r="O93" s="431"/>
      <c r="P93" s="567"/>
    </row>
    <row r="94" spans="1:16">
      <c r="A94" s="430">
        <f t="shared" si="58"/>
        <v>2031</v>
      </c>
      <c r="B94" s="420">
        <f t="shared" si="50"/>
        <v>47939</v>
      </c>
      <c r="C94" s="420">
        <f>B94+30-1</f>
        <v>47968</v>
      </c>
      <c r="D94">
        <v>1</v>
      </c>
      <c r="E94" s="431">
        <f t="shared" si="30"/>
        <v>9515</v>
      </c>
      <c r="F94" s="431">
        <f t="shared" si="31"/>
        <v>883.96506874767749</v>
      </c>
      <c r="H94" s="432">
        <f t="shared" si="47"/>
        <v>138</v>
      </c>
      <c r="I94" s="431">
        <f t="shared" si="33"/>
        <v>195499.99999999997</v>
      </c>
      <c r="J94" s="421">
        <f t="shared" ref="J94" si="61">J93</f>
        <v>19.756838587500003</v>
      </c>
      <c r="K94" s="431">
        <f t="shared" si="44"/>
        <v>1313070</v>
      </c>
      <c r="L94" s="432">
        <f t="shared" si="45"/>
        <v>187986.31916006253</v>
      </c>
      <c r="M94" s="419">
        <f t="shared" si="53"/>
        <v>1696556.3191600626</v>
      </c>
      <c r="N94" s="431"/>
      <c r="O94" s="431"/>
      <c r="P94" s="567"/>
    </row>
    <row r="95" spans="1:16">
      <c r="A95" s="430">
        <f t="shared" si="58"/>
        <v>2031</v>
      </c>
      <c r="B95" s="420">
        <f t="shared" si="50"/>
        <v>47969</v>
      </c>
      <c r="C95" s="420">
        <f>B95+30</f>
        <v>47999</v>
      </c>
      <c r="D95">
        <v>1</v>
      </c>
      <c r="E95" s="431">
        <f t="shared" si="30"/>
        <v>9515</v>
      </c>
      <c r="F95" s="431">
        <f t="shared" si="31"/>
        <v>883.96506874767749</v>
      </c>
      <c r="H95" s="432">
        <f t="shared" si="47"/>
        <v>138</v>
      </c>
      <c r="I95" s="431">
        <f t="shared" si="33"/>
        <v>195499.99999999997</v>
      </c>
      <c r="J95" s="421">
        <f t="shared" ref="J95" si="62">J94</f>
        <v>19.756838587500003</v>
      </c>
      <c r="K95" s="431">
        <f t="shared" ref="K95:K102" si="63">H95*E95</f>
        <v>1313070</v>
      </c>
      <c r="L95" s="432">
        <f t="shared" ref="L95:L102" si="64">J95*E95</f>
        <v>187986.31916006253</v>
      </c>
      <c r="M95" s="419">
        <f t="shared" si="53"/>
        <v>1696556.3191600626</v>
      </c>
      <c r="N95" s="431"/>
      <c r="O95" s="431"/>
      <c r="P95" s="567"/>
    </row>
    <row r="96" spans="1:16">
      <c r="A96" s="430">
        <f t="shared" si="58"/>
        <v>2031</v>
      </c>
      <c r="B96" s="420">
        <f t="shared" si="50"/>
        <v>48000</v>
      </c>
      <c r="C96" s="420">
        <f>B96+30-1</f>
        <v>48029</v>
      </c>
      <c r="D96">
        <v>1</v>
      </c>
      <c r="E96" s="431">
        <f t="shared" si="30"/>
        <v>9515</v>
      </c>
      <c r="F96" s="431">
        <f t="shared" si="31"/>
        <v>883.96506874767749</v>
      </c>
      <c r="H96" s="432">
        <f t="shared" si="47"/>
        <v>138</v>
      </c>
      <c r="I96" s="431">
        <f t="shared" si="33"/>
        <v>195499.99999999997</v>
      </c>
      <c r="J96" s="421">
        <f t="shared" ref="J96" si="65">J95</f>
        <v>19.756838587500003</v>
      </c>
      <c r="K96" s="431">
        <f t="shared" si="63"/>
        <v>1313070</v>
      </c>
      <c r="L96" s="432">
        <f t="shared" si="64"/>
        <v>187986.31916006253</v>
      </c>
      <c r="M96" s="419">
        <f t="shared" si="53"/>
        <v>1696556.3191600626</v>
      </c>
      <c r="N96" s="431"/>
      <c r="O96" s="431"/>
      <c r="P96" s="567"/>
    </row>
    <row r="97" spans="1:18">
      <c r="A97" s="430">
        <f t="shared" si="58"/>
        <v>2031</v>
      </c>
      <c r="B97" s="420">
        <f t="shared" ref="B97:B102" si="66">C96+1</f>
        <v>48030</v>
      </c>
      <c r="C97" s="420">
        <f t="shared" ref="C97:C102" si="67">B97+30</f>
        <v>48060</v>
      </c>
      <c r="D97">
        <v>1</v>
      </c>
      <c r="E97" s="431">
        <f t="shared" ref="E97:F102" si="68">E96</f>
        <v>9515</v>
      </c>
      <c r="F97" s="431">
        <f t="shared" si="68"/>
        <v>883.96506874767749</v>
      </c>
      <c r="H97" s="432">
        <f t="shared" si="47"/>
        <v>138</v>
      </c>
      <c r="I97" s="431">
        <f t="shared" si="33"/>
        <v>195499.99999999997</v>
      </c>
      <c r="J97" s="421">
        <f t="shared" ref="J97" si="69">J96</f>
        <v>19.756838587500003</v>
      </c>
      <c r="K97" s="431">
        <f t="shared" si="63"/>
        <v>1313070</v>
      </c>
      <c r="L97" s="432">
        <f t="shared" si="64"/>
        <v>187986.31916006253</v>
      </c>
      <c r="M97" s="419">
        <f t="shared" ref="M97:M102" si="70">I97+K97+L97</f>
        <v>1696556.3191600626</v>
      </c>
      <c r="N97" s="431"/>
      <c r="O97" s="431"/>
      <c r="P97" s="567"/>
    </row>
    <row r="98" spans="1:18" ht="13" thickBot="1">
      <c r="A98" s="433">
        <f t="shared" si="58"/>
        <v>2031</v>
      </c>
      <c r="B98" s="434">
        <f t="shared" si="66"/>
        <v>48061</v>
      </c>
      <c r="C98" s="434">
        <f t="shared" si="67"/>
        <v>48091</v>
      </c>
      <c r="D98" s="435">
        <v>1</v>
      </c>
      <c r="E98" s="436">
        <f t="shared" si="68"/>
        <v>9515</v>
      </c>
      <c r="F98" s="436">
        <f t="shared" si="68"/>
        <v>883.96506874767749</v>
      </c>
      <c r="G98" s="435"/>
      <c r="H98" s="437">
        <f t="shared" si="47"/>
        <v>138</v>
      </c>
      <c r="I98" s="431">
        <f t="shared" si="47"/>
        <v>195499.99999999997</v>
      </c>
      <c r="J98" s="438">
        <f t="shared" ref="J98" si="71">J97</f>
        <v>19.756838587500003</v>
      </c>
      <c r="K98" s="436">
        <f t="shared" si="63"/>
        <v>1313070</v>
      </c>
      <c r="L98" s="437">
        <f t="shared" si="64"/>
        <v>187986.31916006253</v>
      </c>
      <c r="M98" s="439">
        <f t="shared" si="70"/>
        <v>1696556.3191600626</v>
      </c>
      <c r="N98" s="436"/>
      <c r="O98" s="436"/>
      <c r="P98" s="567"/>
    </row>
    <row r="99" spans="1:18">
      <c r="A99" s="430">
        <f>A98+1</f>
        <v>2032</v>
      </c>
      <c r="B99" s="420">
        <f t="shared" si="66"/>
        <v>48092</v>
      </c>
      <c r="C99" s="420">
        <f>B99+30-1</f>
        <v>48121</v>
      </c>
      <c r="D99">
        <v>1</v>
      </c>
      <c r="E99" s="431">
        <f t="shared" si="68"/>
        <v>9515</v>
      </c>
      <c r="F99" s="431">
        <f t="shared" si="68"/>
        <v>883.96506874767749</v>
      </c>
      <c r="H99" s="432">
        <f t="shared" si="47"/>
        <v>138</v>
      </c>
      <c r="I99" s="426">
        <f t="shared" si="47"/>
        <v>195499.99999999997</v>
      </c>
      <c r="J99" s="421">
        <f t="shared" ref="J99" si="72">J98</f>
        <v>19.756838587500003</v>
      </c>
      <c r="K99" s="431">
        <f t="shared" si="63"/>
        <v>1313070</v>
      </c>
      <c r="L99" s="432">
        <f t="shared" si="64"/>
        <v>187986.31916006253</v>
      </c>
      <c r="M99" s="419">
        <f t="shared" si="70"/>
        <v>1696556.3191600626</v>
      </c>
      <c r="N99" s="431">
        <f>SUM(K87:K98)</f>
        <v>15756840</v>
      </c>
      <c r="O99" s="431">
        <f>SUM(L87:L98)</f>
        <v>2220028.9119855007</v>
      </c>
      <c r="P99" s="569">
        <f>SUM(I87:I98)</f>
        <v>2345999.9999999995</v>
      </c>
    </row>
    <row r="100" spans="1:18">
      <c r="A100" s="430">
        <f>A99</f>
        <v>2032</v>
      </c>
      <c r="B100" s="420">
        <f t="shared" si="66"/>
        <v>48122</v>
      </c>
      <c r="C100" s="420">
        <f t="shared" si="67"/>
        <v>48152</v>
      </c>
      <c r="D100">
        <v>1</v>
      </c>
      <c r="E100" s="431">
        <f t="shared" si="68"/>
        <v>9515</v>
      </c>
      <c r="F100" s="431">
        <f t="shared" si="68"/>
        <v>883.96506874767749</v>
      </c>
      <c r="H100" s="432">
        <f t="shared" si="47"/>
        <v>138</v>
      </c>
      <c r="I100" s="431">
        <f t="shared" si="47"/>
        <v>195499.99999999997</v>
      </c>
      <c r="J100" s="421">
        <f t="shared" ref="J100" si="73">J99</f>
        <v>19.756838587500003</v>
      </c>
      <c r="K100" s="431">
        <f t="shared" si="63"/>
        <v>1313070</v>
      </c>
      <c r="L100" s="432">
        <f t="shared" si="64"/>
        <v>187986.31916006253</v>
      </c>
      <c r="M100" s="419">
        <f t="shared" si="70"/>
        <v>1696556.3191600626</v>
      </c>
      <c r="N100" s="431"/>
      <c r="O100" s="431"/>
      <c r="P100" s="567"/>
    </row>
    <row r="101" spans="1:18">
      <c r="A101" s="430">
        <f t="shared" ref="A101:A102" si="74">A100</f>
        <v>2032</v>
      </c>
      <c r="B101" s="420">
        <f t="shared" si="66"/>
        <v>48153</v>
      </c>
      <c r="C101" s="420">
        <f>B101+30-1</f>
        <v>48182</v>
      </c>
      <c r="D101">
        <v>1</v>
      </c>
      <c r="E101" s="431">
        <f t="shared" si="68"/>
        <v>9515</v>
      </c>
      <c r="F101" s="431">
        <f t="shared" si="68"/>
        <v>883.96506874767749</v>
      </c>
      <c r="H101" s="432">
        <f t="shared" si="47"/>
        <v>138</v>
      </c>
      <c r="I101" s="431">
        <f t="shared" si="47"/>
        <v>195499.99999999997</v>
      </c>
      <c r="J101" s="421">
        <f t="shared" ref="J101" si="75">J100</f>
        <v>19.756838587500003</v>
      </c>
      <c r="K101" s="431">
        <f t="shared" si="63"/>
        <v>1313070</v>
      </c>
      <c r="L101" s="432">
        <f t="shared" si="64"/>
        <v>187986.31916006253</v>
      </c>
      <c r="M101" s="419">
        <f t="shared" si="70"/>
        <v>1696556.3191600626</v>
      </c>
      <c r="N101" s="431"/>
      <c r="O101" s="431"/>
      <c r="P101" s="567"/>
    </row>
    <row r="102" spans="1:18" ht="13" thickBot="1">
      <c r="A102" s="433">
        <f t="shared" si="74"/>
        <v>2032</v>
      </c>
      <c r="B102" s="434">
        <f t="shared" si="66"/>
        <v>48183</v>
      </c>
      <c r="C102" s="434">
        <f t="shared" si="67"/>
        <v>48213</v>
      </c>
      <c r="D102" s="435">
        <v>1</v>
      </c>
      <c r="E102" s="436">
        <f t="shared" si="68"/>
        <v>9515</v>
      </c>
      <c r="F102" s="436">
        <f t="shared" si="68"/>
        <v>883.96506874767749</v>
      </c>
      <c r="G102" s="435"/>
      <c r="H102" s="437">
        <f t="shared" si="47"/>
        <v>138</v>
      </c>
      <c r="I102" s="436">
        <f t="shared" si="47"/>
        <v>195499.99999999997</v>
      </c>
      <c r="J102" s="438">
        <f t="shared" ref="J102" si="76">J101</f>
        <v>19.756838587500003</v>
      </c>
      <c r="K102" s="436">
        <f t="shared" si="63"/>
        <v>1313070</v>
      </c>
      <c r="L102" s="437">
        <f t="shared" si="64"/>
        <v>187986.31916006253</v>
      </c>
      <c r="M102" s="439">
        <f t="shared" si="70"/>
        <v>1696556.3191600626</v>
      </c>
      <c r="N102" s="436"/>
      <c r="O102" s="436"/>
      <c r="P102" s="567"/>
    </row>
    <row r="103" spans="1:18">
      <c r="I103" s="431"/>
      <c r="N103" s="431">
        <f>SUM(K99:K102)</f>
        <v>5252280</v>
      </c>
      <c r="O103" s="431">
        <f>SUM(L99:L102)</f>
        <v>751945.27664025011</v>
      </c>
      <c r="P103" s="570">
        <f>SUM(I99:I102)</f>
        <v>781999.99999999988</v>
      </c>
      <c r="Q103" s="422"/>
      <c r="R103" s="422"/>
    </row>
    <row r="104" spans="1:18">
      <c r="I104" s="418">
        <f>SUM(I31:I102)</f>
        <v>13158000</v>
      </c>
      <c r="K104" s="422">
        <f>SUM(K31:K102)</f>
        <v>88375320</v>
      </c>
      <c r="L104" s="422">
        <f>SUM(L31:L102)</f>
        <v>12022424.428335754</v>
      </c>
      <c r="M104" s="422">
        <f>SUM(M31:M102)</f>
        <v>113555744.42833564</v>
      </c>
      <c r="N104" s="422">
        <f>SUM(N31:N103)</f>
        <v>88375320</v>
      </c>
      <c r="O104" s="422">
        <f>SUM(O31:O103)</f>
        <v>12022424.428335754</v>
      </c>
      <c r="P104" s="446">
        <f>SUM(P31:P103)</f>
        <v>13158000</v>
      </c>
    </row>
    <row r="105" spans="1:18">
      <c r="K105" s="457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17"/>
  <sheetViews>
    <sheetView workbookViewId="0">
      <pane ySplit="2" topLeftCell="A3" activePane="bottomLeft" state="frozen"/>
      <selection activeCell="F34" sqref="F34"/>
      <selection pane="bottomLeft" activeCell="E89" sqref="E89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714" t="s">
        <v>252</v>
      </c>
      <c r="B1" s="715"/>
      <c r="C1" s="715"/>
      <c r="D1" s="715"/>
      <c r="E1" s="715"/>
      <c r="F1" s="715"/>
      <c r="G1" s="715"/>
      <c r="H1" s="715"/>
      <c r="I1" s="715"/>
      <c r="J1" s="715"/>
      <c r="K1" s="715"/>
      <c r="L1" s="715"/>
      <c r="M1" s="715"/>
      <c r="N1" s="715"/>
      <c r="O1" s="590"/>
    </row>
    <row r="2" spans="1:15">
      <c r="A2" s="167" t="s">
        <v>253</v>
      </c>
      <c r="B2" s="243" t="s">
        <v>254</v>
      </c>
      <c r="C2" s="251"/>
      <c r="D2" s="250" t="s">
        <v>232</v>
      </c>
      <c r="E2" s="168"/>
      <c r="F2" s="169" t="s">
        <v>316</v>
      </c>
      <c r="G2" s="169">
        <f t="shared" ref="G2:O2" si="0">F2+1</f>
        <v>2027</v>
      </c>
      <c r="H2" s="169">
        <f t="shared" si="0"/>
        <v>2028</v>
      </c>
      <c r="I2" s="169">
        <f t="shared" si="0"/>
        <v>2029</v>
      </c>
      <c r="J2" s="169">
        <f t="shared" si="0"/>
        <v>2030</v>
      </c>
      <c r="K2" s="170">
        <f t="shared" si="0"/>
        <v>2031</v>
      </c>
      <c r="L2" s="170">
        <f t="shared" si="0"/>
        <v>2032</v>
      </c>
      <c r="M2" s="168">
        <f t="shared" si="0"/>
        <v>2033</v>
      </c>
      <c r="N2" s="593">
        <f t="shared" si="0"/>
        <v>2034</v>
      </c>
      <c r="O2" s="589">
        <f t="shared" si="0"/>
        <v>2035</v>
      </c>
    </row>
    <row r="3" spans="1:15">
      <c r="A3" s="162" t="s">
        <v>255</v>
      </c>
      <c r="B3" s="244">
        <f>B6+B12+B18</f>
        <v>34000000</v>
      </c>
      <c r="C3" s="252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3">
        <v>0</v>
      </c>
      <c r="N3" s="493">
        <v>0</v>
      </c>
      <c r="O3" s="584">
        <v>0</v>
      </c>
    </row>
    <row r="4" spans="1:15">
      <c r="A4" s="162" t="s">
        <v>257</v>
      </c>
      <c r="B4" s="253">
        <f>+'Rent Calculation'!F29</f>
        <v>7.1099999999999997E-2</v>
      </c>
      <c r="C4" s="252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15"/>
      <c r="O4" s="591"/>
    </row>
    <row r="5" spans="1:15">
      <c r="A5" s="162"/>
      <c r="B5" s="245"/>
      <c r="C5" s="252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15"/>
      <c r="O5" s="592"/>
    </row>
    <row r="6" spans="1:15">
      <c r="A6" s="162" t="s">
        <v>255</v>
      </c>
      <c r="B6" s="349">
        <v>14000000</v>
      </c>
      <c r="C6" s="252"/>
      <c r="D6" s="161" t="s">
        <v>259</v>
      </c>
      <c r="E6" s="115"/>
      <c r="F6" s="147">
        <f t="shared" ref="F6:O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  <c r="O6" s="585">
        <f t="shared" si="1"/>
        <v>0</v>
      </c>
    </row>
    <row r="7" spans="1:15">
      <c r="A7" s="162" t="s">
        <v>260</v>
      </c>
      <c r="B7" s="287">
        <f>E3/12</f>
        <v>6</v>
      </c>
      <c r="C7" s="252"/>
      <c r="D7" s="161" t="s">
        <v>261</v>
      </c>
      <c r="E7" s="115"/>
      <c r="F7" s="147">
        <f>F6/12*F3</f>
        <v>1555555.5555555557</v>
      </c>
      <c r="G7" s="147">
        <f t="shared" ref="G7:O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  <c r="O7" s="585">
        <f t="shared" si="2"/>
        <v>0</v>
      </c>
    </row>
    <row r="8" spans="1:15">
      <c r="A8" s="162"/>
      <c r="B8" s="245"/>
      <c r="C8" s="252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15"/>
      <c r="O8" s="592"/>
    </row>
    <row r="9" spans="1:15">
      <c r="A9" s="162"/>
      <c r="B9" s="246"/>
      <c r="C9" s="252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3">
        <v>0</v>
      </c>
      <c r="N9" s="493">
        <v>0</v>
      </c>
      <c r="O9" s="584">
        <v>0</v>
      </c>
    </row>
    <row r="10" spans="1:15">
      <c r="A10" s="162"/>
      <c r="B10" s="119"/>
      <c r="C10" s="252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15"/>
      <c r="O10" s="592"/>
    </row>
    <row r="11" spans="1:15">
      <c r="A11" s="162"/>
      <c r="B11" s="245"/>
      <c r="C11" s="252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15"/>
      <c r="O11" s="591"/>
    </row>
    <row r="12" spans="1:15">
      <c r="A12" s="162" t="s">
        <v>255</v>
      </c>
      <c r="B12" s="246">
        <v>5000000</v>
      </c>
      <c r="C12" s="252"/>
      <c r="D12" s="161" t="s">
        <v>259</v>
      </c>
      <c r="E12" s="115"/>
      <c r="F12" s="147">
        <f t="shared" ref="F12:O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47">
        <f t="shared" si="3"/>
        <v>0</v>
      </c>
      <c r="O12" s="585">
        <f t="shared" si="3"/>
        <v>0</v>
      </c>
    </row>
    <row r="13" spans="1:15">
      <c r="A13" s="162" t="s">
        <v>260</v>
      </c>
      <c r="B13" s="287">
        <f>E9/12</f>
        <v>2.5</v>
      </c>
      <c r="C13" s="252"/>
      <c r="D13" s="161" t="s">
        <v>261</v>
      </c>
      <c r="E13" s="115"/>
      <c r="F13" s="147">
        <f>F12/12*F3</f>
        <v>1333333.3333333333</v>
      </c>
      <c r="G13" s="147">
        <f t="shared" ref="G13:O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47">
        <f t="shared" si="4"/>
        <v>0</v>
      </c>
      <c r="O13" s="585">
        <f t="shared" si="4"/>
        <v>0</v>
      </c>
    </row>
    <row r="14" spans="1:15">
      <c r="A14" s="162"/>
      <c r="B14" s="245"/>
      <c r="C14" s="252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20"/>
      <c r="O14" s="592"/>
    </row>
    <row r="15" spans="1:15">
      <c r="A15" s="162"/>
      <c r="B15" s="245"/>
      <c r="C15" s="252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17">
        <v>0</v>
      </c>
      <c r="O15" s="586">
        <v>0</v>
      </c>
    </row>
    <row r="16" spans="1:15">
      <c r="A16" s="162"/>
      <c r="B16" s="245"/>
      <c r="C16" s="252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15"/>
      <c r="O16" s="592"/>
    </row>
    <row r="17" spans="1:15">
      <c r="A17" s="162"/>
      <c r="B17" s="245"/>
      <c r="C17" s="252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15"/>
      <c r="O17" s="591"/>
    </row>
    <row r="18" spans="1:15">
      <c r="A18" s="162" t="s">
        <v>255</v>
      </c>
      <c r="B18" s="246">
        <v>15000000</v>
      </c>
      <c r="C18" s="252"/>
      <c r="D18" s="161" t="s">
        <v>259</v>
      </c>
      <c r="E18" s="285"/>
      <c r="F18" s="147">
        <f>IF(F15&lt;&gt;0,$B$18/$B$19,0)</f>
        <v>3750000</v>
      </c>
      <c r="G18" s="516">
        <f t="shared" ref="G18:O18" si="5">IF(G15&lt;&gt;0,$B$18/$B$19,0)</f>
        <v>3750000</v>
      </c>
      <c r="H18" s="516">
        <f t="shared" si="5"/>
        <v>3750000</v>
      </c>
      <c r="I18" s="516">
        <f t="shared" si="5"/>
        <v>3750000</v>
      </c>
      <c r="J18" s="516">
        <f t="shared" si="5"/>
        <v>3750000</v>
      </c>
      <c r="K18" s="516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  <c r="O18" s="585">
        <f t="shared" si="5"/>
        <v>0</v>
      </c>
    </row>
    <row r="19" spans="1:15">
      <c r="A19" s="162" t="s">
        <v>260</v>
      </c>
      <c r="B19" s="292">
        <f>E15/12</f>
        <v>4</v>
      </c>
      <c r="C19" s="252"/>
      <c r="D19" s="161" t="s">
        <v>261</v>
      </c>
      <c r="E19" s="115"/>
      <c r="F19" s="147">
        <f>F18/12*F15</f>
        <v>2500000</v>
      </c>
      <c r="G19" s="147">
        <f t="shared" ref="G19:O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  <c r="O19" s="585">
        <f t="shared" si="6"/>
        <v>0</v>
      </c>
    </row>
    <row r="20" spans="1:15">
      <c r="A20" s="162"/>
      <c r="B20" s="245"/>
      <c r="C20" s="252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20"/>
      <c r="O20" s="592"/>
    </row>
    <row r="21" spans="1:15">
      <c r="A21" s="162" t="s">
        <v>262</v>
      </c>
      <c r="B21" s="517">
        <f>+'Rent Calculation'!F21</f>
        <v>9515</v>
      </c>
      <c r="C21" s="518"/>
      <c r="D21" s="519" t="s">
        <v>263</v>
      </c>
      <c r="E21" s="520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O21" si="8">L22</f>
        <v>-2.6775524020195007E-9</v>
      </c>
      <c r="N21" s="120">
        <f t="shared" si="8"/>
        <v>-2.6775524020195007E-9</v>
      </c>
      <c r="O21" s="587">
        <f t="shared" si="8"/>
        <v>-2.6775524020195007E-9</v>
      </c>
    </row>
    <row r="22" spans="1:15">
      <c r="A22" s="162" t="s">
        <v>264</v>
      </c>
      <c r="B22" s="247">
        <f>+B21/10.764</f>
        <v>883.96506874767749</v>
      </c>
      <c r="C22" s="252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O22" si="10">L21-L27</f>
        <v>-2.6775524020195007E-9</v>
      </c>
      <c r="M22" s="147">
        <f t="shared" si="10"/>
        <v>-2.6775524020195007E-9</v>
      </c>
      <c r="N22" s="147">
        <f t="shared" si="10"/>
        <v>-2.6775524020195007E-9</v>
      </c>
      <c r="O22" s="585">
        <f t="shared" si="10"/>
        <v>-2.6775524020195007E-9</v>
      </c>
    </row>
    <row r="23" spans="1:15">
      <c r="A23" s="162" t="s">
        <v>266</v>
      </c>
      <c r="B23" s="413" t="str">
        <f>F2</f>
        <v>2026</v>
      </c>
      <c r="C23" s="252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O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20">
        <f t="shared" si="11"/>
        <v>-2.6775524020195007E-9</v>
      </c>
      <c r="O23" s="587">
        <f t="shared" si="11"/>
        <v>-2.6775524020195007E-9</v>
      </c>
    </row>
    <row r="24" spans="1:15">
      <c r="A24" s="162"/>
      <c r="B24" s="245"/>
      <c r="C24" s="252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20"/>
      <c r="O24" s="592"/>
    </row>
    <row r="25" spans="1:15">
      <c r="A25" s="162"/>
      <c r="B25" s="245"/>
      <c r="C25" s="252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20"/>
      <c r="O25" s="591"/>
    </row>
    <row r="26" spans="1:15">
      <c r="A26" s="162"/>
      <c r="B26" s="245"/>
      <c r="C26" s="252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 t="shared" ref="J26:O26" si="12">J23*$B$4</f>
        <v>348587.49999999983</v>
      </c>
      <c r="K26" s="147">
        <f t="shared" si="12"/>
        <v>138249.99999999983</v>
      </c>
      <c r="L26" s="120">
        <f t="shared" si="12"/>
        <v>27649.999999999811</v>
      </c>
      <c r="M26" s="120">
        <f t="shared" si="12"/>
        <v>-1.903739757835865E-10</v>
      </c>
      <c r="N26" s="120">
        <f t="shared" si="12"/>
        <v>-1.903739757835865E-10</v>
      </c>
      <c r="O26" s="587">
        <f t="shared" si="12"/>
        <v>-1.903739757835865E-10</v>
      </c>
    </row>
    <row r="27" spans="1:15">
      <c r="A27" s="162" t="s">
        <v>269</v>
      </c>
      <c r="B27" s="248">
        <f>E30*E9</f>
        <v>16508961.805555558</v>
      </c>
      <c r="C27" s="252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O27" si="13">G7+G13+G19</f>
        <v>8083333.333333334</v>
      </c>
      <c r="H27" s="147">
        <f t="shared" si="13"/>
        <v>7750000</v>
      </c>
      <c r="I27" s="147">
        <f t="shared" si="13"/>
        <v>6083333.333333334</v>
      </c>
      <c r="J27" s="147">
        <f t="shared" si="13"/>
        <v>3583333.3333333335</v>
      </c>
      <c r="K27" s="147">
        <f t="shared" si="13"/>
        <v>2333333.3333333335</v>
      </c>
      <c r="L27" s="147">
        <f t="shared" si="13"/>
        <v>777777.77777777787</v>
      </c>
      <c r="M27" s="147">
        <f t="shared" si="13"/>
        <v>0</v>
      </c>
      <c r="N27" s="147">
        <f t="shared" si="13"/>
        <v>0</v>
      </c>
      <c r="O27" s="585">
        <f t="shared" si="13"/>
        <v>0</v>
      </c>
    </row>
    <row r="28" spans="1:15">
      <c r="A28" s="162"/>
      <c r="B28" s="245"/>
      <c r="C28" s="252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20"/>
      <c r="O28" s="592"/>
    </row>
    <row r="29" spans="1:15">
      <c r="A29" s="162" t="s">
        <v>271</v>
      </c>
      <c r="B29" s="249">
        <f>+E30/B21</f>
        <v>57.834863568245076</v>
      </c>
      <c r="C29" s="252"/>
      <c r="D29" s="161"/>
      <c r="E29" s="115"/>
      <c r="F29" s="147">
        <f t="shared" ref="F29:M29" si="14">SUM(F26:F28)</f>
        <v>6872772.222222222</v>
      </c>
      <c r="G29" s="147">
        <f t="shared" si="14"/>
        <v>9830220.833333334</v>
      </c>
      <c r="H29" s="147">
        <f t="shared" si="14"/>
        <v>8934012.5</v>
      </c>
      <c r="I29" s="147">
        <f t="shared" si="14"/>
        <v>6775570.833333334</v>
      </c>
      <c r="J29" s="147">
        <f t="shared" si="14"/>
        <v>3931920.8333333335</v>
      </c>
      <c r="K29" s="147">
        <f t="shared" si="14"/>
        <v>2471583.3333333335</v>
      </c>
      <c r="L29" s="147">
        <f t="shared" si="14"/>
        <v>805427.77777777764</v>
      </c>
      <c r="M29" s="147">
        <f t="shared" si="14"/>
        <v>-1.903739757835865E-10</v>
      </c>
      <c r="N29" s="147">
        <f>SUM(N26:N28)</f>
        <v>-1.903739757835865E-10</v>
      </c>
      <c r="O29" s="585">
        <f>SUM(O26:O28)</f>
        <v>-1.903739757835865E-10</v>
      </c>
    </row>
    <row r="30" spans="1:15" s="528" customFormat="1" ht="13" thickBot="1">
      <c r="A30" s="521" t="s">
        <v>272</v>
      </c>
      <c r="B30" s="522">
        <f>+E30/B22</f>
        <v>622.53447144859001</v>
      </c>
      <c r="C30" s="523"/>
      <c r="D30" s="524" t="s">
        <v>273</v>
      </c>
      <c r="E30" s="525">
        <f>IFERROR(SUM(F26:N27)/E3,0)</f>
        <v>550298.72685185191</v>
      </c>
      <c r="F30" s="526"/>
      <c r="G30" s="526"/>
      <c r="H30" s="526"/>
      <c r="I30" s="526"/>
      <c r="J30" s="526"/>
      <c r="K30" s="527"/>
      <c r="L30" s="527"/>
      <c r="M30" s="527"/>
      <c r="N30" s="527"/>
      <c r="O30" s="588"/>
    </row>
    <row r="31" spans="1:15">
      <c r="F31" s="346"/>
      <c r="G31" s="346"/>
      <c r="H31" s="346"/>
      <c r="I31" s="346"/>
    </row>
    <row r="32" spans="1:15" outlineLevel="1"/>
    <row r="33" spans="1:15" outlineLevel="1">
      <c r="A33" s="254"/>
      <c r="B33" s="354"/>
    </row>
    <row r="34" spans="1:15" ht="13" outlineLevel="1" thickBot="1">
      <c r="F34" s="346"/>
      <c r="G34" s="346"/>
      <c r="H34" s="346"/>
      <c r="I34" s="346"/>
    </row>
    <row r="35" spans="1:15" ht="16" outlineLevel="1" thickBot="1">
      <c r="A35" s="714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6"/>
    </row>
    <row r="36" spans="1:15" outlineLevel="1">
      <c r="A36" s="294" t="s">
        <v>253</v>
      </c>
      <c r="B36" s="295" t="s">
        <v>40</v>
      </c>
      <c r="C36" s="251"/>
      <c r="D36" s="296" t="s">
        <v>232</v>
      </c>
      <c r="E36" s="297"/>
      <c r="F36" s="259" t="str">
        <f>F2</f>
        <v>2026</v>
      </c>
      <c r="G36" s="169">
        <f t="shared" ref="G36:O36" si="15">F36+1</f>
        <v>2027</v>
      </c>
      <c r="H36" s="169">
        <f t="shared" si="15"/>
        <v>2028</v>
      </c>
      <c r="I36" s="169">
        <f t="shared" si="15"/>
        <v>2029</v>
      </c>
      <c r="J36" s="169">
        <f t="shared" si="15"/>
        <v>2030</v>
      </c>
      <c r="K36" s="298">
        <f t="shared" si="15"/>
        <v>2031</v>
      </c>
      <c r="L36" s="298">
        <f t="shared" si="15"/>
        <v>2032</v>
      </c>
      <c r="M36" s="297">
        <f t="shared" si="15"/>
        <v>2033</v>
      </c>
      <c r="N36" s="297">
        <f t="shared" si="15"/>
        <v>2034</v>
      </c>
      <c r="O36" s="299">
        <f t="shared" si="15"/>
        <v>2035</v>
      </c>
    </row>
    <row r="37" spans="1:15" outlineLevel="1">
      <c r="A37" s="300" t="s">
        <v>255</v>
      </c>
      <c r="B37" s="244">
        <f>SUM(F38:O38)</f>
        <v>43000000</v>
      </c>
      <c r="C37" s="252"/>
      <c r="D37" s="302"/>
      <c r="E37" s="303"/>
      <c r="F37" s="118"/>
      <c r="G37" s="118"/>
      <c r="H37" s="118"/>
      <c r="I37" s="118"/>
      <c r="J37" s="118"/>
      <c r="K37" s="303"/>
      <c r="L37" s="303"/>
      <c r="M37" s="303"/>
      <c r="N37" s="303"/>
      <c r="O37" s="304"/>
    </row>
    <row r="38" spans="1:15" outlineLevel="1">
      <c r="A38" s="300" t="s">
        <v>257</v>
      </c>
      <c r="B38" s="305">
        <f>B4</f>
        <v>7.1099999999999997E-2</v>
      </c>
      <c r="C38" s="252"/>
      <c r="D38" s="306" t="s">
        <v>274</v>
      </c>
      <c r="E38" s="303"/>
      <c r="F38" s="120">
        <v>14000000</v>
      </c>
      <c r="G38" s="120">
        <v>12000000</v>
      </c>
      <c r="H38" s="120">
        <v>5000000</v>
      </c>
      <c r="I38" s="120">
        <v>6000000</v>
      </c>
      <c r="J38" s="256">
        <v>6000000</v>
      </c>
      <c r="K38" s="256"/>
      <c r="L38" s="256"/>
      <c r="M38" s="256"/>
      <c r="N38" s="256"/>
      <c r="O38" s="304"/>
    </row>
    <row r="39" spans="1:15" outlineLevel="1">
      <c r="A39" s="300"/>
      <c r="B39" s="307"/>
      <c r="C39" s="252"/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4"/>
    </row>
    <row r="40" spans="1:15" outlineLevel="1">
      <c r="A40" s="300" t="s">
        <v>255</v>
      </c>
      <c r="B40" s="308">
        <f>+F38</f>
        <v>14000000</v>
      </c>
      <c r="C40" s="252"/>
      <c r="D40" s="302" t="s">
        <v>256</v>
      </c>
      <c r="E40" s="312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09"/>
      <c r="N40" s="309"/>
      <c r="O40" s="310"/>
    </row>
    <row r="41" spans="1:15" outlineLevel="1">
      <c r="A41" s="300" t="s">
        <v>260</v>
      </c>
      <c r="B41" s="324">
        <f>E40/12</f>
        <v>6</v>
      </c>
      <c r="C41" s="252"/>
      <c r="D41" s="302" t="s">
        <v>258</v>
      </c>
      <c r="E41" s="312">
        <f>E40-SUM(F40:N40)</f>
        <v>0</v>
      </c>
      <c r="F41" s="118"/>
      <c r="G41" s="118"/>
      <c r="H41" s="118"/>
      <c r="I41" s="118"/>
      <c r="J41" s="118"/>
      <c r="K41" s="303"/>
      <c r="L41" s="303"/>
      <c r="M41" s="303"/>
      <c r="N41" s="303"/>
      <c r="O41" s="304"/>
    </row>
    <row r="42" spans="1:15" outlineLevel="1">
      <c r="A42" s="300"/>
      <c r="B42" s="311"/>
      <c r="C42" s="252"/>
      <c r="D42" s="302" t="s">
        <v>259</v>
      </c>
      <c r="E42" s="303"/>
      <c r="F42" s="118">
        <f t="shared" ref="F42:O42" si="16">IF(F40&lt;&gt;0,$F$38/$B$41,0)</f>
        <v>2333333.3333333335</v>
      </c>
      <c r="G42" s="118">
        <f t="shared" si="16"/>
        <v>2333333.3333333335</v>
      </c>
      <c r="H42" s="118">
        <f t="shared" si="16"/>
        <v>2333333.3333333335</v>
      </c>
      <c r="I42" s="118">
        <f t="shared" si="16"/>
        <v>2333333.3333333335</v>
      </c>
      <c r="J42" s="118">
        <f t="shared" si="16"/>
        <v>2333333.3333333335</v>
      </c>
      <c r="K42" s="118">
        <f t="shared" si="16"/>
        <v>2333333.3333333335</v>
      </c>
      <c r="L42" s="118">
        <f t="shared" si="16"/>
        <v>2333333.3333333335</v>
      </c>
      <c r="M42" s="118">
        <f t="shared" si="16"/>
        <v>0</v>
      </c>
      <c r="N42" s="118">
        <f t="shared" si="16"/>
        <v>0</v>
      </c>
      <c r="O42" s="118">
        <f t="shared" si="16"/>
        <v>0</v>
      </c>
    </row>
    <row r="43" spans="1:15" outlineLevel="1">
      <c r="A43" s="300"/>
      <c r="B43" s="311"/>
      <c r="C43" s="252"/>
      <c r="D43" s="302" t="s">
        <v>261</v>
      </c>
      <c r="E43" s="303"/>
      <c r="F43" s="118">
        <f>F42/12*F40</f>
        <v>1555555.5555555557</v>
      </c>
      <c r="G43" s="118">
        <f t="shared" ref="G43:O43" si="17">G42/12*G40</f>
        <v>2333333.3333333335</v>
      </c>
      <c r="H43" s="118">
        <f t="shared" si="17"/>
        <v>2333333.3333333335</v>
      </c>
      <c r="I43" s="118">
        <f t="shared" si="17"/>
        <v>2333333.3333333335</v>
      </c>
      <c r="J43" s="118">
        <f t="shared" si="17"/>
        <v>2333333.3333333335</v>
      </c>
      <c r="K43" s="118">
        <f t="shared" si="17"/>
        <v>2333333.3333333335</v>
      </c>
      <c r="L43" s="118">
        <f t="shared" si="17"/>
        <v>777777.77777777787</v>
      </c>
      <c r="M43" s="118">
        <f t="shared" si="17"/>
        <v>0</v>
      </c>
      <c r="N43" s="118">
        <f t="shared" si="17"/>
        <v>0</v>
      </c>
      <c r="O43" s="118">
        <f t="shared" si="17"/>
        <v>0</v>
      </c>
    </row>
    <row r="44" spans="1:15" outlineLevel="1">
      <c r="A44" s="300"/>
      <c r="B44" s="307"/>
      <c r="C44" s="252"/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4"/>
    </row>
    <row r="45" spans="1:15" outlineLevel="1">
      <c r="A45" s="300" t="s">
        <v>255</v>
      </c>
      <c r="B45" s="308">
        <f>+G38</f>
        <v>12000000</v>
      </c>
      <c r="C45" s="252"/>
      <c r="D45" s="302" t="s">
        <v>256</v>
      </c>
      <c r="E45" s="312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09">
        <v>4</v>
      </c>
      <c r="M45" s="309"/>
      <c r="N45" s="309"/>
      <c r="O45" s="310"/>
    </row>
    <row r="46" spans="1:15" outlineLevel="1">
      <c r="A46" s="300" t="s">
        <v>260</v>
      </c>
      <c r="B46" s="324">
        <f>E45/12</f>
        <v>5</v>
      </c>
      <c r="C46" s="252"/>
      <c r="D46" s="302" t="s">
        <v>258</v>
      </c>
      <c r="E46" s="312">
        <f>E45-SUM(F45:N45)</f>
        <v>0</v>
      </c>
      <c r="F46" s="118"/>
      <c r="G46" s="118"/>
      <c r="H46" s="118"/>
      <c r="I46" s="118"/>
      <c r="J46" s="118"/>
      <c r="K46" s="303"/>
      <c r="L46" s="303"/>
      <c r="M46" s="303"/>
      <c r="N46" s="303"/>
      <c r="O46" s="304"/>
    </row>
    <row r="47" spans="1:15" outlineLevel="1">
      <c r="A47" s="300"/>
      <c r="B47" s="307"/>
      <c r="C47" s="252"/>
      <c r="D47" s="302" t="s">
        <v>259</v>
      </c>
      <c r="E47" s="303"/>
      <c r="F47" s="118"/>
      <c r="G47" s="118">
        <f>IF(G45&lt;&gt;0,$G$38/($E$45/12),0)</f>
        <v>2400000</v>
      </c>
      <c r="H47" s="118">
        <f t="shared" ref="H47:O47" si="18">IF(H45&lt;&gt;0,$G$38/($E$45/12),0)</f>
        <v>2400000</v>
      </c>
      <c r="I47" s="118">
        <f t="shared" si="18"/>
        <v>2400000</v>
      </c>
      <c r="J47" s="118">
        <f t="shared" si="18"/>
        <v>2400000</v>
      </c>
      <c r="K47" s="118">
        <f t="shared" si="18"/>
        <v>2400000</v>
      </c>
      <c r="L47" s="118">
        <f t="shared" si="18"/>
        <v>2400000</v>
      </c>
      <c r="M47" s="118">
        <f t="shared" si="18"/>
        <v>0</v>
      </c>
      <c r="N47" s="118">
        <f t="shared" si="18"/>
        <v>0</v>
      </c>
      <c r="O47" s="118">
        <f t="shared" si="18"/>
        <v>0</v>
      </c>
    </row>
    <row r="48" spans="1:15" outlineLevel="1">
      <c r="A48" s="300"/>
      <c r="B48" s="248"/>
      <c r="C48" s="252"/>
      <c r="D48" s="302" t="s">
        <v>261</v>
      </c>
      <c r="E48" s="303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9">J47/12*J45</f>
        <v>2400000</v>
      </c>
      <c r="K48" s="118">
        <f t="shared" si="19"/>
        <v>2400000</v>
      </c>
      <c r="L48" s="118">
        <f t="shared" ref="L48:O48" si="20">L47/12*L45</f>
        <v>800000</v>
      </c>
      <c r="M48" s="118">
        <f t="shared" si="20"/>
        <v>0</v>
      </c>
      <c r="N48" s="118">
        <f t="shared" si="20"/>
        <v>0</v>
      </c>
      <c r="O48" s="118">
        <f t="shared" si="20"/>
        <v>0</v>
      </c>
    </row>
    <row r="49" spans="1:15" outlineLevel="1">
      <c r="A49" s="300"/>
      <c r="B49" s="307"/>
      <c r="C49" s="252"/>
      <c r="D49" s="302"/>
      <c r="E49" s="303"/>
      <c r="F49" s="118"/>
      <c r="G49" s="118"/>
      <c r="H49" s="118"/>
      <c r="I49" s="118"/>
      <c r="J49" s="118"/>
      <c r="K49" s="314"/>
      <c r="L49" s="314"/>
      <c r="M49" s="303"/>
      <c r="N49" s="303"/>
      <c r="O49" s="304"/>
    </row>
    <row r="50" spans="1:15" outlineLevel="1">
      <c r="A50" s="300" t="s">
        <v>255</v>
      </c>
      <c r="B50" s="308">
        <f>+H38</f>
        <v>5000000</v>
      </c>
      <c r="C50" s="252"/>
      <c r="D50" s="302" t="s">
        <v>256</v>
      </c>
      <c r="E50" s="312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09">
        <v>12</v>
      </c>
      <c r="L50" s="309">
        <v>4</v>
      </c>
      <c r="M50" s="309"/>
      <c r="N50" s="309"/>
      <c r="O50" s="310"/>
    </row>
    <row r="51" spans="1:15" outlineLevel="1">
      <c r="A51" s="300" t="s">
        <v>260</v>
      </c>
      <c r="B51" s="414">
        <f>E50/12</f>
        <v>4</v>
      </c>
      <c r="C51" s="252"/>
      <c r="D51" s="302" t="s">
        <v>258</v>
      </c>
      <c r="E51" s="312">
        <f>E50-SUM(F50:N50)</f>
        <v>0</v>
      </c>
      <c r="F51" s="118"/>
      <c r="G51" s="118"/>
      <c r="H51" s="118"/>
      <c r="I51" s="118"/>
      <c r="J51" s="118"/>
      <c r="K51" s="303"/>
      <c r="L51" s="303"/>
      <c r="M51" s="303"/>
      <c r="N51" s="303"/>
      <c r="O51" s="304"/>
    </row>
    <row r="52" spans="1:15" outlineLevel="1">
      <c r="A52" s="300"/>
      <c r="B52" s="307"/>
      <c r="C52" s="252"/>
      <c r="D52" s="302" t="s">
        <v>259</v>
      </c>
      <c r="E52" s="303"/>
      <c r="F52" s="118"/>
      <c r="G52" s="118"/>
      <c r="H52" s="118">
        <f>IF(H50&lt;&gt;0,$H$38/($E$50/12),0)</f>
        <v>1250000</v>
      </c>
      <c r="I52" s="118">
        <f t="shared" ref="I52:O52" si="21">IF(I50&lt;&gt;0,$H$38/($E$50/12),0)</f>
        <v>1250000</v>
      </c>
      <c r="J52" s="118">
        <f t="shared" si="21"/>
        <v>1250000</v>
      </c>
      <c r="K52" s="118">
        <f t="shared" si="21"/>
        <v>1250000</v>
      </c>
      <c r="L52" s="118">
        <f t="shared" si="21"/>
        <v>1250000</v>
      </c>
      <c r="M52" s="118">
        <f t="shared" si="21"/>
        <v>0</v>
      </c>
      <c r="N52" s="118">
        <f t="shared" si="21"/>
        <v>0</v>
      </c>
      <c r="O52" s="118">
        <f t="shared" si="21"/>
        <v>0</v>
      </c>
    </row>
    <row r="53" spans="1:15" outlineLevel="1">
      <c r="A53" s="300"/>
      <c r="B53" s="307"/>
      <c r="C53" s="252"/>
      <c r="D53" s="302" t="s">
        <v>261</v>
      </c>
      <c r="E53" s="303"/>
      <c r="F53" s="118"/>
      <c r="G53" s="118"/>
      <c r="H53" s="118">
        <f t="shared" ref="H53:O53" si="22">H52/12*H50</f>
        <v>833333.33333333337</v>
      </c>
      <c r="I53" s="118">
        <f t="shared" si="22"/>
        <v>1250000</v>
      </c>
      <c r="J53" s="118">
        <f t="shared" si="22"/>
        <v>1250000</v>
      </c>
      <c r="K53" s="118">
        <f t="shared" si="22"/>
        <v>1250000</v>
      </c>
      <c r="L53" s="118">
        <f t="shared" si="22"/>
        <v>416666.66666666669</v>
      </c>
      <c r="M53" s="118">
        <f t="shared" si="22"/>
        <v>0</v>
      </c>
      <c r="N53" s="118">
        <f t="shared" si="22"/>
        <v>0</v>
      </c>
      <c r="O53" s="118">
        <f t="shared" si="22"/>
        <v>0</v>
      </c>
    </row>
    <row r="54" spans="1:15" outlineLevel="1">
      <c r="A54" s="300"/>
      <c r="B54" s="307"/>
      <c r="C54" s="301"/>
      <c r="D54" s="302"/>
      <c r="E54" s="303"/>
      <c r="F54" s="118"/>
      <c r="G54" s="118"/>
      <c r="H54" s="118"/>
      <c r="I54" s="118"/>
      <c r="J54" s="118"/>
      <c r="K54" s="303"/>
      <c r="L54" s="303"/>
      <c r="M54" s="314"/>
      <c r="N54" s="314"/>
      <c r="O54" s="304"/>
    </row>
    <row r="55" spans="1:15" outlineLevel="1">
      <c r="A55" s="300" t="s">
        <v>255</v>
      </c>
      <c r="B55" s="308">
        <f>+I38</f>
        <v>6000000</v>
      </c>
      <c r="C55" s="301"/>
      <c r="D55" s="302" t="s">
        <v>256</v>
      </c>
      <c r="E55" s="312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09">
        <v>0</v>
      </c>
      <c r="N55" s="309"/>
      <c r="O55" s="310"/>
    </row>
    <row r="56" spans="1:15" outlineLevel="1">
      <c r="A56" s="300" t="s">
        <v>260</v>
      </c>
      <c r="B56" s="456">
        <f>E55/12</f>
        <v>3</v>
      </c>
      <c r="C56" s="301"/>
      <c r="D56" s="302" t="s">
        <v>258</v>
      </c>
      <c r="E56" s="312">
        <f>E55-SUM(F55:N55)</f>
        <v>0</v>
      </c>
      <c r="F56" s="118"/>
      <c r="G56" s="118"/>
      <c r="H56" s="118"/>
      <c r="I56" s="118"/>
      <c r="J56" s="118"/>
      <c r="K56" s="303"/>
      <c r="L56" s="303"/>
      <c r="M56" s="303"/>
      <c r="N56" s="303"/>
      <c r="O56" s="304"/>
    </row>
    <row r="57" spans="1:15" outlineLevel="1">
      <c r="A57" s="300"/>
      <c r="B57" s="307"/>
      <c r="C57" s="301"/>
      <c r="D57" s="302" t="s">
        <v>259</v>
      </c>
      <c r="E57" s="303"/>
      <c r="F57" s="118"/>
      <c r="G57" s="118"/>
      <c r="H57" s="118"/>
      <c r="I57" s="118">
        <f>IF(I55&lt;&gt;0,$I$38/($E$55/12),0)</f>
        <v>2000000</v>
      </c>
      <c r="J57" s="118">
        <f t="shared" ref="J57:O57" si="23">IF(J55&lt;&gt;0,$I$38/($E$55/12),0)</f>
        <v>2000000</v>
      </c>
      <c r="K57" s="118">
        <f t="shared" si="23"/>
        <v>2000000</v>
      </c>
      <c r="L57" s="118">
        <f t="shared" si="23"/>
        <v>2000000</v>
      </c>
      <c r="M57" s="118">
        <f t="shared" si="23"/>
        <v>0</v>
      </c>
      <c r="N57" s="118">
        <f t="shared" si="23"/>
        <v>0</v>
      </c>
      <c r="O57" s="118">
        <f t="shared" si="23"/>
        <v>0</v>
      </c>
    </row>
    <row r="58" spans="1:15" outlineLevel="1">
      <c r="A58" s="300"/>
      <c r="B58" s="307"/>
      <c r="C58" s="301"/>
      <c r="D58" s="302" t="s">
        <v>261</v>
      </c>
      <c r="E58" s="303"/>
      <c r="F58" s="118"/>
      <c r="G58" s="118"/>
      <c r="H58" s="118"/>
      <c r="I58" s="118">
        <f t="shared" ref="I58:O58" si="24">I57/12*I55</f>
        <v>1333333.3333333333</v>
      </c>
      <c r="J58" s="118">
        <f t="shared" si="24"/>
        <v>2000000</v>
      </c>
      <c r="K58" s="118">
        <f t="shared" si="24"/>
        <v>2000000</v>
      </c>
      <c r="L58" s="118">
        <f t="shared" si="24"/>
        <v>666666.66666666663</v>
      </c>
      <c r="M58" s="118">
        <f t="shared" si="24"/>
        <v>0</v>
      </c>
      <c r="N58" s="118">
        <f t="shared" si="24"/>
        <v>0</v>
      </c>
      <c r="O58" s="118">
        <f t="shared" si="24"/>
        <v>0</v>
      </c>
    </row>
    <row r="59" spans="1:15" outlineLevel="1">
      <c r="A59" s="300"/>
      <c r="B59" s="307"/>
      <c r="C59" s="301"/>
      <c r="D59" s="302"/>
      <c r="E59" s="303"/>
      <c r="F59" s="118"/>
      <c r="G59" s="118"/>
      <c r="H59" s="118"/>
      <c r="I59" s="118"/>
      <c r="J59" s="118"/>
      <c r="K59" s="303"/>
      <c r="L59" s="303"/>
      <c r="M59" s="314"/>
      <c r="N59" s="314"/>
      <c r="O59" s="304"/>
    </row>
    <row r="60" spans="1:15" outlineLevel="1">
      <c r="A60" s="300" t="s">
        <v>255</v>
      </c>
      <c r="B60" s="308">
        <f>J38</f>
        <v>6000000</v>
      </c>
      <c r="C60" s="301"/>
      <c r="D60" s="302" t="s">
        <v>256</v>
      </c>
      <c r="E60" s="312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0">
        <v>0</v>
      </c>
    </row>
    <row r="61" spans="1:15" outlineLevel="1">
      <c r="A61" s="300" t="s">
        <v>260</v>
      </c>
      <c r="B61" s="456">
        <f>E60/12</f>
        <v>2</v>
      </c>
      <c r="C61" s="301"/>
      <c r="D61" s="302" t="s">
        <v>258</v>
      </c>
      <c r="E61" s="312">
        <f>E60-SUM(F60:O60)</f>
        <v>0</v>
      </c>
      <c r="F61" s="118"/>
      <c r="G61" s="118"/>
      <c r="H61" s="118"/>
      <c r="I61" s="118"/>
      <c r="J61" s="118"/>
      <c r="K61" s="303"/>
      <c r="L61" s="303"/>
      <c r="M61" s="303"/>
      <c r="N61" s="303"/>
      <c r="O61" s="304"/>
    </row>
    <row r="62" spans="1:15" outlineLevel="1">
      <c r="A62" s="300"/>
      <c r="B62" s="307"/>
      <c r="C62" s="301"/>
      <c r="D62" s="302" t="s">
        <v>259</v>
      </c>
      <c r="E62" s="303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5">IF(K60&lt;&gt;0,$I$38/($E$60/12),0)</f>
        <v>3000000</v>
      </c>
      <c r="L62" s="118">
        <f t="shared" si="25"/>
        <v>3000000</v>
      </c>
      <c r="M62" s="118">
        <f t="shared" ref="M62:O62" si="26">IF(M60&lt;&gt;0,$J$38/$B$41,0)</f>
        <v>0</v>
      </c>
      <c r="N62" s="118">
        <f t="shared" si="26"/>
        <v>0</v>
      </c>
      <c r="O62" s="118">
        <f t="shared" si="26"/>
        <v>0</v>
      </c>
    </row>
    <row r="63" spans="1:15" outlineLevel="1">
      <c r="A63" s="300"/>
      <c r="B63" s="307"/>
      <c r="C63" s="301"/>
      <c r="D63" s="302" t="s">
        <v>261</v>
      </c>
      <c r="E63" s="303"/>
      <c r="F63" s="118"/>
      <c r="G63" s="118"/>
      <c r="H63" s="118"/>
      <c r="I63" s="118"/>
      <c r="J63" s="118">
        <f t="shared" ref="J63:O63" si="27">J62/12*J60</f>
        <v>2000000</v>
      </c>
      <c r="K63" s="118">
        <f t="shared" si="27"/>
        <v>3000000</v>
      </c>
      <c r="L63" s="118">
        <f t="shared" si="27"/>
        <v>1000000</v>
      </c>
      <c r="M63" s="118">
        <f t="shared" si="27"/>
        <v>0</v>
      </c>
      <c r="N63" s="118">
        <f t="shared" si="27"/>
        <v>0</v>
      </c>
      <c r="O63" s="118">
        <f t="shared" si="27"/>
        <v>0</v>
      </c>
    </row>
    <row r="64" spans="1:15" outlineLevel="1">
      <c r="A64" s="300"/>
      <c r="B64" s="307"/>
      <c r="C64" s="301"/>
      <c r="D64" s="302"/>
      <c r="E64" s="303"/>
      <c r="F64" s="118"/>
      <c r="G64" s="118"/>
      <c r="H64" s="118"/>
      <c r="I64" s="118"/>
      <c r="J64" s="118"/>
      <c r="K64" s="303"/>
      <c r="L64" s="303"/>
      <c r="M64" s="314"/>
      <c r="N64" s="314"/>
      <c r="O64" s="304"/>
    </row>
    <row r="65" spans="1:15" outlineLevel="1">
      <c r="A65" s="300" t="s">
        <v>255</v>
      </c>
      <c r="B65" s="308">
        <f>+K38</f>
        <v>0</v>
      </c>
      <c r="C65" s="301"/>
      <c r="D65" s="302" t="s">
        <v>256</v>
      </c>
      <c r="E65" s="312">
        <f>SUM(F65:O65)</f>
        <v>0</v>
      </c>
      <c r="F65" s="116"/>
      <c r="G65" s="116"/>
      <c r="H65" s="116"/>
      <c r="I65" s="116"/>
      <c r="J65" s="116"/>
      <c r="K65" s="309">
        <v>0</v>
      </c>
      <c r="L65" s="309">
        <v>0</v>
      </c>
      <c r="M65" s="309">
        <v>0</v>
      </c>
      <c r="N65" s="309">
        <v>0</v>
      </c>
      <c r="O65" s="309">
        <v>0</v>
      </c>
    </row>
    <row r="66" spans="1:15" outlineLevel="1">
      <c r="A66" s="300" t="s">
        <v>260</v>
      </c>
      <c r="B66" s="311"/>
      <c r="C66" s="301"/>
      <c r="D66" s="302" t="s">
        <v>258</v>
      </c>
      <c r="E66" s="312">
        <f>E65-SUM(F65:O65)</f>
        <v>0</v>
      </c>
      <c r="F66" s="118"/>
      <c r="G66" s="118"/>
      <c r="H66" s="118"/>
      <c r="I66" s="118"/>
      <c r="J66" s="118"/>
      <c r="K66" s="303"/>
      <c r="L66" s="303"/>
      <c r="M66" s="303"/>
      <c r="N66" s="303"/>
      <c r="O66" s="304"/>
    </row>
    <row r="67" spans="1:15" outlineLevel="1">
      <c r="A67" s="300"/>
      <c r="B67" s="307"/>
      <c r="C67" s="301"/>
      <c r="D67" s="302" t="s">
        <v>259</v>
      </c>
      <c r="E67" s="303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8">IF(L65&lt;&gt;0,$K$38/$B$41,0)</f>
        <v>0</v>
      </c>
      <c r="M67" s="118">
        <f t="shared" si="28"/>
        <v>0</v>
      </c>
      <c r="N67" s="118">
        <f t="shared" si="28"/>
        <v>0</v>
      </c>
      <c r="O67" s="118">
        <f t="shared" si="28"/>
        <v>0</v>
      </c>
    </row>
    <row r="68" spans="1:15" outlineLevel="1">
      <c r="A68" s="300"/>
      <c r="B68" s="307"/>
      <c r="C68" s="301"/>
      <c r="D68" s="302" t="s">
        <v>261</v>
      </c>
      <c r="E68" s="303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9">L67/12*L65</f>
        <v>0</v>
      </c>
      <c r="M68" s="118">
        <f t="shared" si="29"/>
        <v>0</v>
      </c>
      <c r="N68" s="118">
        <f t="shared" si="29"/>
        <v>0</v>
      </c>
      <c r="O68" s="118">
        <f t="shared" si="29"/>
        <v>0</v>
      </c>
    </row>
    <row r="69" spans="1:15" outlineLevel="1">
      <c r="A69" s="300"/>
      <c r="B69" s="307"/>
      <c r="C69" s="301"/>
      <c r="D69" s="302"/>
      <c r="E69" s="303"/>
      <c r="F69" s="118"/>
      <c r="G69" s="118"/>
      <c r="H69" s="118"/>
      <c r="I69" s="118"/>
      <c r="J69" s="118"/>
      <c r="K69" s="303"/>
      <c r="L69" s="303"/>
      <c r="M69" s="314"/>
      <c r="N69" s="314"/>
      <c r="O69" s="315"/>
    </row>
    <row r="70" spans="1:15" outlineLevel="1">
      <c r="A70" s="300" t="s">
        <v>255</v>
      </c>
      <c r="B70" s="308">
        <f>+L38</f>
        <v>0</v>
      </c>
      <c r="C70" s="301"/>
      <c r="D70" s="302" t="s">
        <v>256</v>
      </c>
      <c r="E70" s="312">
        <f>SUM(F70:O70)</f>
        <v>0</v>
      </c>
      <c r="F70" s="116"/>
      <c r="G70" s="116"/>
      <c r="H70" s="116"/>
      <c r="I70" s="116"/>
      <c r="J70" s="116"/>
      <c r="K70" s="309"/>
      <c r="L70" s="309">
        <v>0</v>
      </c>
      <c r="M70" s="309">
        <v>0</v>
      </c>
      <c r="N70" s="309">
        <v>0</v>
      </c>
      <c r="O70" s="310">
        <v>0</v>
      </c>
    </row>
    <row r="71" spans="1:15" outlineLevel="1">
      <c r="A71" s="300" t="s">
        <v>260</v>
      </c>
      <c r="B71" s="311"/>
      <c r="C71" s="301"/>
      <c r="D71" s="302" t="s">
        <v>258</v>
      </c>
      <c r="E71" s="312">
        <f>E70-SUM(F70:O70)</f>
        <v>0</v>
      </c>
      <c r="F71" s="118"/>
      <c r="G71" s="118"/>
      <c r="H71" s="118"/>
      <c r="I71" s="118"/>
      <c r="J71" s="118"/>
      <c r="K71" s="303"/>
      <c r="L71" s="303"/>
      <c r="M71" s="303"/>
      <c r="N71" s="303"/>
      <c r="O71" s="304"/>
    </row>
    <row r="72" spans="1:15" outlineLevel="1">
      <c r="A72" s="300"/>
      <c r="B72" s="307"/>
      <c r="C72" s="301"/>
      <c r="D72" s="302" t="s">
        <v>259</v>
      </c>
      <c r="E72" s="303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118">
        <f t="shared" ref="O72" si="30">IF(O70&lt;&gt;0,$K$38/$B$41,0)</f>
        <v>0</v>
      </c>
    </row>
    <row r="73" spans="1:15" outlineLevel="1">
      <c r="A73" s="300"/>
      <c r="B73" s="307"/>
      <c r="C73" s="301"/>
      <c r="D73" s="302" t="s">
        <v>261</v>
      </c>
      <c r="E73" s="303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118">
        <f t="shared" ref="O73" si="31">O72/12*O70</f>
        <v>0</v>
      </c>
    </row>
    <row r="74" spans="1:15" outlineLevel="1">
      <c r="A74" s="300"/>
      <c r="B74" s="307"/>
      <c r="C74" s="301"/>
      <c r="D74" s="302"/>
      <c r="E74" s="303"/>
      <c r="F74" s="118"/>
      <c r="G74" s="118"/>
      <c r="H74" s="118"/>
      <c r="I74" s="118"/>
      <c r="J74" s="118"/>
      <c r="K74" s="303"/>
      <c r="L74" s="303"/>
      <c r="M74" s="314"/>
      <c r="N74" s="314"/>
      <c r="O74" s="315"/>
    </row>
    <row r="75" spans="1:15" outlineLevel="1">
      <c r="A75" s="300" t="s">
        <v>255</v>
      </c>
      <c r="B75" s="308">
        <f>+M38</f>
        <v>0</v>
      </c>
      <c r="C75" s="301"/>
      <c r="D75" s="302" t="s">
        <v>256</v>
      </c>
      <c r="E75" s="312">
        <f>SUM(F75:O75)</f>
        <v>0</v>
      </c>
      <c r="F75" s="116"/>
      <c r="G75" s="116"/>
      <c r="H75" s="116"/>
      <c r="I75" s="116"/>
      <c r="J75" s="116"/>
      <c r="K75" s="309"/>
      <c r="L75" s="309"/>
      <c r="M75" s="309">
        <v>0</v>
      </c>
      <c r="N75" s="309">
        <v>0</v>
      </c>
      <c r="O75" s="310">
        <v>0</v>
      </c>
    </row>
    <row r="76" spans="1:15" outlineLevel="1">
      <c r="A76" s="300" t="s">
        <v>260</v>
      </c>
      <c r="B76" s="311"/>
      <c r="C76" s="301"/>
      <c r="D76" s="302" t="s">
        <v>258</v>
      </c>
      <c r="E76" s="312">
        <f>E75-SUM(F75:O75)</f>
        <v>0</v>
      </c>
      <c r="F76" s="118"/>
      <c r="G76" s="118"/>
      <c r="H76" s="118"/>
      <c r="I76" s="118"/>
      <c r="J76" s="118"/>
      <c r="K76" s="303"/>
      <c r="L76" s="303"/>
      <c r="M76" s="303"/>
      <c r="N76" s="303"/>
      <c r="O76" s="304"/>
    </row>
    <row r="77" spans="1:15" outlineLevel="1">
      <c r="A77" s="300"/>
      <c r="B77" s="307"/>
      <c r="C77" s="301"/>
      <c r="D77" s="302" t="s">
        <v>259</v>
      </c>
      <c r="E77" s="303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118">
        <f t="shared" ref="O77" si="32">IF(O75&lt;&gt;0,$K$38/$B$41,0)</f>
        <v>0</v>
      </c>
    </row>
    <row r="78" spans="1:15" outlineLevel="1">
      <c r="A78" s="300"/>
      <c r="B78" s="307"/>
      <c r="C78" s="301"/>
      <c r="D78" s="302" t="s">
        <v>261</v>
      </c>
      <c r="E78" s="303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118">
        <f t="shared" ref="O78" si="33">O77/12*O75</f>
        <v>0</v>
      </c>
    </row>
    <row r="79" spans="1:15" outlineLevel="1">
      <c r="A79" s="300"/>
      <c r="B79" s="307"/>
      <c r="C79" s="301"/>
      <c r="D79" s="302"/>
      <c r="E79" s="303"/>
      <c r="F79" s="118"/>
      <c r="G79" s="118"/>
      <c r="H79" s="118"/>
      <c r="I79" s="118"/>
      <c r="J79" s="118"/>
      <c r="K79" s="303"/>
      <c r="L79" s="303"/>
      <c r="M79" s="314"/>
      <c r="N79" s="314"/>
      <c r="O79" s="315"/>
    </row>
    <row r="80" spans="1:15" outlineLevel="1">
      <c r="A80" s="300" t="s">
        <v>255</v>
      </c>
      <c r="B80" s="308">
        <f>+N38</f>
        <v>0</v>
      </c>
      <c r="C80" s="301"/>
      <c r="D80" s="302" t="s">
        <v>256</v>
      </c>
      <c r="E80" s="312">
        <f>SUM(F80:O80)</f>
        <v>0</v>
      </c>
      <c r="F80" s="116"/>
      <c r="G80" s="116"/>
      <c r="H80" s="116"/>
      <c r="I80" s="116"/>
      <c r="J80" s="116"/>
      <c r="K80" s="309"/>
      <c r="L80" s="309"/>
      <c r="M80" s="309"/>
      <c r="N80" s="309">
        <v>0</v>
      </c>
      <c r="O80" s="310">
        <v>0</v>
      </c>
    </row>
    <row r="81" spans="1:15" outlineLevel="1">
      <c r="A81" s="300" t="s">
        <v>260</v>
      </c>
      <c r="B81" s="311"/>
      <c r="C81" s="301"/>
      <c r="D81" s="302" t="s">
        <v>258</v>
      </c>
      <c r="E81" s="312">
        <f>E80-SUM(F80:O80)</f>
        <v>0</v>
      </c>
      <c r="F81" s="118"/>
      <c r="G81" s="118"/>
      <c r="H81" s="118"/>
      <c r="I81" s="118"/>
      <c r="J81" s="118"/>
      <c r="K81" s="303"/>
      <c r="L81" s="303"/>
      <c r="M81" s="303"/>
      <c r="N81" s="303"/>
      <c r="O81" s="304"/>
    </row>
    <row r="82" spans="1:15" outlineLevel="1">
      <c r="A82" s="300"/>
      <c r="B82" s="307"/>
      <c r="C82" s="301"/>
      <c r="D82" s="302" t="s">
        <v>259</v>
      </c>
      <c r="E82" s="303"/>
      <c r="F82" s="118"/>
      <c r="G82" s="118"/>
      <c r="H82" s="118"/>
      <c r="I82" s="118"/>
      <c r="J82" s="118"/>
      <c r="K82" s="118"/>
      <c r="L82" s="118"/>
      <c r="M82" s="118"/>
      <c r="N82" s="118">
        <f>IF(N80&lt;&gt;0,$M$38/$B$41,0)</f>
        <v>0</v>
      </c>
      <c r="O82" s="118">
        <f t="shared" ref="O82" si="34">IF(O80&lt;&gt;0,$K$38/$B$41,0)</f>
        <v>0</v>
      </c>
    </row>
    <row r="83" spans="1:15" outlineLevel="1">
      <c r="A83" s="300"/>
      <c r="B83" s="307"/>
      <c r="C83" s="301"/>
      <c r="D83" s="302" t="s">
        <v>261</v>
      </c>
      <c r="E83" s="303"/>
      <c r="F83" s="118"/>
      <c r="G83" s="118"/>
      <c r="H83" s="118"/>
      <c r="I83" s="118"/>
      <c r="J83" s="118"/>
      <c r="K83" s="118"/>
      <c r="L83" s="118"/>
      <c r="M83" s="118"/>
      <c r="N83" s="118">
        <f>N82/12*N80</f>
        <v>0</v>
      </c>
      <c r="O83" s="118">
        <f t="shared" ref="O83" si="35">O82/12*O80</f>
        <v>0</v>
      </c>
    </row>
    <row r="84" spans="1:15" outlineLevel="1">
      <c r="A84" s="300"/>
      <c r="B84" s="307"/>
      <c r="C84" s="301"/>
      <c r="D84" s="302"/>
      <c r="E84" s="303"/>
      <c r="F84" s="118"/>
      <c r="G84" s="118"/>
      <c r="H84" s="118"/>
      <c r="I84" s="118"/>
      <c r="J84" s="118"/>
      <c r="K84" s="303"/>
      <c r="L84" s="303"/>
      <c r="M84" s="314"/>
      <c r="N84" s="314"/>
      <c r="O84" s="315"/>
    </row>
    <row r="85" spans="1:15" outlineLevel="1">
      <c r="A85" s="300" t="s">
        <v>255</v>
      </c>
      <c r="B85" s="308">
        <f>O38</f>
        <v>0</v>
      </c>
      <c r="C85" s="301"/>
      <c r="D85" s="302" t="s">
        <v>256</v>
      </c>
      <c r="E85" s="312">
        <f>SUM(F85:O85)</f>
        <v>0</v>
      </c>
      <c r="F85" s="116"/>
      <c r="G85" s="116"/>
      <c r="H85" s="116"/>
      <c r="I85" s="116"/>
      <c r="J85" s="116"/>
      <c r="K85" s="309"/>
      <c r="L85" s="309"/>
      <c r="M85" s="309"/>
      <c r="N85" s="309"/>
      <c r="O85" s="310">
        <v>0</v>
      </c>
    </row>
    <row r="86" spans="1:15" outlineLevel="1">
      <c r="A86" s="300" t="s">
        <v>260</v>
      </c>
      <c r="B86" s="311"/>
      <c r="C86" s="301"/>
      <c r="D86" s="302" t="s">
        <v>258</v>
      </c>
      <c r="E86" s="312">
        <f>E85-SUM(F85:O85)</f>
        <v>0</v>
      </c>
      <c r="F86" s="118"/>
      <c r="G86" s="118"/>
      <c r="H86" s="118"/>
      <c r="I86" s="118"/>
      <c r="J86" s="118"/>
      <c r="K86" s="303"/>
      <c r="L86" s="303"/>
      <c r="M86" s="303"/>
      <c r="N86" s="303"/>
      <c r="O86" s="304"/>
    </row>
    <row r="87" spans="1:15" outlineLevel="1">
      <c r="A87" s="300"/>
      <c r="B87" s="307"/>
      <c r="C87" s="301"/>
      <c r="D87" s="302" t="s">
        <v>259</v>
      </c>
      <c r="E87" s="303"/>
      <c r="F87" s="118"/>
      <c r="G87" s="118"/>
      <c r="H87" s="118"/>
      <c r="I87" s="118"/>
      <c r="J87" s="118"/>
      <c r="K87" s="118"/>
      <c r="L87" s="118"/>
      <c r="M87" s="118"/>
      <c r="N87" s="118"/>
      <c r="O87" s="118">
        <f t="shared" ref="O87" si="36">IF(O85&lt;&gt;0,$K$38/$B$41,0)</f>
        <v>0</v>
      </c>
    </row>
    <row r="88" spans="1:15" outlineLevel="1">
      <c r="A88" s="300"/>
      <c r="B88" s="307"/>
      <c r="C88" s="301"/>
      <c r="D88" s="302" t="s">
        <v>261</v>
      </c>
      <c r="E88" s="303"/>
      <c r="F88" s="118"/>
      <c r="G88" s="118"/>
      <c r="H88" s="118"/>
      <c r="I88" s="118"/>
      <c r="J88" s="118"/>
      <c r="K88" s="118"/>
      <c r="L88" s="118"/>
      <c r="M88" s="118"/>
      <c r="N88" s="118"/>
      <c r="O88" s="118">
        <f t="shared" ref="O88" si="37">O87/12*O85</f>
        <v>0</v>
      </c>
    </row>
    <row r="89" spans="1:15" outlineLevel="1">
      <c r="A89" s="300"/>
      <c r="B89" s="307"/>
      <c r="C89" s="301"/>
      <c r="D89" s="302"/>
      <c r="E89" s="303"/>
      <c r="F89" s="118"/>
      <c r="G89" s="118"/>
      <c r="H89" s="118"/>
      <c r="I89" s="118"/>
      <c r="J89" s="118"/>
      <c r="K89" s="303"/>
      <c r="L89" s="303"/>
      <c r="M89" s="303"/>
      <c r="N89" s="303"/>
      <c r="O89" s="304"/>
    </row>
    <row r="90" spans="1:15" outlineLevel="1">
      <c r="A90" s="300" t="s">
        <v>262</v>
      </c>
      <c r="B90" s="316">
        <f>B21</f>
        <v>9515</v>
      </c>
      <c r="C90" s="301"/>
      <c r="D90" s="302" t="s">
        <v>263</v>
      </c>
      <c r="E90" s="303"/>
      <c r="F90" s="118">
        <f>+F38</f>
        <v>14000000</v>
      </c>
      <c r="G90" s="118">
        <f>+F91+G38</f>
        <v>24444444.444444444</v>
      </c>
      <c r="H90" s="118">
        <f>+G91+H38</f>
        <v>25511111.111111112</v>
      </c>
      <c r="I90" s="118">
        <f t="shared" ref="I90:O90" si="38">+H91+I38</f>
        <v>25944444.444444444</v>
      </c>
      <c r="J90" s="118">
        <f t="shared" si="38"/>
        <v>24627777.777777776</v>
      </c>
      <c r="K90" s="118">
        <f t="shared" si="38"/>
        <v>14644444.444444442</v>
      </c>
      <c r="L90" s="118">
        <f t="shared" si="38"/>
        <v>3661111.1111111082</v>
      </c>
      <c r="M90" s="118">
        <f t="shared" si="38"/>
        <v>0</v>
      </c>
      <c r="N90" s="118">
        <f t="shared" si="38"/>
        <v>0</v>
      </c>
      <c r="O90" s="313">
        <f t="shared" si="38"/>
        <v>0</v>
      </c>
    </row>
    <row r="91" spans="1:15" outlineLevel="1">
      <c r="A91" s="300" t="s">
        <v>264</v>
      </c>
      <c r="B91" s="244">
        <f>+B90/10.764</f>
        <v>883.96506874767749</v>
      </c>
      <c r="C91" s="301"/>
      <c r="D91" s="302" t="s">
        <v>265</v>
      </c>
      <c r="E91" s="303"/>
      <c r="F91" s="118">
        <f t="shared" ref="F91:O91" si="39">F90-F96</f>
        <v>12444444.444444444</v>
      </c>
      <c r="G91" s="118">
        <f>G90-G96</f>
        <v>20511111.111111112</v>
      </c>
      <c r="H91" s="118">
        <f t="shared" si="39"/>
        <v>19944444.444444444</v>
      </c>
      <c r="I91" s="118">
        <f>I90-I96</f>
        <v>18627777.777777776</v>
      </c>
      <c r="J91" s="118">
        <f t="shared" si="39"/>
        <v>14644444.444444442</v>
      </c>
      <c r="K91" s="118">
        <f t="shared" si="39"/>
        <v>3661111.1111111082</v>
      </c>
      <c r="L91" s="118">
        <f t="shared" si="39"/>
        <v>0</v>
      </c>
      <c r="M91" s="118">
        <f t="shared" si="39"/>
        <v>0</v>
      </c>
      <c r="N91" s="118">
        <f t="shared" si="39"/>
        <v>0</v>
      </c>
      <c r="O91" s="313">
        <f t="shared" si="39"/>
        <v>0</v>
      </c>
    </row>
    <row r="92" spans="1:15" outlineLevel="1">
      <c r="A92" s="300" t="s">
        <v>266</v>
      </c>
      <c r="B92" s="415" t="str">
        <f>B23</f>
        <v>2026</v>
      </c>
      <c r="C92" s="301"/>
      <c r="D92" s="302" t="s">
        <v>267</v>
      </c>
      <c r="E92" s="303"/>
      <c r="F92" s="118">
        <f t="shared" ref="F92:O92" si="40">(F90+F91)/2</f>
        <v>13222222.222222222</v>
      </c>
      <c r="G92" s="118">
        <f t="shared" si="40"/>
        <v>22477777.777777776</v>
      </c>
      <c r="H92" s="118">
        <f t="shared" si="40"/>
        <v>22727777.777777776</v>
      </c>
      <c r="I92" s="118">
        <f t="shared" si="40"/>
        <v>22286111.111111112</v>
      </c>
      <c r="J92" s="118">
        <f t="shared" si="40"/>
        <v>19636111.111111108</v>
      </c>
      <c r="K92" s="314">
        <f t="shared" si="40"/>
        <v>9152777.7777777761</v>
      </c>
      <c r="L92" s="314">
        <f t="shared" si="40"/>
        <v>1830555.5555555541</v>
      </c>
      <c r="M92" s="314">
        <f t="shared" si="40"/>
        <v>0</v>
      </c>
      <c r="N92" s="314">
        <f t="shared" si="40"/>
        <v>0</v>
      </c>
      <c r="O92" s="315">
        <f t="shared" si="40"/>
        <v>0</v>
      </c>
    </row>
    <row r="93" spans="1:15" outlineLevel="1">
      <c r="A93" s="300"/>
      <c r="B93" s="307"/>
      <c r="C93" s="301"/>
      <c r="D93" s="302"/>
      <c r="E93" s="303"/>
      <c r="F93" s="118"/>
      <c r="G93" s="118"/>
      <c r="H93" s="118"/>
      <c r="I93" s="118"/>
      <c r="J93" s="118"/>
      <c r="K93" s="314"/>
      <c r="L93" s="314"/>
      <c r="M93" s="314"/>
      <c r="N93" s="314"/>
      <c r="O93" s="304"/>
    </row>
    <row r="94" spans="1:15" outlineLevel="1">
      <c r="A94" s="300"/>
      <c r="B94" s="307"/>
      <c r="C94" s="301"/>
      <c r="D94" s="302"/>
      <c r="E94" s="303"/>
      <c r="F94" s="118"/>
      <c r="G94" s="118"/>
      <c r="H94" s="118"/>
      <c r="I94" s="118"/>
      <c r="J94" s="118"/>
      <c r="K94" s="314"/>
      <c r="L94" s="314"/>
      <c r="M94" s="314"/>
      <c r="N94" s="314"/>
      <c r="O94" s="304"/>
    </row>
    <row r="95" spans="1:15" outlineLevel="1">
      <c r="A95" s="300"/>
      <c r="B95" s="307"/>
      <c r="C95" s="301"/>
      <c r="D95" s="302" t="s">
        <v>268</v>
      </c>
      <c r="E95" s="312">
        <f>SUM(F95:O95)</f>
        <v>7515665</v>
      </c>
      <c r="F95" s="118">
        <f>F92*$B$38/12*F40</f>
        <v>626733.33333333326</v>
      </c>
      <c r="G95" s="118">
        <f t="shared" ref="G95:M95" si="41">G92*$B$38/12*G40</f>
        <v>1598169.9999999998</v>
      </c>
      <c r="H95" s="118">
        <f t="shared" si="41"/>
        <v>1615944.9999999998</v>
      </c>
      <c r="I95" s="118">
        <f t="shared" si="41"/>
        <v>1584542.5</v>
      </c>
      <c r="J95" s="118">
        <f t="shared" si="41"/>
        <v>1396127.4999999998</v>
      </c>
      <c r="K95" s="118">
        <f t="shared" si="41"/>
        <v>650762.49999999988</v>
      </c>
      <c r="L95" s="118">
        <f t="shared" si="41"/>
        <v>43384.166666666628</v>
      </c>
      <c r="M95" s="118">
        <f t="shared" si="41"/>
        <v>0</v>
      </c>
      <c r="N95" s="118">
        <f>N92*$B$40/12*N7</f>
        <v>0</v>
      </c>
      <c r="O95" s="313"/>
    </row>
    <row r="96" spans="1:15" outlineLevel="1">
      <c r="A96" s="300" t="s">
        <v>269</v>
      </c>
      <c r="B96" s="248">
        <f>E99*E47</f>
        <v>0</v>
      </c>
      <c r="C96" s="301"/>
      <c r="D96" s="302" t="s">
        <v>270</v>
      </c>
      <c r="E96" s="312">
        <f>SUM(F96:O96)</f>
        <v>43000000.000000007</v>
      </c>
      <c r="F96" s="118">
        <f t="shared" ref="F96:O96" si="42">+F43+F48+F53+F58+F63+F68+F73+F78</f>
        <v>1555555.5555555557</v>
      </c>
      <c r="G96" s="118">
        <f t="shared" si="42"/>
        <v>3933333.3333333335</v>
      </c>
      <c r="H96" s="118">
        <f t="shared" si="42"/>
        <v>5566666.666666667</v>
      </c>
      <c r="I96" s="118">
        <f t="shared" si="42"/>
        <v>7316666.666666667</v>
      </c>
      <c r="J96" s="118">
        <f t="shared" si="42"/>
        <v>9983333.333333334</v>
      </c>
      <c r="K96" s="118">
        <f t="shared" si="42"/>
        <v>10983333.333333334</v>
      </c>
      <c r="L96" s="118">
        <f t="shared" si="42"/>
        <v>3661111.1111111115</v>
      </c>
      <c r="M96" s="118">
        <f t="shared" si="42"/>
        <v>0</v>
      </c>
      <c r="N96" s="118">
        <f t="shared" si="42"/>
        <v>0</v>
      </c>
      <c r="O96" s="118">
        <f t="shared" si="42"/>
        <v>0</v>
      </c>
    </row>
    <row r="97" spans="1:15" outlineLevel="1">
      <c r="A97" s="300"/>
      <c r="B97" s="307"/>
      <c r="C97" s="301"/>
      <c r="D97" s="302"/>
      <c r="E97" s="303"/>
      <c r="F97" s="118"/>
      <c r="G97" s="118"/>
      <c r="H97" s="118"/>
      <c r="I97" s="118"/>
      <c r="J97" s="118"/>
      <c r="K97" s="314"/>
      <c r="L97" s="314"/>
      <c r="M97" s="314"/>
      <c r="N97" s="314"/>
      <c r="O97" s="304"/>
    </row>
    <row r="98" spans="1:15" outlineLevel="1">
      <c r="A98" s="300" t="s">
        <v>271</v>
      </c>
      <c r="B98" s="317">
        <f>IFERROR(+E99/B90,0)</f>
        <v>73.736884743387648</v>
      </c>
      <c r="C98" s="301"/>
      <c r="D98" s="302"/>
      <c r="E98" s="303"/>
      <c r="F98" s="118">
        <f t="shared" ref="F98:O98" si="43">SUM(F95:F97)</f>
        <v>2182288.888888889</v>
      </c>
      <c r="G98" s="118">
        <f t="shared" si="43"/>
        <v>5531503.333333333</v>
      </c>
      <c r="H98" s="118">
        <f t="shared" si="43"/>
        <v>7182611.666666667</v>
      </c>
      <c r="I98" s="118">
        <f t="shared" si="43"/>
        <v>8901209.1666666679</v>
      </c>
      <c r="J98" s="118">
        <f t="shared" si="43"/>
        <v>11379460.833333334</v>
      </c>
      <c r="K98" s="118">
        <f t="shared" si="43"/>
        <v>11634095.833333334</v>
      </c>
      <c r="L98" s="118">
        <f t="shared" si="43"/>
        <v>3704495.277777778</v>
      </c>
      <c r="M98" s="118">
        <f t="shared" si="43"/>
        <v>0</v>
      </c>
      <c r="N98" s="118">
        <f t="shared" si="43"/>
        <v>0</v>
      </c>
      <c r="O98" s="313">
        <f t="shared" si="43"/>
        <v>0</v>
      </c>
    </row>
    <row r="99" spans="1:15" ht="13" outlineLevel="1" thickBot="1">
      <c r="A99" s="318" t="s">
        <v>272</v>
      </c>
      <c r="B99" s="319">
        <f>IFERROR(+E99/B91,0)</f>
        <v>793.70382737782461</v>
      </c>
      <c r="C99" s="320"/>
      <c r="D99" s="321" t="s">
        <v>273</v>
      </c>
      <c r="E99" s="257">
        <f>IFERROR(SUM(F95:O96)/E40,0)</f>
        <v>701606.45833333349</v>
      </c>
      <c r="F99" s="166"/>
      <c r="G99" s="166"/>
      <c r="H99" s="166"/>
      <c r="I99" s="166"/>
      <c r="J99" s="166"/>
      <c r="K99" s="322"/>
      <c r="L99" s="322"/>
      <c r="M99" s="322"/>
      <c r="N99" s="322"/>
      <c r="O99" s="323"/>
    </row>
    <row r="100" spans="1:15" ht="13" outlineLevel="1" thickBot="1">
      <c r="E100" s="347"/>
      <c r="F100" s="175"/>
      <c r="G100" s="175"/>
      <c r="H100" s="175"/>
      <c r="I100" s="175"/>
    </row>
    <row r="101" spans="1:15" ht="16" thickBot="1">
      <c r="A101" s="717"/>
      <c r="B101" s="718"/>
      <c r="C101" s="718"/>
      <c r="D101" s="718"/>
      <c r="E101" s="718"/>
      <c r="F101" s="718"/>
      <c r="G101" s="718"/>
      <c r="H101" s="718"/>
      <c r="I101" s="718"/>
      <c r="J101" s="718"/>
      <c r="K101" s="718"/>
      <c r="L101" s="718"/>
      <c r="M101" s="718"/>
      <c r="N101" s="718"/>
      <c r="O101" s="719"/>
    </row>
    <row r="102" spans="1:15">
      <c r="A102" s="167"/>
      <c r="B102" s="261"/>
      <c r="C102" s="168"/>
      <c r="D102" s="168"/>
      <c r="E102" s="168"/>
      <c r="F102" s="169"/>
      <c r="G102" s="169"/>
      <c r="H102" s="169"/>
      <c r="I102" s="169"/>
      <c r="J102" s="169"/>
      <c r="K102" s="170"/>
      <c r="L102" s="170"/>
      <c r="M102" s="168"/>
      <c r="N102" s="168"/>
      <c r="O102" s="242"/>
    </row>
    <row r="103" spans="1:15">
      <c r="A103" s="162"/>
      <c r="B103" s="116"/>
      <c r="C103" s="115"/>
      <c r="D103" s="115"/>
      <c r="E103" s="115"/>
      <c r="F103" s="118"/>
      <c r="G103" s="118"/>
      <c r="H103" s="118"/>
      <c r="I103" s="118"/>
      <c r="J103" s="118"/>
      <c r="K103" s="115"/>
      <c r="L103" s="115"/>
      <c r="M103" s="115"/>
      <c r="N103" s="115"/>
      <c r="O103" s="163"/>
    </row>
    <row r="104" spans="1:15">
      <c r="A104" s="162" t="s">
        <v>275</v>
      </c>
      <c r="B104" s="116">
        <f>F104+G104+H104+I104+J104+K104</f>
        <v>2500000</v>
      </c>
      <c r="C104" s="115"/>
      <c r="D104" s="255"/>
      <c r="E104" s="115"/>
      <c r="F104" s="118">
        <v>1500000</v>
      </c>
      <c r="G104" s="118">
        <v>200000</v>
      </c>
      <c r="H104" s="118">
        <v>200000</v>
      </c>
      <c r="I104" s="118">
        <v>200000</v>
      </c>
      <c r="J104" s="118">
        <v>200000</v>
      </c>
      <c r="K104" s="118">
        <v>200000</v>
      </c>
      <c r="L104" s="500"/>
      <c r="M104" s="500"/>
      <c r="N104" s="500"/>
      <c r="O104" s="501"/>
    </row>
    <row r="105" spans="1:15">
      <c r="A105" s="162" t="s">
        <v>322</v>
      </c>
      <c r="B105" s="121">
        <f>((B104/B21))/E3</f>
        <v>3.6492088515209904</v>
      </c>
      <c r="C105" s="115"/>
      <c r="D105" s="115"/>
      <c r="E105" s="115"/>
      <c r="F105" s="118"/>
      <c r="G105" s="118"/>
      <c r="H105" s="118"/>
      <c r="I105" s="118"/>
      <c r="J105" s="118"/>
      <c r="K105" s="115"/>
      <c r="L105" s="115"/>
      <c r="M105" s="115"/>
      <c r="N105" s="115"/>
      <c r="O105" s="163"/>
    </row>
    <row r="106" spans="1:15" ht="13" thickBot="1">
      <c r="A106" s="164" t="s">
        <v>323</v>
      </c>
      <c r="B106" s="258">
        <f>B105*10.764</f>
        <v>39.280084077771939</v>
      </c>
      <c r="C106" s="165"/>
      <c r="D106" s="165"/>
      <c r="E106" s="257"/>
      <c r="F106" s="166"/>
      <c r="G106" s="166"/>
      <c r="H106" s="166"/>
      <c r="I106" s="166"/>
      <c r="J106" s="166"/>
      <c r="K106" s="166"/>
      <c r="L106" s="166"/>
      <c r="M106" s="166"/>
      <c r="N106" s="166"/>
      <c r="O106" s="260"/>
    </row>
    <row r="107" spans="1:15">
      <c r="B107" s="347"/>
      <c r="F107" s="293"/>
      <c r="G107" s="293"/>
      <c r="H107" s="293"/>
      <c r="I107" s="293"/>
      <c r="J107" s="291"/>
    </row>
    <row r="108" spans="1:15" ht="13">
      <c r="B108" s="280"/>
      <c r="E108" s="351"/>
      <c r="F108" s="346"/>
      <c r="G108" s="346"/>
      <c r="H108" s="346"/>
      <c r="I108" s="346"/>
    </row>
    <row r="109" spans="1:15">
      <c r="B109" s="284"/>
      <c r="D109" s="357"/>
      <c r="F109" s="346"/>
      <c r="G109" s="346"/>
      <c r="H109" s="346"/>
      <c r="I109" s="346"/>
    </row>
    <row r="110" spans="1:15">
      <c r="B110" s="284"/>
    </row>
    <row r="111" spans="1:15">
      <c r="B111" s="354"/>
      <c r="E111" s="284"/>
    </row>
    <row r="112" spans="1:15">
      <c r="B112" s="354"/>
      <c r="E112" s="284"/>
      <c r="F112" s="293"/>
      <c r="G112" s="293"/>
      <c r="H112" s="293"/>
      <c r="I112" s="293"/>
      <c r="J112" s="293"/>
    </row>
    <row r="114" spans="2:5">
      <c r="B114" s="284"/>
      <c r="E114" s="284"/>
    </row>
    <row r="116" spans="2:5">
      <c r="B116" s="357"/>
    </row>
    <row r="117" spans="2:5">
      <c r="B117" s="354"/>
    </row>
  </sheetData>
  <mergeCells count="3">
    <mergeCell ref="A1:N1"/>
    <mergeCell ref="A35:O35"/>
    <mergeCell ref="A101:O101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C17" sqref="C17"/>
    </sheetView>
  </sheetViews>
  <sheetFormatPr defaultColWidth="9.36328125" defaultRowHeight="12.5"/>
  <cols>
    <col min="1" max="1" width="25.54296875" style="174" bestFit="1" customWidth="1"/>
    <col min="2" max="2" width="21.453125" style="174" bestFit="1" customWidth="1"/>
    <col min="3" max="3" width="21.453125" style="174" customWidth="1"/>
    <col min="4" max="4" width="19.1796875" style="174" bestFit="1" customWidth="1"/>
    <col min="5" max="10" width="16" style="174" bestFit="1" customWidth="1"/>
    <col min="11" max="12" width="11.36328125" style="174" bestFit="1" customWidth="1"/>
    <col min="13" max="13" width="17" style="174" bestFit="1" customWidth="1"/>
    <col min="14" max="16384" width="9.36328125" style="174"/>
  </cols>
  <sheetData>
    <row r="2" spans="1:13" ht="13">
      <c r="C2" s="176"/>
    </row>
    <row r="5" spans="1:13">
      <c r="C5" s="178"/>
      <c r="M5" s="175"/>
    </row>
    <row r="7" spans="1:13">
      <c r="C7" s="175"/>
    </row>
    <row r="8" spans="1:13" ht="13">
      <c r="A8" s="529"/>
      <c r="B8" s="530" t="s">
        <v>36</v>
      </c>
      <c r="C8" s="531" t="s">
        <v>276</v>
      </c>
      <c r="D8" s="531" t="s">
        <v>277</v>
      </c>
    </row>
    <row r="9" spans="1:13">
      <c r="A9" s="274" t="s">
        <v>57</v>
      </c>
      <c r="B9" s="353">
        <v>0</v>
      </c>
      <c r="C9" s="353">
        <f>+B9*'Rent Calculation'!F28/12*33.5</f>
        <v>0</v>
      </c>
      <c r="D9" s="276"/>
      <c r="F9" s="355"/>
    </row>
    <row r="10" spans="1:13">
      <c r="A10" s="274" t="s">
        <v>278</v>
      </c>
      <c r="B10" s="353">
        <f>'Rent Calculation'!F67</f>
        <v>11418000</v>
      </c>
      <c r="C10" s="353">
        <f>+B10*'Rent Calculation'!F28/12*B16</f>
        <v>7193340</v>
      </c>
      <c r="D10" s="276"/>
      <c r="E10" s="355"/>
      <c r="F10" s="355"/>
    </row>
    <row r="11" spans="1:13">
      <c r="A11" s="274" t="s">
        <v>279</v>
      </c>
      <c r="B11" s="353">
        <f>'Rent Calculation'!F71</f>
        <v>0</v>
      </c>
      <c r="C11" s="353">
        <f>+B11*'Rent Calculation'!F28/12*B16</f>
        <v>0</v>
      </c>
      <c r="D11" s="276"/>
      <c r="E11" s="355"/>
      <c r="F11" s="282"/>
    </row>
    <row r="12" spans="1:13">
      <c r="A12" s="274" t="s">
        <v>297</v>
      </c>
      <c r="B12" s="353">
        <f>+'Rent Calculation'!F69</f>
        <v>500000</v>
      </c>
      <c r="C12" s="353">
        <f>+B12*'Rent Calculation'!F28*3</f>
        <v>157500</v>
      </c>
      <c r="D12" s="276"/>
      <c r="E12" s="355"/>
      <c r="F12" s="282"/>
    </row>
    <row r="13" spans="1:13" ht="13">
      <c r="A13" s="275" t="s">
        <v>29</v>
      </c>
      <c r="B13" s="278">
        <f>SUM(B9:B12)</f>
        <v>11918000</v>
      </c>
      <c r="C13" s="177">
        <f>SUM(C9:C12)</f>
        <v>7350840</v>
      </c>
      <c r="D13" s="283"/>
      <c r="E13" s="355"/>
      <c r="F13" s="282"/>
    </row>
    <row r="14" spans="1:13">
      <c r="A14" s="185" t="s">
        <v>280</v>
      </c>
      <c r="B14" s="185">
        <f>'Rent Calculation'!F21</f>
        <v>9515</v>
      </c>
      <c r="C14" s="185"/>
      <c r="D14" s="277"/>
      <c r="E14" s="355"/>
      <c r="F14" s="282"/>
    </row>
    <row r="15" spans="1:13">
      <c r="A15" s="185" t="s">
        <v>281</v>
      </c>
      <c r="B15" s="378">
        <f>'Rent Calculation'!F28</f>
        <v>0.105</v>
      </c>
      <c r="C15" s="185"/>
      <c r="D15" s="277"/>
      <c r="E15" s="355"/>
      <c r="F15" s="282"/>
    </row>
    <row r="16" spans="1:13">
      <c r="A16" s="185" t="s">
        <v>282</v>
      </c>
      <c r="B16" s="574">
        <f>'Rent Calculation'!F54</f>
        <v>72</v>
      </c>
      <c r="C16" s="185"/>
      <c r="D16" s="277"/>
      <c r="E16" s="355"/>
      <c r="F16" s="282"/>
    </row>
    <row r="17" spans="1:8" ht="13">
      <c r="A17" s="275" t="s">
        <v>283</v>
      </c>
      <c r="B17" s="275"/>
      <c r="C17" s="279">
        <f>C13/(B14*B16)</f>
        <v>10.729900157645822</v>
      </c>
      <c r="D17" s="277"/>
    </row>
    <row r="20" spans="1:8">
      <c r="B20" s="356"/>
    </row>
    <row r="21" spans="1:8">
      <c r="A21" s="407" t="s">
        <v>286</v>
      </c>
      <c r="B21" s="407" t="s">
        <v>287</v>
      </c>
      <c r="C21" s="407" t="s">
        <v>288</v>
      </c>
      <c r="D21" s="406"/>
    </row>
    <row r="22" spans="1:8">
      <c r="A22" s="407" t="s">
        <v>289</v>
      </c>
      <c r="B22" s="354">
        <f>'Rent Calculation'!F21</f>
        <v>9515</v>
      </c>
      <c r="C22" s="495">
        <f>'Rent Calculation'!G21</f>
        <v>883.96506874767749</v>
      </c>
      <c r="D22" s="407" t="s">
        <v>290</v>
      </c>
      <c r="G22" s="454"/>
    </row>
    <row r="23" spans="1:8" ht="25">
      <c r="A23" s="408" t="s">
        <v>291</v>
      </c>
      <c r="B23" s="405">
        <f>IF(B22&lt;50000,82.6,62.72)</f>
        <v>82.6</v>
      </c>
      <c r="C23" s="411">
        <f>B23*10.764</f>
        <v>889.10639999999989</v>
      </c>
      <c r="D23" s="355">
        <f>B22*B23</f>
        <v>785939</v>
      </c>
      <c r="F23" s="356"/>
      <c r="G23" s="454"/>
      <c r="H23" s="356"/>
    </row>
    <row r="24" spans="1:8">
      <c r="A24" s="406"/>
      <c r="B24" s="406"/>
      <c r="C24" s="406"/>
      <c r="D24" s="409">
        <f>D23/B16</f>
        <v>10915.819444444445</v>
      </c>
      <c r="G24" s="454"/>
      <c r="H24" s="356"/>
    </row>
    <row r="25" spans="1:8" ht="13">
      <c r="A25" s="406"/>
      <c r="B25" s="406"/>
      <c r="C25" s="406"/>
      <c r="D25" s="410">
        <f>D24/B22</f>
        <v>1.1472222222222224</v>
      </c>
      <c r="G25" s="454"/>
      <c r="H25" s="356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2026-06-17T03:59:15Z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