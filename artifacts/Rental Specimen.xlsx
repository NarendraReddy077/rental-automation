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3A123D19-52D3-4436-B578-CA13EBFCA27B}" xr6:coauthVersionLast="47" xr6:coauthVersionMax="47" xr10:uidLastSave="{00000000-0000-0000-0000-000000000000}"/>
  <bookViews>
    <workbookView xWindow="-110" yWindow="-110" windowWidth="19420" windowHeight="11500" tabRatio="764" activeTab="2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8" i="2" l="1"/>
  <c r="G117" i="2"/>
  <c r="G118" i="2" s="1"/>
  <c r="C17" i="4"/>
  <c r="D25" i="4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<sst xmlns="http://schemas.openxmlformats.org/spreadsheetml/2006/main" count="554" uniqueCount="335">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</sst>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0" fillId="0" borderId="28" xfId="0" applyBorder="1" applyAlignment="1">
      <alignment horizontal="left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wrapText="1"/>
    </xf>
    <xf numFmtId="0" fontId="6" fillId="8" borderId="8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112" zoomScale="88" zoomScaleNormal="88" workbookViewId="0">
      <selection activeCell="F117" sqref="F117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41"/>
      <c r="C1" s="642"/>
      <c r="D1" s="642"/>
      <c r="E1" s="642"/>
      <c r="F1" s="642"/>
      <c r="G1" s="642"/>
      <c r="H1" s="642"/>
      <c r="I1" s="642"/>
      <c r="J1" s="643"/>
    </row>
    <row r="2" spans="1:10" ht="14.25" customHeight="1">
      <c r="A2" s="51"/>
      <c r="B2" s="644"/>
      <c r="C2" s="645"/>
      <c r="D2" s="645"/>
      <c r="E2" s="645"/>
      <c r="F2" s="645"/>
      <c r="G2" s="645"/>
      <c r="H2" s="645"/>
      <c r="I2" s="645"/>
      <c r="J2" s="646"/>
    </row>
    <row r="3" spans="1:10" ht="15" customHeight="1" thickBot="1">
      <c r="A3" s="51"/>
      <c r="B3" s="647"/>
      <c r="C3" s="648"/>
      <c r="D3" s="648"/>
      <c r="E3" s="648"/>
      <c r="F3" s="648"/>
      <c r="G3" s="648"/>
      <c r="H3" s="648"/>
      <c r="I3" s="645"/>
      <c r="J3" s="646"/>
    </row>
    <row r="4" spans="1:10" ht="13">
      <c r="A4" s="51"/>
      <c r="B4" s="668"/>
      <c r="C4" s="669"/>
      <c r="D4" s="669"/>
      <c r="E4" s="669"/>
      <c r="F4" s="669"/>
      <c r="G4" s="669"/>
      <c r="H4" s="401"/>
      <c r="I4" s="402"/>
      <c r="J4" s="403"/>
    </row>
    <row r="5" spans="1:10" ht="16">
      <c r="A5" s="51"/>
      <c r="B5" s="670" t="s">
        <v>70</v>
      </c>
      <c r="C5" s="671"/>
      <c r="D5" s="671"/>
      <c r="E5" s="671"/>
      <c r="F5" s="671"/>
      <c r="G5" s="672"/>
      <c r="H5" s="404"/>
      <c r="I5" s="481" t="s">
        <v>16</v>
      </c>
      <c r="J5" s="507">
        <v>105.02</v>
      </c>
    </row>
    <row r="6" spans="1:10" ht="13.5" thickBot="1">
      <c r="A6" s="51"/>
      <c r="B6" s="673"/>
      <c r="C6" s="674"/>
      <c r="D6" s="675"/>
      <c r="E6" s="52"/>
      <c r="F6" s="666">
        <v>10.763999999999999</v>
      </c>
      <c r="G6" s="667"/>
      <c r="H6" s="405"/>
      <c r="I6" s="654">
        <v>10.763999999999999</v>
      </c>
      <c r="J6" s="655"/>
    </row>
    <row r="7" spans="1:10" ht="26">
      <c r="A7" s="51"/>
      <c r="B7" s="482" t="s">
        <v>71</v>
      </c>
      <c r="C7" s="676" t="s">
        <v>72</v>
      </c>
      <c r="D7" s="677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600" t="s">
        <v>73</v>
      </c>
      <c r="G8" s="634"/>
      <c r="H8" s="404"/>
      <c r="I8" s="635" t="s">
        <v>67</v>
      </c>
      <c r="J8" s="636"/>
    </row>
    <row r="9" spans="1:10" ht="13">
      <c r="A9" s="51"/>
      <c r="B9" s="635" t="s">
        <v>74</v>
      </c>
      <c r="C9" s="634"/>
      <c r="D9" s="601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49" t="s">
        <v>77</v>
      </c>
      <c r="D10" s="608"/>
      <c r="E10" s="491"/>
      <c r="F10" s="660" t="s">
        <v>299</v>
      </c>
      <c r="G10" s="661"/>
      <c r="H10" s="404"/>
      <c r="I10" s="656" t="str">
        <f>+F10</f>
        <v>Chennai</v>
      </c>
      <c r="J10" s="657"/>
    </row>
    <row r="11" spans="1:10" ht="28.5" customHeight="1">
      <c r="A11" s="51"/>
      <c r="B11" s="162">
        <f>1+B10</f>
        <v>2</v>
      </c>
      <c r="C11" s="650" t="s">
        <v>78</v>
      </c>
      <c r="D11" s="651"/>
      <c r="E11" s="50"/>
      <c r="F11" s="660"/>
      <c r="G11" s="661"/>
      <c r="H11" s="404"/>
      <c r="I11" s="658">
        <f>+F11</f>
        <v>0</v>
      </c>
      <c r="J11" s="659"/>
    </row>
    <row r="12" spans="1:10" ht="27.75" customHeight="1">
      <c r="A12" s="51"/>
      <c r="B12" s="162">
        <f>1+B11</f>
        <v>3</v>
      </c>
      <c r="C12" s="594" t="s">
        <v>79</v>
      </c>
      <c r="D12" s="593"/>
      <c r="E12" s="492"/>
      <c r="F12" s="662"/>
      <c r="G12" s="663"/>
      <c r="H12" s="404"/>
      <c r="I12" s="678">
        <f>+F12</f>
        <v>0</v>
      </c>
      <c r="J12" s="679"/>
    </row>
    <row r="13" spans="1:10" ht="15.9" customHeight="1">
      <c r="A13" s="51"/>
      <c r="B13" s="162">
        <f t="shared" ref="B13:B30" si="0">1+B12</f>
        <v>4</v>
      </c>
      <c r="C13" s="594" t="s">
        <v>80</v>
      </c>
      <c r="D13" s="593"/>
      <c r="E13" s="50"/>
      <c r="F13" s="665"/>
      <c r="G13" s="663"/>
      <c r="H13" s="404"/>
      <c r="I13" s="678"/>
      <c r="J13" s="679"/>
    </row>
    <row r="14" spans="1:10" ht="48" customHeight="1">
      <c r="A14" s="51"/>
      <c r="B14" s="162">
        <f t="shared" si="0"/>
        <v>5</v>
      </c>
      <c r="C14" s="652" t="s">
        <v>81</v>
      </c>
      <c r="D14" s="653"/>
      <c r="E14" s="476"/>
      <c r="F14" s="662" t="s">
        <v>300</v>
      </c>
      <c r="G14" s="664"/>
      <c r="H14" s="404"/>
      <c r="I14" s="678" t="str">
        <f>+F14</f>
        <v>6th floor</v>
      </c>
      <c r="J14" s="679"/>
    </row>
    <row r="15" spans="1:10" ht="51.75" customHeight="1">
      <c r="A15" s="51"/>
      <c r="B15" s="162">
        <f t="shared" si="0"/>
        <v>6</v>
      </c>
      <c r="C15" s="594" t="s">
        <v>82</v>
      </c>
      <c r="D15" s="593"/>
      <c r="E15" s="58"/>
      <c r="F15" s="600"/>
      <c r="G15" s="634"/>
      <c r="H15" s="404"/>
      <c r="I15" s="635">
        <f>+F15</f>
        <v>0</v>
      </c>
      <c r="J15" s="636"/>
    </row>
    <row r="16" spans="1:10" ht="15.9" customHeight="1">
      <c r="A16" s="51"/>
      <c r="B16" s="162">
        <f t="shared" si="0"/>
        <v>7</v>
      </c>
      <c r="C16" s="594" t="s">
        <v>83</v>
      </c>
      <c r="D16" s="593"/>
      <c r="E16" s="58"/>
      <c r="F16" s="665"/>
      <c r="G16" s="663"/>
      <c r="H16" s="404"/>
      <c r="I16" s="678"/>
      <c r="J16" s="679"/>
    </row>
    <row r="17" spans="1:10" ht="15.9" customHeight="1">
      <c r="A17" s="51"/>
      <c r="B17" s="162">
        <f t="shared" si="0"/>
        <v>8</v>
      </c>
      <c r="C17" s="594" t="s">
        <v>84</v>
      </c>
      <c r="D17" s="593"/>
      <c r="E17" s="58"/>
      <c r="F17" s="662" t="s">
        <v>85</v>
      </c>
      <c r="G17" s="663"/>
      <c r="H17" s="404"/>
      <c r="I17" s="678" t="str">
        <f>+F17</f>
        <v>Warm Shell</v>
      </c>
      <c r="J17" s="679"/>
    </row>
    <row r="18" spans="1:10" ht="48" customHeight="1">
      <c r="A18" s="51"/>
      <c r="B18" s="162">
        <f t="shared" si="0"/>
        <v>9</v>
      </c>
      <c r="C18" s="594" t="s">
        <v>86</v>
      </c>
      <c r="D18" s="593"/>
      <c r="E18" s="163"/>
      <c r="F18" s="600">
        <f>F15</f>
        <v>0</v>
      </c>
      <c r="G18" s="634"/>
      <c r="H18" s="404"/>
      <c r="I18" s="635">
        <f>+F18</f>
        <v>0</v>
      </c>
      <c r="J18" s="636"/>
    </row>
    <row r="19" spans="1:10" ht="15.9" customHeight="1">
      <c r="A19" s="51"/>
      <c r="B19" s="162">
        <f t="shared" si="0"/>
        <v>10</v>
      </c>
      <c r="C19" s="594" t="s">
        <v>87</v>
      </c>
      <c r="D19" s="593"/>
      <c r="E19" s="163"/>
      <c r="F19" s="665"/>
      <c r="G19" s="663"/>
      <c r="H19" s="404"/>
      <c r="I19" s="678"/>
      <c r="J19" s="679"/>
    </row>
    <row r="20" spans="1:10" ht="15.9" customHeight="1">
      <c r="A20" s="51"/>
      <c r="B20" s="162">
        <f t="shared" si="0"/>
        <v>11</v>
      </c>
      <c r="C20" s="592" t="s">
        <v>88</v>
      </c>
      <c r="D20" s="593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594" t="s">
        <v>89</v>
      </c>
      <c r="D21" s="593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592" t="s">
        <v>90</v>
      </c>
      <c r="D22" s="593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594" t="s">
        <v>91</v>
      </c>
      <c r="D23" s="593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594" t="s">
        <v>92</v>
      </c>
      <c r="D24" s="593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594" t="s">
        <v>93</v>
      </c>
      <c r="D25" s="593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594" t="s">
        <v>94</v>
      </c>
      <c r="D26" s="593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592" t="s">
        <v>95</v>
      </c>
      <c r="D27" s="593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592" t="s">
        <v>96</v>
      </c>
      <c r="D28" s="593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592" t="s">
        <v>97</v>
      </c>
      <c r="D29" s="593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594" t="s">
        <v>98</v>
      </c>
      <c r="D30" s="593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80" t="s">
        <v>99</v>
      </c>
      <c r="C31" s="681"/>
      <c r="D31" s="682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592" t="s">
        <v>100</v>
      </c>
      <c r="D32" s="593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592" t="s">
        <v>101</v>
      </c>
      <c r="D33" s="593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592" t="s">
        <v>102</v>
      </c>
      <c r="D34" s="593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594" t="s">
        <v>103</v>
      </c>
      <c r="D35" s="593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592" t="s">
        <v>104</v>
      </c>
      <c r="D36" s="593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592" t="s">
        <v>105</v>
      </c>
      <c r="D37" s="593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592" t="s">
        <v>106</v>
      </c>
      <c r="D38" s="593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592" t="s">
        <v>107</v>
      </c>
      <c r="D39" s="593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592" t="s">
        <v>108</v>
      </c>
      <c r="D40" s="593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592" t="s">
        <v>109</v>
      </c>
      <c r="D41" s="593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594" t="s">
        <v>110</v>
      </c>
      <c r="D42" s="593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594" t="s">
        <v>111</v>
      </c>
      <c r="D43" s="593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594" t="s">
        <v>112</v>
      </c>
      <c r="D44" s="593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592" t="s">
        <v>113</v>
      </c>
      <c r="D45" s="593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594" t="s">
        <v>111</v>
      </c>
      <c r="D46" s="593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594" t="s">
        <v>112</v>
      </c>
      <c r="D47" s="593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39">
        <f>1+B47</f>
        <v>17</v>
      </c>
      <c r="C48" s="592" t="s">
        <v>114</v>
      </c>
      <c r="D48" s="593"/>
      <c r="E48" s="73"/>
      <c r="F48" s="685" t="str">
        <f>Main!B14</f>
        <v>15% every 3 years</v>
      </c>
      <c r="G48" s="686"/>
      <c r="H48" s="404"/>
      <c r="I48" s="678" t="str">
        <f>+F48</f>
        <v>15% every 3 years</v>
      </c>
      <c r="J48" s="679"/>
    </row>
    <row r="49" spans="1:18" ht="15.9" customHeight="1">
      <c r="A49" s="51"/>
      <c r="B49" s="640"/>
      <c r="C49" s="592" t="s">
        <v>115</v>
      </c>
      <c r="D49" s="593"/>
      <c r="E49" s="73"/>
      <c r="F49" s="685" t="str">
        <f>Main!B15</f>
        <v>5% every years</v>
      </c>
      <c r="G49" s="686"/>
      <c r="H49" s="404"/>
      <c r="I49" s="683" t="str">
        <f t="shared" ref="I49:I56" si="2">F49</f>
        <v>5% every years</v>
      </c>
      <c r="J49" s="684"/>
    </row>
    <row r="50" spans="1:18" ht="15.9" customHeight="1">
      <c r="A50" s="51"/>
      <c r="B50" s="162">
        <f>1+B48</f>
        <v>18</v>
      </c>
      <c r="C50" s="594" t="s">
        <v>116</v>
      </c>
      <c r="D50" s="593"/>
      <c r="E50" s="73"/>
      <c r="F50" s="630">
        <f>'Lease Rent'!B31</f>
        <v>46023</v>
      </c>
      <c r="G50" s="631"/>
      <c r="H50" s="404"/>
      <c r="I50" s="632">
        <f t="shared" si="2"/>
        <v>46023</v>
      </c>
      <c r="J50" s="633"/>
    </row>
    <row r="51" spans="1:18" ht="15.9" customHeight="1">
      <c r="A51" s="51"/>
      <c r="B51" s="162">
        <f t="shared" ref="B51:B57" si="3">1+B50</f>
        <v>19</v>
      </c>
      <c r="C51" s="592" t="s">
        <v>117</v>
      </c>
      <c r="D51" s="593"/>
      <c r="E51" s="73"/>
      <c r="F51" s="630">
        <f>'Lease Rent'!C102</f>
        <v>48213</v>
      </c>
      <c r="G51" s="631"/>
      <c r="H51" s="404"/>
      <c r="I51" s="632">
        <f>F51</f>
        <v>48213</v>
      </c>
      <c r="J51" s="633"/>
    </row>
    <row r="52" spans="1:18" ht="15.9" customHeight="1">
      <c r="A52" s="51"/>
      <c r="B52" s="162">
        <f t="shared" si="3"/>
        <v>20</v>
      </c>
      <c r="C52" s="592" t="s">
        <v>118</v>
      </c>
      <c r="D52" s="602"/>
      <c r="E52" s="73"/>
      <c r="F52" s="630">
        <f>F50</f>
        <v>46023</v>
      </c>
      <c r="G52" s="631"/>
      <c r="H52" s="404"/>
      <c r="I52" s="632">
        <f t="shared" si="2"/>
        <v>46023</v>
      </c>
      <c r="J52" s="633"/>
    </row>
    <row r="53" spans="1:18" ht="15.9" customHeight="1">
      <c r="A53" s="51"/>
      <c r="B53" s="162">
        <f t="shared" si="3"/>
        <v>21</v>
      </c>
      <c r="C53" s="592" t="s">
        <v>119</v>
      </c>
      <c r="D53" s="602"/>
      <c r="E53" s="73"/>
      <c r="F53" s="600">
        <v>0</v>
      </c>
      <c r="G53" s="634"/>
      <c r="H53" s="404"/>
      <c r="I53" s="635">
        <f>+F53</f>
        <v>0</v>
      </c>
      <c r="J53" s="636"/>
    </row>
    <row r="54" spans="1:18" ht="15.9" customHeight="1">
      <c r="A54" s="51"/>
      <c r="B54" s="162">
        <f t="shared" si="3"/>
        <v>22</v>
      </c>
      <c r="C54" s="594" t="s">
        <v>120</v>
      </c>
      <c r="D54" s="593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594" t="s">
        <v>121</v>
      </c>
      <c r="D55" s="593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594" t="s">
        <v>122</v>
      </c>
      <c r="D56" s="593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594" t="s">
        <v>123</v>
      </c>
      <c r="D57" s="593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600" t="s">
        <v>73</v>
      </c>
      <c r="G58" s="634"/>
      <c r="H58" s="404"/>
      <c r="I58" s="635" t="s">
        <v>67</v>
      </c>
      <c r="J58" s="636"/>
    </row>
    <row r="59" spans="1:18" ht="15.9" customHeight="1">
      <c r="A59" s="51"/>
      <c r="B59" s="637" t="s">
        <v>124</v>
      </c>
      <c r="C59" s="638"/>
      <c r="D59" s="638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592" t="s">
        <v>125</v>
      </c>
      <c r="D60" s="593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592" t="s">
        <v>126</v>
      </c>
      <c r="D61" s="593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595" t="s">
        <v>127</v>
      </c>
      <c r="D62" s="596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592" t="s">
        <v>321</v>
      </c>
      <c r="D63" s="593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592" t="s">
        <v>128</v>
      </c>
      <c r="D64" s="593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594" t="s">
        <v>322</v>
      </c>
      <c r="D65" s="593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594" t="s">
        <v>323</v>
      </c>
      <c r="D66" s="593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594" t="s">
        <v>129</v>
      </c>
      <c r="D67" s="593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594" t="s">
        <v>130</v>
      </c>
      <c r="D68" s="593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592" t="s">
        <v>131</v>
      </c>
      <c r="D69" s="593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594" t="s">
        <v>132</v>
      </c>
      <c r="D70" s="593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594" t="s">
        <v>133</v>
      </c>
      <c r="D71" s="593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594" t="s">
        <v>134</v>
      </c>
      <c r="D72" s="593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592" t="s">
        <v>135</v>
      </c>
      <c r="D73" s="593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699.78</v>
      </c>
      <c r="G74" s="460">
        <v>0</v>
      </c>
      <c r="H74" s="404"/>
      <c r="I74" s="138">
        <f>+F74/J5</f>
        <v>6.6633022281470193</v>
      </c>
      <c r="J74" s="57">
        <f t="shared" si="6"/>
        <v>71.72378518377451</v>
      </c>
    </row>
    <row r="75" spans="1:10" ht="15.9" customHeight="1">
      <c r="A75" s="51"/>
      <c r="B75" s="162">
        <f t="shared" si="4"/>
        <v>16</v>
      </c>
      <c r="C75" s="592" t="s">
        <v>137</v>
      </c>
      <c r="D75" s="593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592" t="s">
        <v>138</v>
      </c>
      <c r="D76" s="593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592" t="s">
        <v>139</v>
      </c>
      <c r="D77" s="593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592" t="s">
        <v>140</v>
      </c>
      <c r="D78" s="593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592" t="s">
        <v>141</v>
      </c>
      <c r="D79" s="593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592" t="s">
        <v>142</v>
      </c>
      <c r="D80" s="593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592" t="s">
        <v>143</v>
      </c>
      <c r="D81" s="602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592" t="s">
        <v>144</v>
      </c>
      <c r="D82" s="593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592" t="s">
        <v>324</v>
      </c>
      <c r="D83" s="593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14" t="s">
        <v>145</v>
      </c>
      <c r="C85" s="615"/>
      <c r="D85" s="616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592" t="s">
        <v>146</v>
      </c>
      <c r="D86" s="593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594" t="s">
        <v>147</v>
      </c>
      <c r="D87" s="593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594" t="s">
        <v>148</v>
      </c>
      <c r="D88" s="593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594" t="s">
        <v>149</v>
      </c>
      <c r="D89" s="593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594" t="s">
        <v>289</v>
      </c>
      <c r="D90" s="593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594" t="s">
        <v>150</v>
      </c>
      <c r="D91" s="593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594" t="s">
        <v>151</v>
      </c>
      <c r="D92" s="593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592" t="s">
        <v>152</v>
      </c>
      <c r="D93" s="593"/>
      <c r="E93" s="71"/>
      <c r="F93" s="66">
        <f>+G93/F6</f>
        <v>21.957509844757084</v>
      </c>
      <c r="G93" s="202">
        <f>(+SUM(G86:G92)+G103)*7%</f>
        <v>236.35063596896524</v>
      </c>
      <c r="H93" s="404"/>
      <c r="I93" s="138">
        <f>+F93/J5</f>
        <v>0.2090793167468776</v>
      </c>
      <c r="J93" s="67">
        <f>I93*I6</f>
        <v>2.2505297654633902</v>
      </c>
      <c r="S93" s="400"/>
      <c r="T93" s="400"/>
    </row>
    <row r="94" spans="1:24" ht="15.9" customHeight="1">
      <c r="A94" s="51"/>
      <c r="B94" s="162">
        <f t="shared" si="7"/>
        <v>8</v>
      </c>
      <c r="C94" s="595" t="s">
        <v>69</v>
      </c>
      <c r="D94" s="596"/>
      <c r="E94" s="78"/>
      <c r="F94" s="213">
        <f>SUM(F86:F93)</f>
        <v>199.26804252733942</v>
      </c>
      <c r="G94" s="54">
        <f>SUM(G86:G93)</f>
        <v>2144.9212097642817</v>
      </c>
      <c r="H94" s="410"/>
      <c r="I94" s="191">
        <f>SUM(I86:I93)</f>
        <v>1.8974294660763611</v>
      </c>
      <c r="J94" s="192">
        <f>SUM(J86:J93)</f>
        <v>20.423930772845949</v>
      </c>
      <c r="S94" s="400"/>
      <c r="T94" s="400"/>
    </row>
    <row r="95" spans="1:24" ht="15.9" customHeight="1">
      <c r="A95" s="51"/>
      <c r="B95" s="381"/>
      <c r="C95" s="634"/>
      <c r="D95" s="634"/>
      <c r="E95" s="84"/>
      <c r="F95" s="85"/>
      <c r="G95" s="85"/>
      <c r="H95" s="404"/>
      <c r="I95" s="140"/>
      <c r="J95" s="86"/>
    </row>
    <row r="96" spans="1:24" ht="15.9" customHeight="1">
      <c r="A96" s="51"/>
      <c r="B96" s="597" t="s">
        <v>153</v>
      </c>
      <c r="C96" s="598"/>
      <c r="D96" s="598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594" t="str">
        <f>+C76</f>
        <v>Siemens Standard Fitout (Existing)</v>
      </c>
      <c r="D97" s="593"/>
      <c r="E97" s="88"/>
      <c r="F97" s="66">
        <v>0</v>
      </c>
      <c r="G97" s="204">
        <f>+F97*F6</f>
        <v>0</v>
      </c>
      <c r="H97" s="404"/>
      <c r="I97" s="133">
        <f>F97/J5</f>
        <v>0</v>
      </c>
      <c r="J97" s="57">
        <f>+I97*I6</f>
        <v>0</v>
      </c>
      <c r="Z97" s="465"/>
    </row>
    <row r="98" spans="1:26" ht="15.9" customHeight="1">
      <c r="A98" s="51"/>
      <c r="B98" s="162">
        <f t="shared" ref="B98:B103" si="8">+B97+1</f>
        <v>2</v>
      </c>
      <c r="C98" s="594" t="str">
        <f>+C77</f>
        <v>Siemens Standard Fitout (New)</v>
      </c>
      <c r="D98" s="593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594" t="str">
        <f>+C78</f>
        <v>Capex over the period of lease period</v>
      </c>
      <c r="D99" s="593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594" t="str">
        <f>+C79</f>
        <v>PM cost over the period of lease period</v>
      </c>
      <c r="D100" s="593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594" t="str">
        <f>+C80</f>
        <v>Asset Retirement Obligation ( Removal &amp; Restoration Obligation)</v>
      </c>
      <c r="D101" s="593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592" t="s">
        <v>154</v>
      </c>
      <c r="D102" s="593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595" t="s">
        <v>155</v>
      </c>
      <c r="D103" s="596"/>
      <c r="E103" s="78"/>
      <c r="F103" s="54">
        <f>SUM(F97:F102)</f>
        <v>136.36817938537592</v>
      </c>
      <c r="G103" s="54">
        <f>SUM(G97:G102)</f>
        <v>1467.8670829041866</v>
      </c>
      <c r="H103" s="404"/>
      <c r="I103" s="139">
        <f>SUM(I97:I102)</f>
        <v>1.2984972327687672</v>
      </c>
      <c r="J103" s="139">
        <f>SUM(J97:J102)</f>
        <v>13.977024213523011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88" t="s">
        <v>156</v>
      </c>
      <c r="C105" s="609"/>
      <c r="D105" s="609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592" t="s">
        <v>69</v>
      </c>
      <c r="D106" s="593"/>
      <c r="E106" s="71"/>
      <c r="F106" s="56">
        <f>+F94</f>
        <v>199.26804252733942</v>
      </c>
      <c r="G106" s="56">
        <f>+G94</f>
        <v>2144.9212097642817</v>
      </c>
      <c r="H106" s="404"/>
      <c r="I106" s="136">
        <f>+I94</f>
        <v>1.8974294660763611</v>
      </c>
      <c r="J106" s="72">
        <f>+J94</f>
        <v>20.423930772845949</v>
      </c>
      <c r="S106" s="400"/>
      <c r="T106" s="400"/>
    </row>
    <row r="107" spans="1:26" ht="15.9" customHeight="1">
      <c r="A107" s="51"/>
      <c r="B107" s="162">
        <f>+B106+1</f>
        <v>2</v>
      </c>
      <c r="C107" s="592" t="s">
        <v>155</v>
      </c>
      <c r="D107" s="602"/>
      <c r="E107" s="71"/>
      <c r="F107" s="56">
        <f>+F103</f>
        <v>136.36817938537592</v>
      </c>
      <c r="G107" s="388">
        <f>+G103</f>
        <v>1467.8670829041866</v>
      </c>
      <c r="H107" s="404"/>
      <c r="I107" s="136">
        <f>+I103</f>
        <v>1.2984972327687672</v>
      </c>
      <c r="J107" s="72">
        <f>+J103</f>
        <v>13.977024213523011</v>
      </c>
      <c r="S107" s="400"/>
      <c r="W107" s="463"/>
    </row>
    <row r="108" spans="1:26" ht="15.9" customHeight="1">
      <c r="A108" s="77"/>
      <c r="B108" s="162">
        <f>+B107+1</f>
        <v>3</v>
      </c>
      <c r="C108" s="595" t="s">
        <v>157</v>
      </c>
      <c r="D108" s="596"/>
      <c r="E108" s="78"/>
      <c r="F108" s="54">
        <f>SUM(F106:F107)</f>
        <v>335.63622191271531</v>
      </c>
      <c r="G108" s="54">
        <f>SUM(G106:G107)</f>
        <v>3612.7882926684683</v>
      </c>
      <c r="H108" s="404"/>
      <c r="I108" s="191">
        <f>SUM(I106:I107)</f>
        <v>3.1959266988451285</v>
      </c>
      <c r="J108" s="82">
        <f>SUM(J106:J107)</f>
        <v>34.400954986368959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597" t="s">
        <v>158</v>
      </c>
      <c r="C109" s="598"/>
      <c r="D109" s="598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592" t="s">
        <v>159</v>
      </c>
      <c r="D110" s="602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592" t="s">
        <v>160</v>
      </c>
      <c r="D111" s="602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592" t="s">
        <v>161</v>
      </c>
      <c r="D112" s="602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592" t="s">
        <v>162</v>
      </c>
      <c r="D113" s="602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592" t="s">
        <v>163</v>
      </c>
      <c r="D114" s="602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592" t="s">
        <v>164</v>
      </c>
      <c r="D115" s="602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592" t="s">
        <v>165</v>
      </c>
      <c r="D116" s="602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592" t="s">
        <v>166</v>
      </c>
      <c r="D117" s="593"/>
      <c r="E117" s="252"/>
      <c r="F117" s="360">
        <v>654</v>
      </c>
      <c r="G117" s="207">
        <f>F117*I6</f>
        <v>7039.6559999999999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592" t="s">
        <v>167</v>
      </c>
      <c r="D118" s="602"/>
      <c r="E118" s="252"/>
      <c r="F118" s="90">
        <f>F117*7%</f>
        <v>45.78</v>
      </c>
      <c r="G118" s="90">
        <f>G117*7%</f>
        <v>492.77592000000004</v>
      </c>
      <c r="H118" s="404"/>
      <c r="I118" s="156">
        <f>+F118/$J$5</f>
        <v>0.43591696819653403</v>
      </c>
      <c r="J118" s="131">
        <f>+I118*I6</f>
        <v>4.6922102456674919</v>
      </c>
    </row>
    <row r="119" spans="1:26" ht="15.9" customHeight="1">
      <c r="A119" s="77"/>
      <c r="B119" s="162">
        <f t="shared" si="9"/>
        <v>10</v>
      </c>
      <c r="C119" s="595" t="s">
        <v>168</v>
      </c>
      <c r="D119" s="596"/>
      <c r="E119" s="253"/>
      <c r="F119" s="54">
        <f>SUM(F110:F118)</f>
        <v>699.78</v>
      </c>
      <c r="G119" s="385">
        <f>SUM(G110:G118)</f>
        <v>7532.43192</v>
      </c>
      <c r="H119" s="404"/>
      <c r="I119" s="191">
        <f>SUM(I110:I118)</f>
        <v>6.6633022281470202</v>
      </c>
      <c r="J119" s="82">
        <f>G119/$J$5</f>
        <v>71.723785183774524</v>
      </c>
      <c r="S119" s="400"/>
      <c r="T119" s="400"/>
      <c r="U119" s="400"/>
    </row>
    <row r="120" spans="1:26" ht="15.9" customHeight="1">
      <c r="A120" s="77"/>
      <c r="B120" s="162"/>
      <c r="C120" s="600"/>
      <c r="D120" s="601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597" t="s">
        <v>169</v>
      </c>
      <c r="C121" s="598"/>
      <c r="D121" s="598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592" t="s">
        <v>170</v>
      </c>
      <c r="D122" s="602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595" t="s">
        <v>171</v>
      </c>
      <c r="D123" s="596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600"/>
      <c r="D124" s="601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597" t="s">
        <v>172</v>
      </c>
      <c r="C125" s="598"/>
      <c r="D125" s="598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592" t="s">
        <v>173</v>
      </c>
      <c r="D126" s="602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592" t="s">
        <v>174</v>
      </c>
      <c r="D127" s="602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592" t="s">
        <v>175</v>
      </c>
      <c r="D128" s="602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592" t="s">
        <v>176</v>
      </c>
      <c r="D129" s="602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592" t="s">
        <v>177</v>
      </c>
      <c r="D130" s="602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592" t="s">
        <v>178</v>
      </c>
      <c r="D131" s="602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595" t="s">
        <v>179</v>
      </c>
      <c r="D132" s="596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34"/>
      <c r="D133" s="601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597" t="s">
        <v>180</v>
      </c>
      <c r="C134" s="598"/>
      <c r="D134" s="598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595" t="s">
        <v>181</v>
      </c>
      <c r="D135" s="596"/>
      <c r="E135" s="78"/>
      <c r="F135" s="54">
        <f>F119+F108+F123+F132</f>
        <v>1035.4162219127152</v>
      </c>
      <c r="G135" s="385">
        <f>G119+G108+G123+G132</f>
        <v>11145.220212668468</v>
      </c>
      <c r="H135" s="404"/>
      <c r="I135" s="191">
        <f>I119+I108+I123+I132</f>
        <v>9.8592289269921487</v>
      </c>
      <c r="J135" s="192">
        <f>J119+J108+J123+J132</f>
        <v>106.12474017014348</v>
      </c>
      <c r="S135" s="408"/>
      <c r="T135" s="406"/>
    </row>
    <row r="136" spans="1:20" ht="15.9" customHeight="1">
      <c r="A136" s="77"/>
      <c r="B136" s="162"/>
      <c r="C136" s="600"/>
      <c r="D136" s="601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600" t="s">
        <v>73</v>
      </c>
      <c r="G137" s="634"/>
      <c r="H137" s="404"/>
      <c r="I137" s="635" t="s">
        <v>67</v>
      </c>
      <c r="J137" s="636"/>
    </row>
    <row r="138" spans="1:20" ht="15.9" hidden="1" customHeight="1">
      <c r="A138" s="51"/>
      <c r="B138" s="597" t="s">
        <v>182</v>
      </c>
      <c r="C138" s="598"/>
      <c r="D138" s="599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03"/>
      <c r="D139" s="604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592" t="s">
        <v>183</v>
      </c>
      <c r="D140" s="593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594" t="s">
        <v>184</v>
      </c>
      <c r="D141" s="593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594" t="s">
        <v>185</v>
      </c>
      <c r="D142" s="593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592" t="s">
        <v>186</v>
      </c>
      <c r="D143" s="593"/>
      <c r="E143" s="73"/>
      <c r="F143" s="56">
        <f>F108</f>
        <v>335.63622191271531</v>
      </c>
      <c r="G143" s="388">
        <f>+G108</f>
        <v>3612.7882926684683</v>
      </c>
      <c r="H143" s="404"/>
      <c r="I143" s="133">
        <f>I108</f>
        <v>3.1959266988451285</v>
      </c>
      <c r="J143" s="72">
        <f>+J108</f>
        <v>34.400954986368959</v>
      </c>
    </row>
    <row r="144" spans="1:20" ht="15.9" hidden="1" customHeight="1">
      <c r="A144" s="51"/>
      <c r="B144" s="91"/>
      <c r="C144" s="622" t="s">
        <v>187</v>
      </c>
      <c r="D144" s="623"/>
      <c r="E144" s="92"/>
      <c r="F144" s="93">
        <f>F119</f>
        <v>699.78</v>
      </c>
      <c r="G144" s="208">
        <f>G119</f>
        <v>7532.43192</v>
      </c>
      <c r="H144" s="404"/>
      <c r="I144" s="141">
        <f>I119</f>
        <v>6.6633022281470202</v>
      </c>
      <c r="J144" s="130">
        <f>J119</f>
        <v>71.723785183774524</v>
      </c>
    </row>
    <row r="145" spans="1:10" ht="15.9" hidden="1" customHeight="1">
      <c r="A145" s="77"/>
      <c r="B145" s="162"/>
      <c r="C145" s="595" t="s">
        <v>188</v>
      </c>
      <c r="D145" s="596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597" t="s">
        <v>189</v>
      </c>
      <c r="C147" s="598"/>
      <c r="D147" s="599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603"/>
      <c r="D148" s="604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594" t="s">
        <v>191</v>
      </c>
      <c r="D149" s="593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594" t="s">
        <v>192</v>
      </c>
      <c r="D150" s="593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594" t="s">
        <v>193</v>
      </c>
      <c r="D151" s="593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594" t="s">
        <v>194</v>
      </c>
      <c r="D152" s="593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592" t="s">
        <v>195</v>
      </c>
      <c r="D153" s="593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592" t="s">
        <v>196</v>
      </c>
      <c r="D154" s="593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03"/>
      <c r="D155" s="604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597" t="s">
        <v>197</v>
      </c>
      <c r="C156" s="598"/>
      <c r="D156" s="599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603"/>
      <c r="D157" s="604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620" t="s">
        <v>198</v>
      </c>
      <c r="D158" s="621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592" t="s">
        <v>199</v>
      </c>
      <c r="D159" s="602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592" t="s">
        <v>200</v>
      </c>
      <c r="D160" s="602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595" t="s">
        <v>29</v>
      </c>
      <c r="D161" s="596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03"/>
      <c r="D162" s="604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14" t="s">
        <v>201</v>
      </c>
      <c r="C163" s="615"/>
      <c r="D163" s="616"/>
      <c r="E163" s="687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617"/>
      <c r="C164" s="618"/>
      <c r="D164" s="619"/>
      <c r="E164" s="607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603"/>
      <c r="D165" s="604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605" t="str">
        <f>+C106</f>
        <v>Net Rent I</v>
      </c>
      <c r="D166" s="606"/>
      <c r="E166" s="59"/>
      <c r="F166" s="56">
        <f>+F106</f>
        <v>199.26804252733942</v>
      </c>
      <c r="G166" s="388">
        <f>+G106</f>
        <v>2144.9212097642817</v>
      </c>
      <c r="H166" s="404"/>
      <c r="I166" s="136">
        <f>+I106</f>
        <v>1.8974294660763611</v>
      </c>
      <c r="J166" s="67">
        <f>+J106</f>
        <v>20.423930772845949</v>
      </c>
      <c r="T166" s="409"/>
    </row>
    <row r="167" spans="1:22" ht="15.9" customHeight="1">
      <c r="A167" s="107"/>
      <c r="B167" s="99"/>
      <c r="C167" s="605" t="str">
        <f>+C107</f>
        <v>Net Rent II</v>
      </c>
      <c r="D167" s="606"/>
      <c r="E167" s="59"/>
      <c r="F167" s="56">
        <f>+F107</f>
        <v>136.36817938537592</v>
      </c>
      <c r="G167" s="388">
        <f>+G107</f>
        <v>1467.8670829041866</v>
      </c>
      <c r="H167" s="404"/>
      <c r="I167" s="136">
        <f>+I107</f>
        <v>1.2984972327687672</v>
      </c>
      <c r="J167" s="67">
        <f>+J107</f>
        <v>13.977024213523011</v>
      </c>
      <c r="T167" s="409"/>
    </row>
    <row r="168" spans="1:22" ht="15.9" customHeight="1">
      <c r="A168" s="107"/>
      <c r="B168" s="147"/>
      <c r="C168" s="610" t="s">
        <v>202</v>
      </c>
      <c r="D168" s="611"/>
      <c r="E168" s="148"/>
      <c r="F168" s="149">
        <f>SUM(F166:F167)</f>
        <v>335.63622191271531</v>
      </c>
      <c r="G168" s="211">
        <f>SUM(G166:G167)</f>
        <v>3612.7882926684683</v>
      </c>
      <c r="H168" s="212"/>
      <c r="I168" s="234">
        <f>SUM(I166:I167)</f>
        <v>3.1959266988451285</v>
      </c>
      <c r="J168" s="214">
        <f>SUM(J166:J167)</f>
        <v>34.400954986368959</v>
      </c>
      <c r="T168" s="409"/>
      <c r="V168" s="409"/>
    </row>
    <row r="169" spans="1:22" ht="15.9" customHeight="1">
      <c r="A169" s="107"/>
      <c r="B169" s="162"/>
      <c r="C169" s="612"/>
      <c r="D169" s="613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605" t="str">
        <f>+C119</f>
        <v xml:space="preserve">OpEx I </v>
      </c>
      <c r="D170" s="606"/>
      <c r="E170" s="59"/>
      <c r="F170" s="56">
        <f>+F119</f>
        <v>699.78</v>
      </c>
      <c r="G170" s="56">
        <f>+G119</f>
        <v>7532.43192</v>
      </c>
      <c r="H170" s="404"/>
      <c r="I170" s="136">
        <f>F170/J5</f>
        <v>6.6633022281470193</v>
      </c>
      <c r="J170" s="67">
        <f>G170/J5</f>
        <v>71.723785183774524</v>
      </c>
      <c r="T170" s="409"/>
    </row>
    <row r="171" spans="1:22" ht="15.9" customHeight="1">
      <c r="A171" s="107"/>
      <c r="B171" s="99"/>
      <c r="C171" s="605" t="str">
        <f>+C123</f>
        <v xml:space="preserve">OpEx II </v>
      </c>
      <c r="D171" s="606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10" t="s">
        <v>203</v>
      </c>
      <c r="D172" s="611"/>
      <c r="E172" s="151"/>
      <c r="F172" s="152">
        <f>SUM(F170:F171)</f>
        <v>699.78</v>
      </c>
      <c r="G172" s="278">
        <f>SUM(G170:G171)</f>
        <v>7532.43192</v>
      </c>
      <c r="H172" s="413"/>
      <c r="I172" s="153">
        <f>SUM(I170:I171)</f>
        <v>6.6633022281470193</v>
      </c>
      <c r="J172" s="247">
        <f>SUM(J170:J171)</f>
        <v>71.723785183774524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605" t="str">
        <f>+C132</f>
        <v xml:space="preserve">Services </v>
      </c>
      <c r="D174" s="606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10" t="s">
        <v>204</v>
      </c>
      <c r="D175" s="611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03"/>
      <c r="D176" s="604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10" t="s">
        <v>205</v>
      </c>
      <c r="D177" s="611"/>
      <c r="E177" s="154"/>
      <c r="F177" s="149">
        <f>+F168+F172+F175</f>
        <v>1035.4162219127152</v>
      </c>
      <c r="G177" s="211">
        <f>+G168+G172+G175</f>
        <v>11145.220212668468</v>
      </c>
      <c r="H177" s="415"/>
      <c r="I177" s="234">
        <f>+I168+I172+I175</f>
        <v>9.8592289269921487</v>
      </c>
      <c r="J177" s="214">
        <f>+J168+J172+J175</f>
        <v>106.12474017014348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597" t="s">
        <v>206</v>
      </c>
      <c r="C179" s="598"/>
      <c r="D179" s="599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603"/>
      <c r="D180" s="604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594" t="s">
        <v>207</v>
      </c>
      <c r="D181" s="593"/>
      <c r="E181" s="100"/>
      <c r="F181" s="101"/>
      <c r="G181" s="209">
        <f>+G168*G21</f>
        <v>3193578.651499487</v>
      </c>
      <c r="H181" s="404"/>
      <c r="I181" s="143"/>
      <c r="J181" s="102">
        <f>+G181/$J$5</f>
        <v>30409.242539511401</v>
      </c>
    </row>
    <row r="182" spans="1:19" ht="15.9" customHeight="1">
      <c r="A182" s="107"/>
      <c r="B182" s="99"/>
      <c r="C182" s="592" t="s">
        <v>208</v>
      </c>
      <c r="D182" s="593"/>
      <c r="E182" s="100"/>
      <c r="F182" s="101"/>
      <c r="G182" s="209">
        <f>+G172*G21</f>
        <v>6658406.7000000002</v>
      </c>
      <c r="H182" s="404"/>
      <c r="I182" s="143"/>
      <c r="J182" s="102">
        <f>+G182/$J$5</f>
        <v>63401.320700818898</v>
      </c>
    </row>
    <row r="183" spans="1:19" ht="15.9" customHeight="1">
      <c r="A183" s="107"/>
      <c r="B183" s="99"/>
      <c r="C183" s="592" t="s">
        <v>209</v>
      </c>
      <c r="D183" s="602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592" t="s">
        <v>210</v>
      </c>
      <c r="D184" s="593"/>
      <c r="E184" s="100"/>
      <c r="F184" s="101"/>
      <c r="G184" s="209">
        <f>SUM(G181:G183)</f>
        <v>9851985.3514994867</v>
      </c>
      <c r="H184" s="404"/>
      <c r="I184" s="143"/>
      <c r="J184" s="102">
        <f>SUM(J181:J183)</f>
        <v>93810.563240330303</v>
      </c>
    </row>
    <row r="185" spans="1:19" ht="15.9" customHeight="1">
      <c r="A185" s="107"/>
      <c r="B185" s="99"/>
      <c r="C185" s="592" t="s">
        <v>211</v>
      </c>
      <c r="D185" s="593"/>
      <c r="E185" s="100"/>
      <c r="F185" s="101"/>
      <c r="G185" s="209">
        <f>+G184*12</f>
        <v>118223824.21799384</v>
      </c>
      <c r="H185" s="404"/>
      <c r="I185" s="143"/>
      <c r="J185" s="102">
        <f>+J184*12</f>
        <v>1125726.7588839636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27" t="s">
        <v>212</v>
      </c>
      <c r="C187" s="628"/>
      <c r="D187" s="628"/>
      <c r="E187" s="628"/>
      <c r="F187" s="628"/>
      <c r="G187" s="628"/>
      <c r="H187" s="628"/>
      <c r="I187" s="628"/>
      <c r="J187" s="629"/>
    </row>
    <row r="188" spans="1:19" ht="15.9" customHeight="1">
      <c r="A188" s="51"/>
      <c r="B188" s="164"/>
      <c r="C188" s="607" t="s">
        <v>213</v>
      </c>
      <c r="D188" s="607"/>
      <c r="E188" s="378"/>
      <c r="F188" s="378" t="s">
        <v>190</v>
      </c>
      <c r="G188" s="168" t="s">
        <v>190</v>
      </c>
      <c r="H188" s="624"/>
      <c r="I188" s="229" t="s">
        <v>67</v>
      </c>
      <c r="J188" s="230" t="s">
        <v>67</v>
      </c>
    </row>
    <row r="189" spans="1:19" ht="15.9" customHeight="1">
      <c r="A189" s="51"/>
      <c r="B189" s="162"/>
      <c r="C189" s="594" t="s">
        <v>214</v>
      </c>
      <c r="D189" s="593"/>
      <c r="E189" s="163"/>
      <c r="F189" s="163"/>
      <c r="G189" s="102">
        <f>+G20</f>
        <v>0</v>
      </c>
      <c r="H189" s="625"/>
      <c r="I189" s="162"/>
      <c r="J189" s="102">
        <f>+G189/J5</f>
        <v>0</v>
      </c>
    </row>
    <row r="190" spans="1:19" ht="15.9" customHeight="1">
      <c r="A190" s="51"/>
      <c r="B190" s="162"/>
      <c r="C190" s="594" t="s">
        <v>215</v>
      </c>
      <c r="D190" s="593"/>
      <c r="E190" s="163"/>
      <c r="F190" s="163"/>
      <c r="G190" s="102">
        <f>+G189*G23</f>
        <v>0</v>
      </c>
      <c r="H190" s="625"/>
      <c r="I190" s="162"/>
      <c r="J190" s="102">
        <f>+J189*J23</f>
        <v>0</v>
      </c>
    </row>
    <row r="191" spans="1:19" ht="15.9" customHeight="1">
      <c r="A191" s="51"/>
      <c r="B191" s="162"/>
      <c r="C191" s="608" t="s">
        <v>216</v>
      </c>
      <c r="D191" s="608"/>
      <c r="E191" s="163"/>
      <c r="F191" s="163"/>
      <c r="G191" s="102">
        <f>+G190*25%</f>
        <v>0</v>
      </c>
      <c r="H191" s="625"/>
      <c r="I191" s="162"/>
      <c r="J191" s="102">
        <f>+J190*25%</f>
        <v>0</v>
      </c>
    </row>
    <row r="192" spans="1:19" ht="15.9" customHeight="1">
      <c r="A192" s="51"/>
      <c r="B192" s="162"/>
      <c r="C192" s="592" t="s">
        <v>217</v>
      </c>
      <c r="D192" s="593"/>
      <c r="E192" s="163"/>
      <c r="F192" s="163"/>
      <c r="G192" s="102">
        <f>+G191*1%</f>
        <v>0</v>
      </c>
      <c r="H192" s="625"/>
      <c r="I192" s="162"/>
      <c r="J192" s="102">
        <f>G192/J5</f>
        <v>0</v>
      </c>
    </row>
    <row r="193" spans="1:20" ht="15.9" customHeight="1">
      <c r="A193" s="51"/>
      <c r="B193" s="162"/>
      <c r="C193" s="592" t="s">
        <v>218</v>
      </c>
      <c r="D193" s="593"/>
      <c r="E193" s="163"/>
      <c r="F193" s="163"/>
      <c r="G193" s="102">
        <f>G192*0.5</f>
        <v>0</v>
      </c>
      <c r="H193" s="625"/>
      <c r="I193" s="162"/>
      <c r="J193" s="102">
        <f>G193/J5</f>
        <v>0</v>
      </c>
    </row>
    <row r="194" spans="1:20" ht="15.9" customHeight="1" thickBot="1">
      <c r="A194" s="51"/>
      <c r="B194" s="162"/>
      <c r="C194" s="608" t="s">
        <v>219</v>
      </c>
      <c r="D194" s="608"/>
      <c r="E194" s="163"/>
      <c r="F194" s="163"/>
      <c r="G194" s="110">
        <f>G82</f>
        <v>565315.30184775486</v>
      </c>
      <c r="H194" s="625"/>
      <c r="I194" s="162"/>
      <c r="J194" s="110">
        <f>+J192+J193</f>
        <v>0</v>
      </c>
    </row>
    <row r="195" spans="1:20" ht="15.9" customHeight="1">
      <c r="A195" s="166"/>
      <c r="B195" s="382"/>
      <c r="C195" s="609"/>
      <c r="D195" s="609"/>
      <c r="E195" s="379"/>
      <c r="F195" s="379" t="s">
        <v>190</v>
      </c>
      <c r="G195" s="53" t="s">
        <v>190</v>
      </c>
      <c r="H195" s="625"/>
      <c r="I195" s="229" t="s">
        <v>67</v>
      </c>
      <c r="J195" s="230" t="s">
        <v>67</v>
      </c>
    </row>
    <row r="196" spans="1:20" ht="15.9" customHeight="1">
      <c r="A196" s="74"/>
      <c r="B196" s="99"/>
      <c r="C196" s="594" t="s">
        <v>220</v>
      </c>
      <c r="D196" s="593"/>
      <c r="E196" s="58"/>
      <c r="F196" s="50"/>
      <c r="G196" s="102">
        <f>+G54</f>
        <v>72</v>
      </c>
      <c r="H196" s="625"/>
      <c r="I196" s="91"/>
      <c r="J196" s="102">
        <f>+J54</f>
        <v>72</v>
      </c>
    </row>
    <row r="197" spans="1:20" ht="15.9" customHeight="1">
      <c r="A197" s="74"/>
      <c r="B197" s="99"/>
      <c r="C197" s="594" t="s">
        <v>221</v>
      </c>
      <c r="D197" s="593"/>
      <c r="E197" s="58"/>
      <c r="F197" s="50"/>
      <c r="G197" s="102">
        <f>F140</f>
        <v>9515</v>
      </c>
      <c r="H197" s="625"/>
      <c r="I197" s="91"/>
      <c r="J197" s="102">
        <f>I140</f>
        <v>9515</v>
      </c>
    </row>
    <row r="198" spans="1:20" ht="15.9" customHeight="1">
      <c r="A198" s="120"/>
      <c r="B198" s="99"/>
      <c r="C198" s="594" t="s">
        <v>222</v>
      </c>
      <c r="D198" s="593"/>
      <c r="E198" s="58"/>
      <c r="F198" s="50"/>
      <c r="G198" s="111">
        <f>+F60</f>
        <v>129</v>
      </c>
      <c r="H198" s="625"/>
      <c r="I198" s="91"/>
      <c r="J198" s="111">
        <f>+I60</f>
        <v>1.228337459531518</v>
      </c>
    </row>
    <row r="199" spans="1:20" ht="15.9" customHeight="1">
      <c r="A199" s="74"/>
      <c r="B199" s="99"/>
      <c r="C199" s="594" t="s">
        <v>222</v>
      </c>
      <c r="D199" s="593"/>
      <c r="E199" s="58"/>
      <c r="F199" s="50"/>
      <c r="G199" s="102">
        <f>(G197*G198*G196)</f>
        <v>88375320</v>
      </c>
      <c r="H199" s="625"/>
      <c r="I199" s="91"/>
      <c r="J199" s="102">
        <f>+G199/$J$5</f>
        <v>841509.42677585222</v>
      </c>
    </row>
    <row r="200" spans="1:20" ht="15.9" customHeight="1">
      <c r="A200" s="74"/>
      <c r="B200" s="99"/>
      <c r="C200" s="594" t="s">
        <v>223</v>
      </c>
      <c r="D200" s="593"/>
      <c r="E200" s="58"/>
      <c r="F200" s="50"/>
      <c r="G200" s="102">
        <f>G199/G196*12</f>
        <v>14729220</v>
      </c>
      <c r="H200" s="625"/>
      <c r="I200" s="91"/>
      <c r="J200" s="102">
        <f>+G200/$J$5</f>
        <v>140251.57112930872</v>
      </c>
    </row>
    <row r="201" spans="1:20" ht="15.9" customHeight="1">
      <c r="A201" s="74"/>
      <c r="B201" s="99"/>
      <c r="C201" s="594" t="s">
        <v>224</v>
      </c>
      <c r="D201" s="593"/>
      <c r="E201" s="58"/>
      <c r="F201" s="50"/>
      <c r="G201" s="102">
        <f>(+G220*115%)/5</f>
        <v>3026339.9999999995</v>
      </c>
      <c r="H201" s="625"/>
      <c r="I201" s="91"/>
      <c r="J201" s="102">
        <f>+G201/$J$5</f>
        <v>28816.796800609405</v>
      </c>
    </row>
    <row r="202" spans="1:20" ht="15.9" customHeight="1">
      <c r="A202" s="74"/>
      <c r="B202" s="99"/>
      <c r="C202" s="594" t="s">
        <v>225</v>
      </c>
      <c r="D202" s="593"/>
      <c r="E202" s="58"/>
      <c r="F202" s="50"/>
      <c r="G202" s="102">
        <f>(+I220*115%)/5</f>
        <v>2765157.6185172233</v>
      </c>
      <c r="H202" s="625"/>
      <c r="I202" s="91"/>
      <c r="J202" s="102">
        <f>+G202/$J$5</f>
        <v>26329.819258400526</v>
      </c>
    </row>
    <row r="203" spans="1:20" ht="15.9" customHeight="1">
      <c r="A203" s="74"/>
      <c r="B203" s="99"/>
      <c r="C203" s="594" t="s">
        <v>36</v>
      </c>
      <c r="D203" s="593"/>
      <c r="E203" s="58"/>
      <c r="F203" s="50"/>
      <c r="G203" s="102">
        <f>+G67</f>
        <v>11418000</v>
      </c>
      <c r="H203" s="625"/>
      <c r="I203" s="91"/>
      <c r="J203" s="102">
        <f>+G203/$J$5</f>
        <v>108722.14816225482</v>
      </c>
    </row>
    <row r="204" spans="1:20" ht="15.9" customHeight="1">
      <c r="A204" s="74"/>
      <c r="B204" s="99"/>
      <c r="C204" s="592" t="s">
        <v>226</v>
      </c>
      <c r="D204" s="593"/>
      <c r="E204" s="58"/>
      <c r="F204" s="50"/>
      <c r="G204" s="102">
        <f>(G200+G201+G202+G203)*1.18</f>
        <v>37687686.789850324</v>
      </c>
      <c r="H204" s="625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592" t="s">
        <v>227</v>
      </c>
      <c r="D205" s="593"/>
      <c r="E205" s="58"/>
      <c r="F205" s="50"/>
      <c r="G205" s="102">
        <f>G204*1%</f>
        <v>376876.86789850326</v>
      </c>
      <c r="H205" s="625"/>
      <c r="I205" s="91"/>
      <c r="J205" s="102">
        <f>J204*1%</f>
        <v>3041.2033535057349</v>
      </c>
    </row>
    <row r="206" spans="1:20" ht="15.9" customHeight="1">
      <c r="A206" s="74"/>
      <c r="B206" s="99"/>
      <c r="C206" s="594" t="s">
        <v>228</v>
      </c>
      <c r="D206" s="593"/>
      <c r="E206" s="58"/>
      <c r="F206" s="50"/>
      <c r="G206" s="102">
        <f>G204*0.5%</f>
        <v>188438.43394925163</v>
      </c>
      <c r="H206" s="625"/>
      <c r="I206" s="91"/>
      <c r="J206" s="102">
        <f>J204*0.5%</f>
        <v>1520.6016767528674</v>
      </c>
    </row>
    <row r="207" spans="1:20" ht="15.9" customHeight="1">
      <c r="A207" s="74"/>
      <c r="B207" s="99"/>
      <c r="C207" s="595" t="s">
        <v>219</v>
      </c>
      <c r="D207" s="596"/>
      <c r="E207" s="58"/>
      <c r="F207" s="50"/>
      <c r="G207" s="102">
        <f>G205+G206</f>
        <v>565315.30184775486</v>
      </c>
      <c r="H207" s="625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25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25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25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25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25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25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25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588">
        <f>'Lease Rent'!P99</f>
        <v>2345999.9999999995</v>
      </c>
      <c r="H215" s="625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588">
        <f>'Lease Rent'!P103</f>
        <v>781999.99999999988</v>
      </c>
      <c r="H216" s="625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25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25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25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26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abSelected="1" topLeftCell="B7" zoomScale="112" zoomScaleNormal="112" workbookViewId="0">
      <selection activeCell="I26" sqref="I26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68"/>
      <c r="B2" s="669"/>
      <c r="C2" s="669"/>
      <c r="D2" s="669"/>
      <c r="E2" s="669"/>
      <c r="F2" s="669"/>
      <c r="G2" s="669"/>
      <c r="H2" s="669"/>
      <c r="I2" s="669"/>
      <c r="J2" s="669"/>
      <c r="K2" s="669"/>
      <c r="L2" s="669"/>
      <c r="M2" s="669"/>
      <c r="N2" s="669"/>
      <c r="O2" s="669"/>
      <c r="P2" s="669"/>
      <c r="Q2" s="669"/>
      <c r="R2" s="669"/>
      <c r="S2" s="669"/>
      <c r="T2" s="669"/>
      <c r="U2" s="669"/>
      <c r="V2" s="669"/>
      <c r="W2" s="669"/>
      <c r="X2" s="669"/>
      <c r="Y2" s="669"/>
      <c r="Z2" s="669"/>
      <c r="AA2" s="693"/>
    </row>
    <row r="3" spans="1:27" ht="11.25" customHeight="1">
      <c r="A3" s="694"/>
      <c r="B3" s="695"/>
      <c r="C3" s="695"/>
      <c r="D3" s="695"/>
      <c r="E3" s="695"/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  <c r="AA3" s="696"/>
    </row>
    <row r="4" spans="1:27" ht="12" customHeight="1" thickBot="1">
      <c r="A4" s="697"/>
      <c r="B4" s="698"/>
      <c r="C4" s="698"/>
      <c r="D4" s="698"/>
      <c r="E4" s="698"/>
      <c r="F4" s="698"/>
      <c r="G4" s="698"/>
      <c r="H4" s="698"/>
      <c r="I4" s="698"/>
      <c r="J4" s="698"/>
      <c r="K4" s="698"/>
      <c r="L4" s="698"/>
      <c r="M4" s="698"/>
      <c r="N4" s="698"/>
      <c r="O4" s="698"/>
      <c r="P4" s="698"/>
      <c r="Q4" s="698"/>
      <c r="R4" s="698"/>
      <c r="S4" s="698"/>
      <c r="T4" s="698"/>
      <c r="U4" s="698"/>
      <c r="V4" s="698"/>
      <c r="W4" s="698"/>
      <c r="X4" s="698"/>
      <c r="Y4" s="698"/>
      <c r="Z4" s="698"/>
      <c r="AA4" s="699"/>
    </row>
    <row r="5" spans="1:27" ht="12.75" customHeight="1">
      <c r="A5" s="668" t="s">
        <v>0</v>
      </c>
      <c r="B5" s="669"/>
      <c r="C5" s="669"/>
      <c r="D5" s="669"/>
      <c r="E5" s="669"/>
      <c r="F5" s="669"/>
      <c r="G5" s="669"/>
      <c r="H5" s="669"/>
      <c r="I5" s="669"/>
      <c r="J5" s="669"/>
      <c r="K5" s="669"/>
      <c r="L5" s="669"/>
      <c r="M5" s="669"/>
      <c r="N5" s="669"/>
      <c r="O5" s="669"/>
      <c r="P5" s="669"/>
      <c r="Q5" s="669"/>
      <c r="R5" s="669"/>
      <c r="S5" s="669"/>
      <c r="T5" s="669"/>
      <c r="U5" s="669"/>
      <c r="V5" s="669"/>
      <c r="W5" s="669"/>
      <c r="X5" s="669"/>
      <c r="Y5" s="669"/>
      <c r="Z5" s="669"/>
      <c r="AA5" s="693"/>
    </row>
    <row r="6" spans="1:27" ht="13.5" customHeight="1">
      <c r="A6" s="700"/>
      <c r="B6" s="701"/>
      <c r="C6" s="701"/>
      <c r="D6" s="701"/>
      <c r="E6" s="701"/>
      <c r="F6" s="701"/>
      <c r="G6" s="701"/>
      <c r="H6" s="701"/>
      <c r="I6" s="701"/>
      <c r="J6" s="701"/>
      <c r="K6" s="701"/>
      <c r="L6" s="701"/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  <c r="AA6" s="702"/>
    </row>
    <row r="7" spans="1:27" ht="13.5" customHeight="1" thickBot="1">
      <c r="A7" s="703" t="s">
        <v>296</v>
      </c>
      <c r="B7" s="704"/>
      <c r="C7" s="704"/>
      <c r="D7" s="704"/>
      <c r="E7" s="704"/>
      <c r="F7" s="704"/>
      <c r="G7" s="704"/>
      <c r="H7" s="704"/>
      <c r="I7" s="704"/>
      <c r="J7" s="704"/>
      <c r="K7" s="704"/>
      <c r="L7" s="704"/>
      <c r="M7" s="704"/>
      <c r="N7" s="704"/>
      <c r="O7" s="704"/>
      <c r="P7" s="705"/>
      <c r="Q7" s="705"/>
      <c r="R7" s="705"/>
      <c r="S7" s="705"/>
      <c r="T7" s="705"/>
      <c r="U7" s="705"/>
      <c r="V7" s="705"/>
      <c r="W7" s="705"/>
      <c r="X7" s="705"/>
      <c r="Y7" s="705"/>
      <c r="Z7" s="705"/>
      <c r="AA7" s="706"/>
    </row>
    <row r="8" spans="1:27" ht="12.75" customHeight="1" thickBot="1">
      <c r="A8" s="707" t="s">
        <v>1</v>
      </c>
      <c r="B8" s="708"/>
      <c r="C8" s="708"/>
      <c r="D8" s="708"/>
      <c r="E8" s="708"/>
      <c r="F8" s="708"/>
      <c r="G8" s="708"/>
      <c r="H8" s="708"/>
      <c r="I8" s="708"/>
      <c r="J8" s="708"/>
      <c r="K8" s="708"/>
      <c r="L8" s="708"/>
      <c r="M8" s="708"/>
      <c r="N8" s="709"/>
      <c r="O8" s="6"/>
      <c r="P8" s="707" t="s">
        <v>2</v>
      </c>
      <c r="Q8" s="708"/>
      <c r="R8" s="708"/>
      <c r="S8" s="708"/>
      <c r="T8" s="708"/>
      <c r="U8" s="708"/>
      <c r="V8" s="708"/>
      <c r="W8" s="708"/>
      <c r="X8" s="708"/>
      <c r="Y8" s="708"/>
      <c r="Z8" s="708"/>
      <c r="AA8" s="710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590">
        <f>+H31/1000000</f>
        <v>1.8436589195408826</v>
      </c>
      <c r="I32" s="157"/>
      <c r="J32" s="157"/>
      <c r="K32" s="157"/>
      <c r="L32" s="157"/>
      <c r="M32" s="36"/>
      <c r="N32" s="590">
        <f>+N31/1000000</f>
        <v>1.4601854336242732</v>
      </c>
      <c r="P32" s="28"/>
      <c r="Q32" s="29" t="s">
        <v>47</v>
      </c>
      <c r="R32" s="30" t="s">
        <v>52</v>
      </c>
      <c r="T32" s="690" t="s">
        <v>53</v>
      </c>
      <c r="U32" s="691"/>
      <c r="V32" s="692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591">
        <f>+H32+H34</f>
        <v>1.8436589195408826</v>
      </c>
      <c r="I36" s="160"/>
      <c r="J36" s="160"/>
      <c r="K36" s="160"/>
      <c r="L36" s="160"/>
      <c r="M36" s="3"/>
      <c r="N36" s="591">
        <f>+N32+N34</f>
        <v>1.4601854336242732</v>
      </c>
      <c r="P36" s="689"/>
      <c r="Q36" s="689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11" t="s">
        <v>29</v>
      </c>
      <c r="C11" s="711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12" t="s">
        <v>256</v>
      </c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  <c r="N1" s="714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12"/>
      <c r="B35" s="713"/>
      <c r="C35" s="713"/>
      <c r="D35" s="713"/>
      <c r="E35" s="713"/>
      <c r="F35" s="713"/>
      <c r="G35" s="713"/>
      <c r="H35" s="713"/>
      <c r="I35" s="713"/>
      <c r="J35" s="713"/>
      <c r="K35" s="713"/>
      <c r="L35" s="713"/>
      <c r="M35" s="713"/>
      <c r="N35" s="713"/>
      <c r="O35" s="714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5"/>
      <c r="B92" s="716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6"/>
      <c r="O92" s="717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589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2026-06-13T05:56:59Z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