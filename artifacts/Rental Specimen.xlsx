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comments1.xml" ContentType="application/vnd.openxmlformats-officedocument.spreadsheetml.comments+xml"/>
  <Override PartName="/xl/printerSettings/printerSettings2.bin" ContentType="application/vnd.openxmlformats-officedocument.spreadsheetml.printerSettings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printerSettings/printerSettings6.bin" ContentType="application/vnd.openxmlformats-officedocument.spreadsheetml.printerSettings"/>
  <Override PartName="/xl/comments2.xml" ContentType="application/vnd.openxmlformats-officedocument.spreadsheetml.comments+xml"/>
  <Override PartName="/xl/printerSettings/printerSettings7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4df5r\Documents\rental-automation\artifacts\"/>
    </mc:Choice>
  </mc:AlternateContent>
  <xr:revisionPtr revIDLastSave="0" documentId="13_ncr:1_{0ACDA933-39BE-4FA4-AE9E-256859DEA466}" xr6:coauthVersionLast="47" xr6:coauthVersionMax="47" xr10:uidLastSave="{00000000-0000-0000-0000-000000000000}"/>
  <bookViews>
    <workbookView xWindow="-110" yWindow="-110" windowWidth="19420" windowHeight="11500" tabRatio="764" firstSheet="1" activeTab="2" xr2:uid="{00000000-000D-0000-FFFF-FFFF00000000}"/>
  </bookViews>
  <sheets>
    <sheet name="Summary" sheetId="16" state="hidden" r:id="rId1"/>
    <sheet name="Main" sheetId="26" r:id="rId2"/>
    <sheet name="Rent Calculation" sheetId="2" r:id="rId3"/>
    <sheet name="Lease Size" sheetId="1" r:id="rId4"/>
    <sheet name="FOREX" sheetId="24" state="hidden" r:id="rId5"/>
    <sheet name="ROU_WORKING" sheetId="23" state="hidden" r:id="rId6"/>
    <sheet name="FY wise Rental" sheetId="18" state="hidden" r:id="rId7"/>
    <sheet name="Lease Rent" sheetId="11" r:id="rId8"/>
    <sheet name="LARS working" sheetId="20" state="hidden" r:id="rId9"/>
    <sheet name="CAPEX and PM" sheetId="3" r:id="rId10"/>
    <sheet name="Security Deposit" sheetId="4" r:id="rId11"/>
    <sheet name="Opex" sheetId="19" state="hidden" r:id="rId12"/>
  </sheets>
  <definedNames>
    <definedName name="NC_ARO_Carrying_Amount">#REF!</definedName>
    <definedName name="PBBT_Intern_Projektabrechnung_Caption" hidden="1">#REF!</definedName>
    <definedName name="_xlnm.Print_Area" localSheetId="2">'Rent Calculation'!$A$1:$R$222</definedName>
    <definedName name="_xlnm.Print_Titles" localSheetId="2">'Rent Calculation'!$1:$6</definedName>
    <definedName name="Waehrung">#REF!</definedName>
  </definedNames>
  <calcPr calcId="191028" concurrentManualCount="12"/>
  <pivotCaches>
    <pivotCache cacheId="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0" i="2" l="1"/>
  <c r="F49" i="2"/>
  <c r="H67" i="11"/>
  <c r="H66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39" i="11"/>
  <c r="H40" i="11" s="1"/>
  <c r="H41" i="11" s="1"/>
  <c r="H42" i="11" s="1"/>
  <c r="H43" i="11" s="1"/>
  <c r="H44" i="11" s="1"/>
  <c r="H45" i="11" s="1"/>
  <c r="H46" i="11" s="1"/>
  <c r="H47" i="11" s="1"/>
  <c r="H48" i="11" s="1"/>
  <c r="H49" i="11" s="1"/>
  <c r="H50" i="11" s="1"/>
  <c r="H51" i="11" s="1"/>
  <c r="H52" i="11" s="1"/>
  <c r="H53" i="11" s="1"/>
  <c r="H35" i="11"/>
  <c r="H36" i="11" s="1"/>
  <c r="H37" i="11" s="1"/>
  <c r="H38" i="11" s="1"/>
  <c r="H34" i="11"/>
  <c r="H33" i="11"/>
  <c r="H32" i="11"/>
  <c r="H31" i="11"/>
  <c r="F33" i="2"/>
  <c r="F30" i="2"/>
  <c r="F29" i="2"/>
  <c r="F21" i="2"/>
  <c r="H26" i="1"/>
  <c r="F11" i="1"/>
  <c r="E20" i="1"/>
  <c r="E21" i="1"/>
  <c r="E19" i="1"/>
  <c r="E18" i="1"/>
  <c r="E17" i="1"/>
  <c r="E16" i="1"/>
  <c r="E15" i="1"/>
  <c r="E14" i="1"/>
  <c r="E13" i="1"/>
  <c r="E12" i="1"/>
  <c r="D10" i="1"/>
  <c r="D11" i="1" s="1"/>
  <c r="V41" i="1" l="1"/>
  <c r="V42" i="1"/>
  <c r="V40" i="1"/>
  <c r="V37" i="1"/>
  <c r="V36" i="1"/>
  <c r="V35" i="1"/>
  <c r="Y17" i="1"/>
  <c r="Y16" i="1"/>
  <c r="X16" i="1"/>
  <c r="Z17" i="1"/>
  <c r="Z16" i="1"/>
  <c r="Z15" i="1"/>
  <c r="X15" i="1"/>
  <c r="X17" i="1"/>
  <c r="W16" i="1"/>
  <c r="W17" i="1"/>
  <c r="V16" i="1"/>
  <c r="V15" i="1"/>
  <c r="V17" i="1"/>
  <c r="U16" i="1"/>
  <c r="U17" i="1"/>
  <c r="T16" i="1"/>
  <c r="T15" i="1"/>
  <c r="T17" i="1"/>
  <c r="S16" i="1"/>
  <c r="S15" i="1"/>
  <c r="S17" i="1"/>
  <c r="R17" i="1"/>
  <c r="R16" i="1"/>
  <c r="R15" i="1"/>
  <c r="Q17" i="1"/>
  <c r="Q16" i="1"/>
  <c r="Q9" i="1"/>
  <c r="T9" i="1"/>
  <c r="F20" i="1"/>
  <c r="F19" i="1"/>
  <c r="F18" i="1"/>
  <c r="F17" i="1"/>
  <c r="F16" i="1"/>
  <c r="F15" i="1"/>
  <c r="F14" i="1"/>
  <c r="F13" i="1"/>
  <c r="F10" i="1"/>
  <c r="B21" i="1"/>
  <c r="B20" i="1"/>
  <c r="B19" i="1"/>
  <c r="B62" i="2"/>
  <c r="I62" i="2"/>
  <c r="J62" i="2"/>
  <c r="O103" i="11"/>
  <c r="O99" i="11"/>
  <c r="O87" i="11"/>
  <c r="O75" i="11"/>
  <c r="O51" i="11"/>
  <c r="O63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L62" i="3"/>
  <c r="K62" i="3"/>
  <c r="J62" i="3"/>
  <c r="B61" i="3"/>
  <c r="K63" i="3"/>
  <c r="K87" i="3" s="1"/>
  <c r="B60" i="3"/>
  <c r="I87" i="3"/>
  <c r="H87" i="3"/>
  <c r="G87" i="3"/>
  <c r="H22" i="3"/>
  <c r="H21" i="3"/>
  <c r="N27" i="3"/>
  <c r="M27" i="3"/>
  <c r="L27" i="3"/>
  <c r="K27" i="3"/>
  <c r="J27" i="3"/>
  <c r="I27" i="3"/>
  <c r="H27" i="3"/>
  <c r="G27" i="3"/>
  <c r="F22" i="3"/>
  <c r="F21" i="3"/>
  <c r="B19" i="3"/>
  <c r="K19" i="3"/>
  <c r="H19" i="3"/>
  <c r="G19" i="3"/>
  <c r="N18" i="3"/>
  <c r="N19" i="3" s="1"/>
  <c r="M18" i="3"/>
  <c r="M19" i="3" s="1"/>
  <c r="L18" i="3"/>
  <c r="L19" i="3" s="1"/>
  <c r="K18" i="3"/>
  <c r="J18" i="3"/>
  <c r="J19" i="3" s="1"/>
  <c r="I18" i="3"/>
  <c r="I19" i="3" s="1"/>
  <c r="H18" i="3"/>
  <c r="G18" i="3"/>
  <c r="N6" i="3"/>
  <c r="N7" i="3" s="1"/>
  <c r="M6" i="3"/>
  <c r="M7" i="3" s="1"/>
  <c r="E9" i="3"/>
  <c r="B13" i="3" s="1"/>
  <c r="B37" i="3"/>
  <c r="E70" i="3"/>
  <c r="E71" i="3"/>
  <c r="O67" i="3"/>
  <c r="O68" i="3"/>
  <c r="N67" i="3"/>
  <c r="N68" i="3"/>
  <c r="M67" i="3"/>
  <c r="M68" i="3"/>
  <c r="L67" i="3"/>
  <c r="L68" i="3"/>
  <c r="O62" i="3"/>
  <c r="O63" i="3" s="1"/>
  <c r="O87" i="3" s="1"/>
  <c r="O89" i="3" s="1"/>
  <c r="N62" i="3"/>
  <c r="N63" i="3" s="1"/>
  <c r="N87" i="3" s="1"/>
  <c r="M62" i="3"/>
  <c r="M63" i="3"/>
  <c r="M87" i="3" s="1"/>
  <c r="E65" i="3"/>
  <c r="E60" i="3"/>
  <c r="E61" i="3" s="1"/>
  <c r="O57" i="3"/>
  <c r="O58" i="3"/>
  <c r="N57" i="3"/>
  <c r="N58" i="3"/>
  <c r="M57" i="3"/>
  <c r="M58" i="3"/>
  <c r="E55" i="3"/>
  <c r="K57" i="3"/>
  <c r="K58" i="3"/>
  <c r="O52" i="3"/>
  <c r="O53" i="3"/>
  <c r="N52" i="3"/>
  <c r="N53" i="3"/>
  <c r="M52" i="3"/>
  <c r="M53" i="3"/>
  <c r="E50" i="3"/>
  <c r="L52" i="3"/>
  <c r="L53" i="3"/>
  <c r="O47" i="3"/>
  <c r="O48" i="3"/>
  <c r="N47" i="3"/>
  <c r="N48" i="3"/>
  <c r="M47" i="3"/>
  <c r="M48" i="3"/>
  <c r="E45" i="3"/>
  <c r="L47" i="3"/>
  <c r="O42" i="3"/>
  <c r="O43" i="3"/>
  <c r="N42" i="3"/>
  <c r="N43" i="3"/>
  <c r="M42" i="3"/>
  <c r="M43" i="3"/>
  <c r="E40" i="3"/>
  <c r="L57" i="3"/>
  <c r="L58" i="3"/>
  <c r="I52" i="3"/>
  <c r="I53" i="3"/>
  <c r="J52" i="3"/>
  <c r="J53" i="3"/>
  <c r="K52" i="3"/>
  <c r="K53" i="3"/>
  <c r="J57" i="3"/>
  <c r="J58" i="3"/>
  <c r="B6" i="26"/>
  <c r="C3" i="26"/>
  <c r="J31" i="11"/>
  <c r="H68" i="11"/>
  <c r="H69" i="11" s="1"/>
  <c r="L32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E10" i="19"/>
  <c r="D10" i="19"/>
  <c r="C10" i="19"/>
  <c r="E7" i="19"/>
  <c r="D7" i="19"/>
  <c r="C7" i="19"/>
  <c r="E6" i="19"/>
  <c r="D6" i="19"/>
  <c r="C6" i="19"/>
  <c r="B6" i="19"/>
  <c r="F25" i="19"/>
  <c r="G25" i="19"/>
  <c r="AB5" i="19"/>
  <c r="AC5" i="19"/>
  <c r="AD5" i="19"/>
  <c r="AE5" i="19"/>
  <c r="AE20" i="19"/>
  <c r="Z20" i="19"/>
  <c r="U20" i="19"/>
  <c r="F20" i="19"/>
  <c r="K20" i="19"/>
  <c r="P20" i="19"/>
  <c r="O12" i="19"/>
  <c r="N12" i="19"/>
  <c r="S12" i="19"/>
  <c r="X12" i="19"/>
  <c r="AC12" i="19"/>
  <c r="M12" i="19"/>
  <c r="R12" i="19"/>
  <c r="W12" i="19"/>
  <c r="AB12" i="19"/>
  <c r="L12" i="19"/>
  <c r="Q12" i="19"/>
  <c r="O11" i="19"/>
  <c r="T11" i="19"/>
  <c r="Y11" i="19"/>
  <c r="N11" i="19"/>
  <c r="S11" i="19"/>
  <c r="X11" i="19"/>
  <c r="AC11" i="19"/>
  <c r="M11" i="19"/>
  <c r="R11" i="19"/>
  <c r="W11" i="19"/>
  <c r="AB11" i="19"/>
  <c r="L11" i="19"/>
  <c r="O10" i="19"/>
  <c r="T10" i="19"/>
  <c r="Y10" i="19"/>
  <c r="AD10" i="19"/>
  <c r="N10" i="19"/>
  <c r="S10" i="19"/>
  <c r="X10" i="19"/>
  <c r="AC10" i="19"/>
  <c r="M10" i="19"/>
  <c r="R10" i="19"/>
  <c r="W10" i="19"/>
  <c r="AB10" i="19"/>
  <c r="L10" i="19"/>
  <c r="Q10" i="19"/>
  <c r="O9" i="19"/>
  <c r="T9" i="19"/>
  <c r="Y9" i="19"/>
  <c r="AD9" i="19"/>
  <c r="N9" i="19"/>
  <c r="S9" i="19"/>
  <c r="X9" i="19"/>
  <c r="AC9" i="19"/>
  <c r="M9" i="19"/>
  <c r="R9" i="19"/>
  <c r="W9" i="19"/>
  <c r="L9" i="19"/>
  <c r="Q9" i="19"/>
  <c r="V9" i="19"/>
  <c r="AA9" i="19"/>
  <c r="O8" i="19"/>
  <c r="T8" i="19"/>
  <c r="Y8" i="19"/>
  <c r="AD8" i="19"/>
  <c r="N8" i="19"/>
  <c r="S8" i="19"/>
  <c r="M8" i="19"/>
  <c r="R8" i="19"/>
  <c r="W8" i="19"/>
  <c r="AB8" i="19"/>
  <c r="L8" i="19"/>
  <c r="Q8" i="19"/>
  <c r="V8" i="19"/>
  <c r="O7" i="19"/>
  <c r="T7" i="19"/>
  <c r="Y7" i="19"/>
  <c r="N7" i="19"/>
  <c r="S7" i="19"/>
  <c r="M7" i="19"/>
  <c r="R7" i="19"/>
  <c r="L7" i="19"/>
  <c r="Q7" i="19"/>
  <c r="O6" i="19"/>
  <c r="N6" i="19"/>
  <c r="S6" i="19"/>
  <c r="X6" i="19"/>
  <c r="AC6" i="19"/>
  <c r="M6" i="19"/>
  <c r="R6" i="19"/>
  <c r="W6" i="19"/>
  <c r="AB6" i="19"/>
  <c r="L6" i="19"/>
  <c r="Q6" i="19"/>
  <c r="J13" i="19"/>
  <c r="I13" i="19"/>
  <c r="H13" i="19"/>
  <c r="G13" i="19"/>
  <c r="K12" i="19"/>
  <c r="K11" i="19"/>
  <c r="K10" i="19"/>
  <c r="K9" i="19"/>
  <c r="K8" i="19"/>
  <c r="K7" i="19"/>
  <c r="K6" i="19"/>
  <c r="P11" i="19"/>
  <c r="O13" i="19"/>
  <c r="P12" i="19"/>
  <c r="P8" i="19"/>
  <c r="K13" i="19"/>
  <c r="T12" i="19"/>
  <c r="Y12" i="19"/>
  <c r="AD12" i="19"/>
  <c r="P6" i="19"/>
  <c r="P9" i="19"/>
  <c r="Q11" i="19"/>
  <c r="U11" i="19"/>
  <c r="L13" i="19"/>
  <c r="M13" i="19"/>
  <c r="N13" i="19"/>
  <c r="T6" i="19"/>
  <c r="Y6" i="19"/>
  <c r="AD6" i="19"/>
  <c r="R13" i="19"/>
  <c r="W7" i="19"/>
  <c r="S13" i="19"/>
  <c r="X7" i="19"/>
  <c r="Z9" i="19"/>
  <c r="AB9" i="19"/>
  <c r="AE9" i="19"/>
  <c r="AD11" i="19"/>
  <c r="U7" i="19"/>
  <c r="V7" i="19"/>
  <c r="U10" i="19"/>
  <c r="V10" i="19"/>
  <c r="AD7" i="19"/>
  <c r="AA8" i="19"/>
  <c r="P7" i="19"/>
  <c r="U8" i="19"/>
  <c r="P10" i="19"/>
  <c r="X8" i="19"/>
  <c r="AC8" i="19"/>
  <c r="V6" i="19"/>
  <c r="V12" i="19"/>
  <c r="U9" i="19"/>
  <c r="Q13" i="19"/>
  <c r="Y13" i="19"/>
  <c r="V11" i="19"/>
  <c r="AA11" i="19"/>
  <c r="AE11" i="19"/>
  <c r="AD13" i="19"/>
  <c r="U6" i="19"/>
  <c r="P13" i="19"/>
  <c r="T13" i="19"/>
  <c r="AE8" i="19"/>
  <c r="Z8" i="19"/>
  <c r="U12" i="19"/>
  <c r="U13" i="19"/>
  <c r="E26" i="19"/>
  <c r="X13" i="19"/>
  <c r="AC7" i="19"/>
  <c r="AC13" i="19"/>
  <c r="AA12" i="19"/>
  <c r="AE12" i="19"/>
  <c r="Z12" i="19"/>
  <c r="W13" i="19"/>
  <c r="AB7" i="19"/>
  <c r="AB13" i="19"/>
  <c r="Z6" i="19"/>
  <c r="AA6" i="19"/>
  <c r="Z10" i="19"/>
  <c r="AA10" i="19"/>
  <c r="AE10" i="19"/>
  <c r="Z7" i="19"/>
  <c r="AA7" i="19"/>
  <c r="Z11" i="19"/>
  <c r="Z13" i="19"/>
  <c r="F26" i="19"/>
  <c r="V13" i="19"/>
  <c r="AE6" i="19"/>
  <c r="AA13" i="19"/>
  <c r="AE7" i="19"/>
  <c r="AE13" i="19"/>
  <c r="G26" i="19"/>
  <c r="B95" i="3"/>
  <c r="F51" i="2"/>
  <c r="I51" i="2" s="1"/>
  <c r="F39" i="2"/>
  <c r="G39" i="2" s="1"/>
  <c r="J33" i="11"/>
  <c r="J34" i="11" s="1"/>
  <c r="A33" i="11"/>
  <c r="J35" i="20"/>
  <c r="J34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B33" i="20"/>
  <c r="C33" i="20"/>
  <c r="J25" i="20"/>
  <c r="K25" i="20"/>
  <c r="F31" i="20"/>
  <c r="F32" i="20"/>
  <c r="E31" i="20"/>
  <c r="E32" i="20"/>
  <c r="F33" i="20"/>
  <c r="E33" i="20"/>
  <c r="F141" i="2"/>
  <c r="G141" i="2" s="1"/>
  <c r="K33" i="20"/>
  <c r="L33" i="20"/>
  <c r="G21" i="2"/>
  <c r="C22" i="4" s="1"/>
  <c r="M33" i="20"/>
  <c r="I57" i="3"/>
  <c r="I58" i="3"/>
  <c r="B51" i="3"/>
  <c r="B46" i="3"/>
  <c r="G119" i="2"/>
  <c r="J20" i="20"/>
  <c r="I47" i="3"/>
  <c r="I48" i="3"/>
  <c r="K47" i="3"/>
  <c r="K48" i="3"/>
  <c r="J47" i="3"/>
  <c r="J48" i="3"/>
  <c r="H47" i="3"/>
  <c r="H48" i="3"/>
  <c r="J72" i="20"/>
  <c r="J66" i="20"/>
  <c r="J60" i="20"/>
  <c r="J54" i="20"/>
  <c r="J48" i="20"/>
  <c r="J47" i="20"/>
  <c r="J46" i="20"/>
  <c r="J45" i="20"/>
  <c r="J44" i="20"/>
  <c r="J43" i="20"/>
  <c r="J42" i="20"/>
  <c r="L24" i="20"/>
  <c r="L23" i="20"/>
  <c r="O19" i="20"/>
  <c r="O18" i="20"/>
  <c r="N19" i="20"/>
  <c r="N18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J41" i="20"/>
  <c r="J40" i="20"/>
  <c r="J39" i="20"/>
  <c r="J38" i="20"/>
  <c r="J37" i="20"/>
  <c r="J36" i="20"/>
  <c r="K32" i="20"/>
  <c r="L32" i="20"/>
  <c r="K31" i="20"/>
  <c r="L31" i="20"/>
  <c r="K30" i="20"/>
  <c r="L30" i="20"/>
  <c r="C30" i="20"/>
  <c r="B31" i="20"/>
  <c r="C31" i="20"/>
  <c r="B32" i="20"/>
  <c r="C32" i="20"/>
  <c r="B34" i="20"/>
  <c r="C34" i="20"/>
  <c r="B35" i="20"/>
  <c r="C35" i="20"/>
  <c r="B36" i="20"/>
  <c r="C36" i="20"/>
  <c r="B37" i="20"/>
  <c r="C37" i="20"/>
  <c r="B38" i="20"/>
  <c r="C38" i="20"/>
  <c r="B39" i="20"/>
  <c r="C39" i="20"/>
  <c r="B40" i="20"/>
  <c r="C40" i="20"/>
  <c r="B41" i="20"/>
  <c r="C41" i="20"/>
  <c r="B42" i="20"/>
  <c r="C42" i="20"/>
  <c r="B43" i="20"/>
  <c r="C43" i="20"/>
  <c r="B44" i="20"/>
  <c r="C44" i="20"/>
  <c r="B45" i="20"/>
  <c r="C45" i="20"/>
  <c r="B46" i="20"/>
  <c r="C46" i="20"/>
  <c r="B47" i="20"/>
  <c r="C47" i="20"/>
  <c r="B48" i="20"/>
  <c r="C48" i="20"/>
  <c r="B49" i="20"/>
  <c r="C49" i="20"/>
  <c r="B50" i="20"/>
  <c r="C50" i="20"/>
  <c r="B51" i="20"/>
  <c r="C51" i="20"/>
  <c r="B52" i="20"/>
  <c r="C52" i="20"/>
  <c r="B53" i="20"/>
  <c r="C53" i="20"/>
  <c r="B54" i="20"/>
  <c r="C54" i="20"/>
  <c r="B55" i="20"/>
  <c r="C55" i="20"/>
  <c r="B56" i="20"/>
  <c r="C56" i="20"/>
  <c r="B57" i="20"/>
  <c r="C57" i="20"/>
  <c r="B58" i="20"/>
  <c r="C58" i="20"/>
  <c r="B59" i="20"/>
  <c r="C59" i="20"/>
  <c r="B60" i="20"/>
  <c r="C60" i="20"/>
  <c r="B61" i="20"/>
  <c r="C61" i="20"/>
  <c r="B62" i="20"/>
  <c r="C62" i="20"/>
  <c r="B63" i="20"/>
  <c r="C63" i="20"/>
  <c r="B64" i="20"/>
  <c r="C64" i="20"/>
  <c r="B65" i="20"/>
  <c r="C65" i="20"/>
  <c r="B66" i="20"/>
  <c r="C66" i="20"/>
  <c r="B67" i="20"/>
  <c r="C67" i="20"/>
  <c r="B68" i="20"/>
  <c r="C68" i="20"/>
  <c r="B69" i="20"/>
  <c r="C69" i="20"/>
  <c r="B70" i="20"/>
  <c r="C70" i="20"/>
  <c r="B71" i="20"/>
  <c r="C71" i="20"/>
  <c r="B72" i="20"/>
  <c r="C72" i="20"/>
  <c r="B73" i="20"/>
  <c r="C73" i="20"/>
  <c r="B74" i="20"/>
  <c r="C74" i="20"/>
  <c r="B75" i="20"/>
  <c r="C75" i="20"/>
  <c r="B76" i="20"/>
  <c r="C76" i="20"/>
  <c r="B77" i="20"/>
  <c r="C77" i="20"/>
  <c r="B78" i="20"/>
  <c r="C78" i="20"/>
  <c r="B79" i="20"/>
  <c r="C79" i="20"/>
  <c r="B80" i="20"/>
  <c r="C80" i="20"/>
  <c r="B81" i="20"/>
  <c r="C81" i="20"/>
  <c r="B82" i="20"/>
  <c r="C82" i="20"/>
  <c r="B83" i="20"/>
  <c r="C83" i="20"/>
  <c r="K17" i="20"/>
  <c r="K18" i="20"/>
  <c r="K19" i="20"/>
  <c r="K20" i="20"/>
  <c r="K21" i="20"/>
  <c r="K22" i="20"/>
  <c r="J17" i="20"/>
  <c r="J18" i="20"/>
  <c r="J19" i="20"/>
  <c r="E16" i="20"/>
  <c r="E17" i="20"/>
  <c r="I3" i="20"/>
  <c r="D16" i="20"/>
  <c r="Q15" i="20"/>
  <c r="E15" i="20"/>
  <c r="Q14" i="20"/>
  <c r="E14" i="20"/>
  <c r="B8" i="20"/>
  <c r="D8" i="20"/>
  <c r="P7" i="20"/>
  <c r="P8" i="20"/>
  <c r="P9" i="20"/>
  <c r="P10" i="20"/>
  <c r="B7" i="20"/>
  <c r="D7" i="20"/>
  <c r="D6" i="20"/>
  <c r="B6" i="20"/>
  <c r="P5" i="20"/>
  <c r="P6" i="20"/>
  <c r="D5" i="20"/>
  <c r="B5" i="20"/>
  <c r="P4" i="20"/>
  <c r="B4" i="20"/>
  <c r="D4" i="20"/>
  <c r="P3" i="20"/>
  <c r="J3" i="20"/>
  <c r="J4" i="20"/>
  <c r="E3" i="20"/>
  <c r="S3" i="20" s="1"/>
  <c r="D3" i="20"/>
  <c r="I5" i="20"/>
  <c r="I4" i="20"/>
  <c r="M32" i="20"/>
  <c r="M31" i="20"/>
  <c r="M30" i="20"/>
  <c r="J21" i="20"/>
  <c r="J22" i="20"/>
  <c r="M3" i="20"/>
  <c r="J5" i="20"/>
  <c r="M4" i="20"/>
  <c r="L1" i="20"/>
  <c r="N46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" i="20"/>
  <c r="I7" i="20"/>
  <c r="R6" i="20"/>
  <c r="R3" i="20"/>
  <c r="R5" i="20"/>
  <c r="R8" i="20"/>
  <c r="R4" i="20"/>
  <c r="R7" i="20"/>
  <c r="M5" i="20"/>
  <c r="J6" i="20"/>
  <c r="N58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9" i="20"/>
  <c r="J7" i="20"/>
  <c r="M6" i="20"/>
  <c r="I8" i="20"/>
  <c r="N70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N83" i="20"/>
  <c r="J8" i="20"/>
  <c r="M7" i="20"/>
  <c r="R9" i="20"/>
  <c r="I10" i="20"/>
  <c r="N82" i="20"/>
  <c r="N84" i="20"/>
  <c r="I84" i="20"/>
  <c r="J9" i="20"/>
  <c r="M8" i="20"/>
  <c r="R10" i="20"/>
  <c r="R11" i="20"/>
  <c r="J10" i="20"/>
  <c r="M9" i="20"/>
  <c r="J49" i="20"/>
  <c r="M10" i="20"/>
  <c r="J50" i="20"/>
  <c r="J51" i="20"/>
  <c r="J52" i="20"/>
  <c r="J53" i="20"/>
  <c r="J55" i="20"/>
  <c r="J56" i="20"/>
  <c r="J57" i="20"/>
  <c r="J58" i="20"/>
  <c r="J59" i="20"/>
  <c r="J61" i="20"/>
  <c r="J62" i="20"/>
  <c r="J63" i="20"/>
  <c r="J64" i="20"/>
  <c r="J65" i="20"/>
  <c r="J67" i="20"/>
  <c r="J68" i="20"/>
  <c r="J69" i="20"/>
  <c r="J70" i="20"/>
  <c r="J71" i="20"/>
  <c r="J73" i="20"/>
  <c r="J74" i="20"/>
  <c r="J75" i="20"/>
  <c r="J76" i="20"/>
  <c r="J77" i="20"/>
  <c r="J78" i="20"/>
  <c r="J79" i="20"/>
  <c r="J80" i="20"/>
  <c r="J81" i="20"/>
  <c r="J82" i="20"/>
  <c r="J83" i="20"/>
  <c r="D3" i="11"/>
  <c r="D26" i="19"/>
  <c r="C26" i="19"/>
  <c r="E13" i="19"/>
  <c r="D13" i="19"/>
  <c r="C13" i="19"/>
  <c r="B13" i="19"/>
  <c r="F11" i="19"/>
  <c r="F10" i="19"/>
  <c r="F9" i="19"/>
  <c r="F8" i="19"/>
  <c r="F7" i="19"/>
  <c r="F6" i="19"/>
  <c r="F12" i="19"/>
  <c r="E15" i="3"/>
  <c r="E16" i="3"/>
  <c r="J3" i="11"/>
  <c r="J4" i="11"/>
  <c r="P3" i="11"/>
  <c r="C20" i="18"/>
  <c r="G6" i="18"/>
  <c r="G16" i="18"/>
  <c r="G17" i="18"/>
  <c r="F21" i="1"/>
  <c r="B5" i="11"/>
  <c r="D5" i="11"/>
  <c r="B8" i="11"/>
  <c r="D8" i="11" s="1"/>
  <c r="R8" i="11" s="1"/>
  <c r="B7" i="11"/>
  <c r="D7" i="11"/>
  <c r="B6" i="11"/>
  <c r="D6" i="11" s="1"/>
  <c r="B4" i="11"/>
  <c r="D4" i="11" s="1"/>
  <c r="H3" i="18"/>
  <c r="B22" i="4"/>
  <c r="D23" i="4" s="1"/>
  <c r="B23" i="4"/>
  <c r="C23" i="4"/>
  <c r="E8" i="16"/>
  <c r="D8" i="16"/>
  <c r="C8" i="16"/>
  <c r="B8" i="16"/>
  <c r="F8" i="16"/>
  <c r="E5" i="16"/>
  <c r="C5" i="16"/>
  <c r="D5" i="16"/>
  <c r="B5" i="16"/>
  <c r="E7" i="16"/>
  <c r="D7" i="16"/>
  <c r="C7" i="16"/>
  <c r="B7" i="16"/>
  <c r="F17" i="16"/>
  <c r="F15" i="16"/>
  <c r="F5" i="16"/>
  <c r="F48" i="2"/>
  <c r="F47" i="2"/>
  <c r="F45" i="2"/>
  <c r="I44" i="2"/>
  <c r="J44" i="2"/>
  <c r="G44" i="2"/>
  <c r="E3" i="11"/>
  <c r="E4" i="11" s="1"/>
  <c r="E5" i="11" s="1"/>
  <c r="E3" i="3"/>
  <c r="B7" i="3"/>
  <c r="Q27" i="1"/>
  <c r="R27" i="1"/>
  <c r="J13" i="1"/>
  <c r="S27" i="1"/>
  <c r="T27" i="1"/>
  <c r="Q28" i="1"/>
  <c r="R28" i="1"/>
  <c r="I13" i="1"/>
  <c r="S28" i="1"/>
  <c r="I14" i="1"/>
  <c r="T28" i="1"/>
  <c r="B15" i="4"/>
  <c r="F81" i="3"/>
  <c r="D24" i="11"/>
  <c r="L1" i="11"/>
  <c r="E23" i="11"/>
  <c r="E22" i="11"/>
  <c r="N77" i="3"/>
  <c r="N78" i="3"/>
  <c r="M77" i="3"/>
  <c r="M78" i="3"/>
  <c r="N72" i="3"/>
  <c r="N73" i="3"/>
  <c r="M72" i="3"/>
  <c r="M73" i="3"/>
  <c r="L72" i="3"/>
  <c r="L73" i="3"/>
  <c r="K67" i="3"/>
  <c r="K68" i="3"/>
  <c r="L63" i="3"/>
  <c r="L87" i="3" s="1"/>
  <c r="J63" i="3"/>
  <c r="J87" i="3" s="1"/>
  <c r="L48" i="3"/>
  <c r="E66" i="3"/>
  <c r="B75" i="3"/>
  <c r="B70" i="3"/>
  <c r="B65" i="3"/>
  <c r="B55" i="3"/>
  <c r="B50" i="3"/>
  <c r="B45" i="3"/>
  <c r="B40" i="3"/>
  <c r="U27" i="1"/>
  <c r="I21" i="2"/>
  <c r="J21" i="2"/>
  <c r="G7" i="2"/>
  <c r="I26" i="1"/>
  <c r="I28" i="1"/>
  <c r="I49" i="2"/>
  <c r="I29" i="2"/>
  <c r="I17" i="2"/>
  <c r="C9" i="4"/>
  <c r="I82" i="2"/>
  <c r="J82" i="2"/>
  <c r="I81" i="2"/>
  <c r="J81" i="2"/>
  <c r="I77" i="2"/>
  <c r="J77" i="2"/>
  <c r="I73" i="2"/>
  <c r="I71" i="2"/>
  <c r="G38" i="2"/>
  <c r="U28" i="1"/>
  <c r="V28" i="1"/>
  <c r="W28" i="1"/>
  <c r="I18" i="1"/>
  <c r="X28" i="1"/>
  <c r="I19" i="1"/>
  <c r="Y28" i="1"/>
  <c r="Z28" i="1"/>
  <c r="I21" i="1"/>
  <c r="V27" i="1"/>
  <c r="J17" i="1"/>
  <c r="W27" i="1"/>
  <c r="J18" i="1"/>
  <c r="X27" i="1"/>
  <c r="J19" i="1"/>
  <c r="Y27" i="1"/>
  <c r="J20" i="1"/>
  <c r="Z27" i="1"/>
  <c r="J21" i="1"/>
  <c r="B88" i="2"/>
  <c r="B89" i="2"/>
  <c r="B90" i="2"/>
  <c r="B91" i="2"/>
  <c r="I43" i="2"/>
  <c r="I10" i="2"/>
  <c r="C175" i="2"/>
  <c r="C172" i="2"/>
  <c r="C171" i="2"/>
  <c r="C168" i="2"/>
  <c r="C167" i="2"/>
  <c r="B108" i="2"/>
  <c r="B109" i="2"/>
  <c r="B4" i="3"/>
  <c r="B38" i="3"/>
  <c r="C101" i="2"/>
  <c r="C100" i="2"/>
  <c r="J124" i="2"/>
  <c r="J172" i="2"/>
  <c r="I124" i="2"/>
  <c r="G124" i="2"/>
  <c r="F124" i="2"/>
  <c r="J133" i="2"/>
  <c r="I133" i="2"/>
  <c r="I175" i="2"/>
  <c r="I176" i="2"/>
  <c r="G133" i="2"/>
  <c r="G175" i="2"/>
  <c r="G176" i="2"/>
  <c r="F133" i="2"/>
  <c r="F175" i="2"/>
  <c r="F176" i="2"/>
  <c r="B128" i="2"/>
  <c r="B129" i="2"/>
  <c r="B130" i="2"/>
  <c r="B131" i="2"/>
  <c r="B132" i="2"/>
  <c r="B63" i="2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C102" i="2"/>
  <c r="C99" i="2"/>
  <c r="C98" i="2"/>
  <c r="B112" i="2"/>
  <c r="B113" i="2"/>
  <c r="B114" i="2"/>
  <c r="B115" i="2"/>
  <c r="B116" i="2"/>
  <c r="B117" i="2"/>
  <c r="B118" i="2"/>
  <c r="B119" i="2"/>
  <c r="B120" i="2"/>
  <c r="B99" i="2"/>
  <c r="B100" i="2"/>
  <c r="B101" i="2"/>
  <c r="B102" i="2"/>
  <c r="B103" i="2"/>
  <c r="B104" i="2"/>
  <c r="I25" i="2"/>
  <c r="I24" i="2"/>
  <c r="I142" i="2"/>
  <c r="I27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1" i="2"/>
  <c r="B52" i="2"/>
  <c r="B53" i="2"/>
  <c r="B54" i="2"/>
  <c r="B55" i="2"/>
  <c r="B56" i="2"/>
  <c r="B57" i="2"/>
  <c r="B58" i="2"/>
  <c r="A9" i="1"/>
  <c r="I54" i="2"/>
  <c r="AA18" i="1"/>
  <c r="I57" i="2"/>
  <c r="J57" i="2"/>
  <c r="I56" i="2"/>
  <c r="I50" i="2"/>
  <c r="G41" i="2"/>
  <c r="I30" i="2"/>
  <c r="J30" i="2" s="1"/>
  <c r="I41" i="2"/>
  <c r="J41" i="2"/>
  <c r="I35" i="2"/>
  <c r="J35" i="2"/>
  <c r="M12" i="3"/>
  <c r="M13" i="3" s="1"/>
  <c r="N12" i="3"/>
  <c r="N13" i="3" s="1"/>
  <c r="G35" i="2"/>
  <c r="C23" i="1"/>
  <c r="F18" i="2"/>
  <c r="I18" i="2"/>
  <c r="I7" i="2"/>
  <c r="J7" i="2"/>
  <c r="G190" i="2"/>
  <c r="J190" i="2"/>
  <c r="I15" i="2"/>
  <c r="I12" i="2"/>
  <c r="I11" i="2"/>
  <c r="I14" i="2"/>
  <c r="I69" i="2"/>
  <c r="I22" i="2"/>
  <c r="J20" i="2"/>
  <c r="J98" i="2"/>
  <c r="J46" i="2"/>
  <c r="J34" i="2"/>
  <c r="I143" i="2"/>
  <c r="F143" i="2"/>
  <c r="I20" i="2"/>
  <c r="G57" i="2"/>
  <c r="G56" i="2"/>
  <c r="G43" i="2"/>
  <c r="G34" i="2"/>
  <c r="G30" i="2"/>
  <c r="G29" i="2"/>
  <c r="F142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G24" i="2"/>
  <c r="G142" i="2"/>
  <c r="F212" i="2"/>
  <c r="U40" i="1"/>
  <c r="G69" i="2"/>
  <c r="J69" i="2"/>
  <c r="G73" i="2"/>
  <c r="U37" i="1"/>
  <c r="G143" i="2"/>
  <c r="J143" i="2"/>
  <c r="G27" i="2"/>
  <c r="B21" i="3"/>
  <c r="B22" i="3" s="1"/>
  <c r="F23" i="2"/>
  <c r="B14" i="4"/>
  <c r="B12" i="4"/>
  <c r="C12" i="4"/>
  <c r="I70" i="2"/>
  <c r="J70" i="2"/>
  <c r="G70" i="2"/>
  <c r="U41" i="1"/>
  <c r="G31" i="2"/>
  <c r="J31" i="2"/>
  <c r="F84" i="2"/>
  <c r="I31" i="2"/>
  <c r="J22" i="2"/>
  <c r="G98" i="2"/>
  <c r="E18" i="18"/>
  <c r="I172" i="2"/>
  <c r="G172" i="2"/>
  <c r="J24" i="2"/>
  <c r="J142" i="2"/>
  <c r="F172" i="2"/>
  <c r="J56" i="2"/>
  <c r="B92" i="2"/>
  <c r="B93" i="2"/>
  <c r="B94" i="2"/>
  <c r="B95" i="2"/>
  <c r="E10" i="18"/>
  <c r="F79" i="2"/>
  <c r="G79" i="2" s="1"/>
  <c r="J29" i="2"/>
  <c r="J175" i="2"/>
  <c r="J176" i="2"/>
  <c r="G46" i="2"/>
  <c r="J43" i="2"/>
  <c r="I23" i="2"/>
  <c r="I26" i="2" s="1"/>
  <c r="J26" i="2" s="1"/>
  <c r="I141" i="2"/>
  <c r="J198" i="2" s="1"/>
  <c r="G23" i="2"/>
  <c r="G191" i="2" s="1"/>
  <c r="G192" i="2" s="1"/>
  <c r="G193" i="2" s="1"/>
  <c r="F18" i="3"/>
  <c r="F19" i="3" s="1"/>
  <c r="J221" i="2"/>
  <c r="C4" i="16"/>
  <c r="C19" i="16" s="1"/>
  <c r="D4" i="16"/>
  <c r="D19" i="16" s="1"/>
  <c r="E4" i="16"/>
  <c r="E19" i="16" s="1"/>
  <c r="I118" i="2"/>
  <c r="J118" i="2"/>
  <c r="I119" i="2"/>
  <c r="B4" i="16"/>
  <c r="B19" i="16" s="1"/>
  <c r="F19" i="16" s="1"/>
  <c r="I17" i="1"/>
  <c r="F160" i="2"/>
  <c r="H52" i="3"/>
  <c r="H53" i="3"/>
  <c r="G47" i="3"/>
  <c r="G48" i="3"/>
  <c r="I15" i="1"/>
  <c r="I20" i="1"/>
  <c r="E56" i="3"/>
  <c r="B56" i="3"/>
  <c r="A34" i="11"/>
  <c r="A35" i="11" s="1"/>
  <c r="A36" i="11" s="1"/>
  <c r="A37" i="11" s="1"/>
  <c r="A38" i="11" s="1"/>
  <c r="J71" i="2"/>
  <c r="P4" i="11"/>
  <c r="P5" i="11"/>
  <c r="P6" i="11"/>
  <c r="P7" i="11" s="1"/>
  <c r="P8" i="11" s="1"/>
  <c r="P9" i="11" s="1"/>
  <c r="P10" i="11"/>
  <c r="F213" i="2"/>
  <c r="F214" i="2"/>
  <c r="F215" i="2"/>
  <c r="F216" i="2"/>
  <c r="F217" i="2"/>
  <c r="F218" i="2"/>
  <c r="F219" i="2"/>
  <c r="F221" i="2"/>
  <c r="G84" i="2"/>
  <c r="J84" i="2"/>
  <c r="C10" i="18"/>
  <c r="G10" i="18"/>
  <c r="F92" i="2"/>
  <c r="I92" i="2" s="1"/>
  <c r="J92" i="2" s="1"/>
  <c r="J27" i="2"/>
  <c r="B24" i="19"/>
  <c r="F27" i="19" s="1"/>
  <c r="G27" i="19"/>
  <c r="D10" i="16"/>
  <c r="E4" i="20"/>
  <c r="S4" i="20" s="1"/>
  <c r="E5" i="20"/>
  <c r="L5" i="20" s="1"/>
  <c r="E6" i="20"/>
  <c r="J73" i="2"/>
  <c r="J119" i="2"/>
  <c r="F13" i="19"/>
  <c r="B26" i="19"/>
  <c r="J16" i="1"/>
  <c r="J12" i="1"/>
  <c r="J14" i="1"/>
  <c r="F7" i="16"/>
  <c r="F80" i="2"/>
  <c r="J15" i="1"/>
  <c r="AA27" i="1"/>
  <c r="C18" i="18"/>
  <c r="G18" i="18"/>
  <c r="E51" i="3"/>
  <c r="E46" i="3"/>
  <c r="I12" i="1"/>
  <c r="M4" i="11"/>
  <c r="J5" i="11"/>
  <c r="M3" i="11"/>
  <c r="E24" i="11"/>
  <c r="E25" i="11"/>
  <c r="I3" i="11"/>
  <c r="I4" i="11" s="1"/>
  <c r="I6" i="11" s="1"/>
  <c r="I8" i="11" s="1"/>
  <c r="I10" i="11" s="1"/>
  <c r="R10" i="11" s="1"/>
  <c r="G218" i="2" s="1"/>
  <c r="F36" i="3"/>
  <c r="G36" i="3"/>
  <c r="H36" i="3"/>
  <c r="I36" i="3"/>
  <c r="J36" i="3"/>
  <c r="K36" i="3"/>
  <c r="L36" i="3"/>
  <c r="M36" i="3"/>
  <c r="N36" i="3"/>
  <c r="O36" i="3"/>
  <c r="G2" i="3"/>
  <c r="H2" i="3"/>
  <c r="I2" i="3"/>
  <c r="J2" i="3"/>
  <c r="K2" i="3"/>
  <c r="L2" i="3"/>
  <c r="M2" i="3"/>
  <c r="N2" i="3"/>
  <c r="B23" i="3"/>
  <c r="B83" i="3"/>
  <c r="F37" i="2"/>
  <c r="F40" i="2" s="1"/>
  <c r="I40" i="2" s="1"/>
  <c r="J40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2" i="2" s="1"/>
  <c r="F55" i="2" s="1"/>
  <c r="B96" i="3"/>
  <c r="F28" i="2"/>
  <c r="E4" i="3"/>
  <c r="J23" i="2"/>
  <c r="J191" i="2" s="1"/>
  <c r="J192" i="2" s="1"/>
  <c r="L4" i="20"/>
  <c r="L6" i="20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C1" i="18"/>
  <c r="H17" i="18" s="1"/>
  <c r="G184" i="2"/>
  <c r="C10" i="16"/>
  <c r="B10" i="16"/>
  <c r="F3" i="20"/>
  <c r="F4" i="20" s="1"/>
  <c r="F5" i="20" s="1"/>
  <c r="F6" i="20"/>
  <c r="F7" i="20" s="1"/>
  <c r="F8" i="20" s="1"/>
  <c r="F9" i="20" s="1"/>
  <c r="F10" i="20" s="1"/>
  <c r="E10" i="16"/>
  <c r="G92" i="2"/>
  <c r="F3" i="11"/>
  <c r="F4" i="11" s="1"/>
  <c r="F5" i="11" s="1"/>
  <c r="F6" i="11" s="1"/>
  <c r="F7" i="11" s="1"/>
  <c r="F8" i="11" s="1"/>
  <c r="F9" i="11" s="1"/>
  <c r="F10" i="11" s="1"/>
  <c r="E41" i="3"/>
  <c r="B41" i="3"/>
  <c r="L42" i="3"/>
  <c r="L43" i="3"/>
  <c r="Y15" i="1"/>
  <c r="D27" i="19"/>
  <c r="B27" i="19"/>
  <c r="H26" i="19"/>
  <c r="H27" i="19"/>
  <c r="AA16" i="1"/>
  <c r="F161" i="2"/>
  <c r="I80" i="2"/>
  <c r="G80" i="2"/>
  <c r="J23" i="1"/>
  <c r="R5" i="11"/>
  <c r="I28" i="2"/>
  <c r="G28" i="2"/>
  <c r="F103" i="2"/>
  <c r="G103" i="2" s="1"/>
  <c r="E20" i="18" s="1"/>
  <c r="H6" i="18"/>
  <c r="D17" i="18"/>
  <c r="F10" i="18"/>
  <c r="H18" i="18"/>
  <c r="D20" i="18"/>
  <c r="D16" i="18"/>
  <c r="F18" i="18"/>
  <c r="F6" i="18"/>
  <c r="F17" i="18"/>
  <c r="H16" i="18"/>
  <c r="D6" i="18"/>
  <c r="F16" i="18"/>
  <c r="H10" i="18"/>
  <c r="D10" i="18"/>
  <c r="D18" i="18"/>
  <c r="E33" i="11"/>
  <c r="F10" i="16"/>
  <c r="J42" i="3"/>
  <c r="K42" i="3"/>
  <c r="H42" i="3"/>
  <c r="I42" i="3"/>
  <c r="F42" i="3"/>
  <c r="F43" i="3"/>
  <c r="F87" i="3"/>
  <c r="F82" i="3"/>
  <c r="G81" i="3"/>
  <c r="G42" i="3"/>
  <c r="J80" i="2"/>
  <c r="J161" i="2"/>
  <c r="I161" i="2"/>
  <c r="G161" i="2"/>
  <c r="M32" i="11"/>
  <c r="J28" i="2"/>
  <c r="E34" i="11"/>
  <c r="K33" i="11"/>
  <c r="J43" i="3"/>
  <c r="K43" i="3"/>
  <c r="G43" i="3"/>
  <c r="I43" i="3"/>
  <c r="H43" i="3"/>
  <c r="F83" i="3"/>
  <c r="F86" i="3"/>
  <c r="F89" i="3"/>
  <c r="I68" i="2"/>
  <c r="G68" i="2"/>
  <c r="G204" i="2"/>
  <c r="J204" i="2"/>
  <c r="G82" i="3"/>
  <c r="G83" i="3" s="1"/>
  <c r="J68" i="2"/>
  <c r="H81" i="3"/>
  <c r="H82" i="3" s="1"/>
  <c r="I33" i="2"/>
  <c r="J33" i="2"/>
  <c r="G33" i="2"/>
  <c r="I37" i="2" l="1"/>
  <c r="J37" i="2" s="1"/>
  <c r="B10" i="1"/>
  <c r="B11" i="1" s="1"/>
  <c r="G86" i="3"/>
  <c r="G89" i="3" s="1"/>
  <c r="F101" i="2"/>
  <c r="B97" i="3"/>
  <c r="E10" i="1"/>
  <c r="E11" i="1" s="1"/>
  <c r="F72" i="2"/>
  <c r="G72" i="2" s="1"/>
  <c r="F26" i="2"/>
  <c r="G26" i="2" s="1"/>
  <c r="E31" i="11"/>
  <c r="E34" i="20"/>
  <c r="C19" i="18"/>
  <c r="E19" i="18"/>
  <c r="F19" i="18" s="1"/>
  <c r="F20" i="18"/>
  <c r="G20" i="18"/>
  <c r="H20" i="18" s="1"/>
  <c r="G194" i="2"/>
  <c r="J194" i="2" s="1"/>
  <c r="J193" i="2"/>
  <c r="J195" i="2" s="1"/>
  <c r="S6" i="20"/>
  <c r="E7" i="20"/>
  <c r="L3" i="20"/>
  <c r="I103" i="2"/>
  <c r="J103" i="2" s="1"/>
  <c r="F34" i="20"/>
  <c r="F35" i="20" s="1"/>
  <c r="F36" i="20" s="1"/>
  <c r="F37" i="20" s="1"/>
  <c r="F38" i="20" s="1"/>
  <c r="F39" i="20" s="1"/>
  <c r="F40" i="20" s="1"/>
  <c r="F41" i="20" s="1"/>
  <c r="F42" i="20" s="1"/>
  <c r="F43" i="20" s="1"/>
  <c r="F44" i="20" s="1"/>
  <c r="F45" i="20" s="1"/>
  <c r="F46" i="20" s="1"/>
  <c r="F47" i="20" s="1"/>
  <c r="F48" i="20" s="1"/>
  <c r="F49" i="20" s="1"/>
  <c r="F50" i="20" s="1"/>
  <c r="F51" i="20" s="1"/>
  <c r="F52" i="20" s="1"/>
  <c r="F53" i="20" s="1"/>
  <c r="F54" i="20" s="1"/>
  <c r="F55" i="20" s="1"/>
  <c r="F56" i="20" s="1"/>
  <c r="F57" i="20" s="1"/>
  <c r="F58" i="20" s="1"/>
  <c r="F59" i="20" s="1"/>
  <c r="F60" i="20" s="1"/>
  <c r="F61" i="20" s="1"/>
  <c r="F62" i="20" s="1"/>
  <c r="F63" i="20" s="1"/>
  <c r="F64" i="20" s="1"/>
  <c r="F65" i="20" s="1"/>
  <c r="F66" i="20" s="1"/>
  <c r="F67" i="20" s="1"/>
  <c r="F68" i="20" s="1"/>
  <c r="F69" i="20" s="1"/>
  <c r="F70" i="20" s="1"/>
  <c r="F71" i="20" s="1"/>
  <c r="F72" i="20" s="1"/>
  <c r="F73" i="20" s="1"/>
  <c r="F74" i="20" s="1"/>
  <c r="F75" i="20" s="1"/>
  <c r="F76" i="20" s="1"/>
  <c r="F77" i="20" s="1"/>
  <c r="F78" i="20" s="1"/>
  <c r="F79" i="20" s="1"/>
  <c r="F80" i="20" s="1"/>
  <c r="F81" i="20" s="1"/>
  <c r="F82" i="20" s="1"/>
  <c r="F83" i="20" s="1"/>
  <c r="C27" i="19"/>
  <c r="G25" i="2"/>
  <c r="J25" i="2" s="1"/>
  <c r="G198" i="2"/>
  <c r="F31" i="11"/>
  <c r="S5" i="20"/>
  <c r="E27" i="19"/>
  <c r="B81" i="3"/>
  <c r="J141" i="2"/>
  <c r="D12" i="1"/>
  <c r="D13" i="1"/>
  <c r="F53" i="2"/>
  <c r="I53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S6" i="11"/>
  <c r="R6" i="11"/>
  <c r="E6" i="11"/>
  <c r="E7" i="11" s="1"/>
  <c r="E8" i="11" s="1"/>
  <c r="S5" i="11"/>
  <c r="H70" i="11"/>
  <c r="L33" i="11"/>
  <c r="S4" i="11"/>
  <c r="R4" i="11"/>
  <c r="S3" i="11"/>
  <c r="R3" i="11"/>
  <c r="K34" i="11"/>
  <c r="E35" i="11"/>
  <c r="M5" i="11"/>
  <c r="J6" i="11"/>
  <c r="R7" i="11"/>
  <c r="L4" i="11"/>
  <c r="L3" i="11"/>
  <c r="I5" i="11"/>
  <c r="I45" i="2"/>
  <c r="G45" i="2"/>
  <c r="U34" i="1"/>
  <c r="V34" i="1" s="1"/>
  <c r="B11" i="4"/>
  <c r="I72" i="2"/>
  <c r="J72" i="2" s="1"/>
  <c r="G40" i="2"/>
  <c r="I55" i="2"/>
  <c r="B16" i="4"/>
  <c r="D24" i="4" s="1"/>
  <c r="D25" i="4" s="1"/>
  <c r="F102" i="2" s="1"/>
  <c r="D10" i="4"/>
  <c r="G55" i="2"/>
  <c r="H3" i="20"/>
  <c r="G37" i="2"/>
  <c r="I39" i="2"/>
  <c r="J39" i="2" s="1"/>
  <c r="I52" i="2"/>
  <c r="H3" i="11"/>
  <c r="F42" i="2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9" i="2"/>
  <c r="I16" i="1"/>
  <c r="G160" i="2"/>
  <c r="E87" i="3"/>
  <c r="AA17" i="1"/>
  <c r="AA28" i="1"/>
  <c r="H83" i="3"/>
  <c r="H86" i="3" s="1"/>
  <c r="H89" i="3" s="1"/>
  <c r="I81" i="3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F4" i="16"/>
  <c r="G19" i="18" l="1"/>
  <c r="H19" i="18" s="1"/>
  <c r="D19" i="18"/>
  <c r="K34" i="20"/>
  <c r="E35" i="20"/>
  <c r="L34" i="20"/>
  <c r="K31" i="11"/>
  <c r="L31" i="11"/>
  <c r="O39" i="11" s="1"/>
  <c r="L7" i="20"/>
  <c r="S7" i="20"/>
  <c r="E8" i="20"/>
  <c r="B82" i="3"/>
  <c r="L6" i="11"/>
  <c r="I101" i="2"/>
  <c r="J101" i="2" s="1"/>
  <c r="G101" i="2"/>
  <c r="D16" i="1"/>
  <c r="D17" i="1" s="1"/>
  <c r="D14" i="1"/>
  <c r="D15" i="1"/>
  <c r="L35" i="11"/>
  <c r="J36" i="11"/>
  <c r="H71" i="11"/>
  <c r="L5" i="11"/>
  <c r="I7" i="11"/>
  <c r="M33" i="11"/>
  <c r="K35" i="11"/>
  <c r="E36" i="11"/>
  <c r="C7" i="18"/>
  <c r="M34" i="11"/>
  <c r="E9" i="11"/>
  <c r="H23" i="11"/>
  <c r="J7" i="11"/>
  <c r="M6" i="11"/>
  <c r="H20" i="11"/>
  <c r="H25" i="11"/>
  <c r="L8" i="11"/>
  <c r="B13" i="4"/>
  <c r="Q3" i="11"/>
  <c r="H4" i="11"/>
  <c r="H5" i="11"/>
  <c r="K3" i="11"/>
  <c r="N3" i="11" s="1"/>
  <c r="J45" i="2"/>
  <c r="G197" i="2"/>
  <c r="G42" i="2"/>
  <c r="I42" i="2"/>
  <c r="J42" i="2" s="1"/>
  <c r="D11" i="4"/>
  <c r="C11" i="4" s="1"/>
  <c r="C10" i="4"/>
  <c r="G102" i="2"/>
  <c r="I102" i="2"/>
  <c r="J55" i="2"/>
  <c r="J197" i="2" s="1"/>
  <c r="K3" i="20"/>
  <c r="N3" i="20" s="1"/>
  <c r="H5" i="20"/>
  <c r="H4" i="20"/>
  <c r="Q3" i="20"/>
  <c r="U38" i="1"/>
  <c r="V38" i="1"/>
  <c r="Q26" i="1"/>
  <c r="H19" i="11"/>
  <c r="H24" i="11"/>
  <c r="H21" i="11"/>
  <c r="I160" i="2"/>
  <c r="J79" i="2"/>
  <c r="I23" i="1"/>
  <c r="I82" i="3"/>
  <c r="J81" i="3" s="1"/>
  <c r="L13" i="3"/>
  <c r="I6" i="3"/>
  <c r="I7" i="3" s="1"/>
  <c r="E6" i="16" s="1"/>
  <c r="H6" i="3"/>
  <c r="H7" i="3" s="1"/>
  <c r="D6" i="16" s="1"/>
  <c r="K6" i="3"/>
  <c r="K7" i="3"/>
  <c r="J6" i="3"/>
  <c r="J7" i="3" s="1"/>
  <c r="F78" i="2"/>
  <c r="I78" i="2" s="1"/>
  <c r="I159" i="2" s="1"/>
  <c r="I162" i="2" s="1"/>
  <c r="G6" i="3"/>
  <c r="G7" i="3"/>
  <c r="C6" i="16" s="1"/>
  <c r="F6" i="3"/>
  <c r="F7" i="3"/>
  <c r="F27" i="3" s="1"/>
  <c r="L6" i="3"/>
  <c r="L7" i="3" s="1"/>
  <c r="B3" i="3"/>
  <c r="G21" i="3"/>
  <c r="M31" i="11" l="1"/>
  <c r="S8" i="20"/>
  <c r="L8" i="20"/>
  <c r="E9" i="20"/>
  <c r="W26" i="1"/>
  <c r="W15" i="1" s="1"/>
  <c r="Q15" i="1"/>
  <c r="L35" i="20"/>
  <c r="E36" i="20"/>
  <c r="K35" i="20"/>
  <c r="M35" i="20" s="1"/>
  <c r="M34" i="20"/>
  <c r="D19" i="1"/>
  <c r="D18" i="1"/>
  <c r="M7" i="11"/>
  <c r="J8" i="11"/>
  <c r="S7" i="11"/>
  <c r="D13" i="4"/>
  <c r="E10" i="11"/>
  <c r="L7" i="11"/>
  <c r="I9" i="11"/>
  <c r="M35" i="11"/>
  <c r="H72" i="11"/>
  <c r="D7" i="18"/>
  <c r="J37" i="11"/>
  <c r="L36" i="11"/>
  <c r="E37" i="11"/>
  <c r="K36" i="11"/>
  <c r="M36" i="11" s="1"/>
  <c r="AA26" i="1"/>
  <c r="K4" i="11"/>
  <c r="N4" i="11" s="1"/>
  <c r="H6" i="11"/>
  <c r="Q4" i="11"/>
  <c r="T4" i="11" s="1"/>
  <c r="T3" i="11"/>
  <c r="H26" i="11"/>
  <c r="J102" i="2"/>
  <c r="E11" i="16"/>
  <c r="G10" i="1"/>
  <c r="T3" i="20"/>
  <c r="Q4" i="20"/>
  <c r="T4" i="20" s="1"/>
  <c r="H6" i="20"/>
  <c r="K4" i="20"/>
  <c r="N4" i="20" s="1"/>
  <c r="K5" i="20"/>
  <c r="N5" i="20" s="1"/>
  <c r="Q5" i="20"/>
  <c r="T5" i="20" s="1"/>
  <c r="H7" i="20"/>
  <c r="G11" i="1"/>
  <c r="C13" i="4"/>
  <c r="H7" i="11"/>
  <c r="K5" i="11"/>
  <c r="N5" i="11" s="1"/>
  <c r="Q5" i="11"/>
  <c r="T5" i="11" s="1"/>
  <c r="J160" i="2"/>
  <c r="J82" i="3"/>
  <c r="K81" i="3" s="1"/>
  <c r="I83" i="3"/>
  <c r="I86" i="3" s="1"/>
  <c r="I89" i="3" s="1"/>
  <c r="G22" i="3"/>
  <c r="F23" i="3"/>
  <c r="F26" i="3" s="1"/>
  <c r="B9" i="16" s="1"/>
  <c r="G26" i="1"/>
  <c r="E27" i="3"/>
  <c r="B6" i="16"/>
  <c r="F6" i="16" s="1"/>
  <c r="G78" i="2"/>
  <c r="F76" i="2"/>
  <c r="F159" i="2"/>
  <c r="L36" i="20" l="1"/>
  <c r="E37" i="20"/>
  <c r="M14" i="20"/>
  <c r="K36" i="20"/>
  <c r="S9" i="20"/>
  <c r="E10" i="20"/>
  <c r="L9" i="20"/>
  <c r="D20" i="1"/>
  <c r="G19" i="1"/>
  <c r="H19" i="1" s="1"/>
  <c r="E38" i="11"/>
  <c r="K37" i="11"/>
  <c r="L37" i="11"/>
  <c r="J38" i="11"/>
  <c r="L9" i="11"/>
  <c r="R9" i="11"/>
  <c r="L10" i="11"/>
  <c r="H73" i="11"/>
  <c r="M8" i="11"/>
  <c r="J9" i="11"/>
  <c r="S8" i="11"/>
  <c r="C9" i="18" s="1"/>
  <c r="H8" i="20"/>
  <c r="K6" i="20"/>
  <c r="N6" i="20" s="1"/>
  <c r="Q6" i="20"/>
  <c r="Q7" i="11"/>
  <c r="T7" i="11" s="1"/>
  <c r="H9" i="11"/>
  <c r="K7" i="11"/>
  <c r="N7" i="11" s="1"/>
  <c r="U3" i="11"/>
  <c r="H9" i="20"/>
  <c r="K7" i="20"/>
  <c r="N7" i="20" s="1"/>
  <c r="Q7" i="20"/>
  <c r="T7" i="20" s="1"/>
  <c r="C8" i="18"/>
  <c r="E8" i="18"/>
  <c r="F8" i="18" s="1"/>
  <c r="C17" i="4"/>
  <c r="F90" i="2" s="1"/>
  <c r="U3" i="20"/>
  <c r="K6" i="11"/>
  <c r="N6" i="11" s="1"/>
  <c r="H8" i="11"/>
  <c r="Q6" i="11"/>
  <c r="T6" i="11" s="1"/>
  <c r="K82" i="3"/>
  <c r="L81" i="3" s="1"/>
  <c r="J83" i="3"/>
  <c r="J86" i="3" s="1"/>
  <c r="J89" i="3" s="1"/>
  <c r="G23" i="3"/>
  <c r="G26" i="3" s="1"/>
  <c r="C9" i="16" s="1"/>
  <c r="F29" i="3"/>
  <c r="K26" i="1"/>
  <c r="I76" i="2"/>
  <c r="J76" i="2" s="1"/>
  <c r="I21" i="3"/>
  <c r="I22" i="3" s="1"/>
  <c r="J78" i="2"/>
  <c r="J159" i="2" s="1"/>
  <c r="J162" i="2" s="1"/>
  <c r="G159" i="2"/>
  <c r="G76" i="2"/>
  <c r="C15" i="18"/>
  <c r="E15" i="18"/>
  <c r="F162" i="2"/>
  <c r="L10" i="20" l="1"/>
  <c r="S10" i="20"/>
  <c r="S11" i="20" s="1"/>
  <c r="M36" i="20"/>
  <c r="N14" i="20"/>
  <c r="M15" i="20"/>
  <c r="N15" i="20" s="1"/>
  <c r="K37" i="20"/>
  <c r="E38" i="20"/>
  <c r="L37" i="20"/>
  <c r="D21" i="1"/>
  <c r="G20" i="1"/>
  <c r="H20" i="1" s="1"/>
  <c r="K19" i="1"/>
  <c r="L19" i="1" s="1"/>
  <c r="X14" i="1"/>
  <c r="J10" i="11"/>
  <c r="M9" i="11"/>
  <c r="S9" i="11"/>
  <c r="J39" i="11"/>
  <c r="L38" i="11"/>
  <c r="H74" i="11"/>
  <c r="M37" i="11"/>
  <c r="E7" i="18"/>
  <c r="G217" i="2"/>
  <c r="R11" i="11"/>
  <c r="K38" i="11"/>
  <c r="N39" i="11" s="1"/>
  <c r="E39" i="11"/>
  <c r="D9" i="18"/>
  <c r="H10" i="11"/>
  <c r="K8" i="11"/>
  <c r="N8" i="11" s="1"/>
  <c r="Q8" i="11"/>
  <c r="AA15" i="1"/>
  <c r="D8" i="18"/>
  <c r="G8" i="18"/>
  <c r="H8" i="18" s="1"/>
  <c r="T6" i="20"/>
  <c r="Q9" i="11"/>
  <c r="K9" i="11"/>
  <c r="N9" i="11" s="1"/>
  <c r="K9" i="20"/>
  <c r="N9" i="20" s="1"/>
  <c r="Q9" i="20"/>
  <c r="T9" i="20" s="1"/>
  <c r="I90" i="2"/>
  <c r="J90" i="2" s="1"/>
  <c r="G90" i="2"/>
  <c r="H10" i="20"/>
  <c r="Q8" i="20"/>
  <c r="T8" i="20" s="1"/>
  <c r="K8" i="20"/>
  <c r="N8" i="20" s="1"/>
  <c r="L82" i="3"/>
  <c r="M81" i="3" s="1"/>
  <c r="K83" i="3"/>
  <c r="K86" i="3" s="1"/>
  <c r="H23" i="3"/>
  <c r="H26" i="3" s="1"/>
  <c r="D9" i="16" s="1"/>
  <c r="G29" i="3"/>
  <c r="G15" i="18"/>
  <c r="D15" i="18"/>
  <c r="D21" i="18" s="1"/>
  <c r="C21" i="18"/>
  <c r="G162" i="2"/>
  <c r="J21" i="3"/>
  <c r="J22" i="3" s="1"/>
  <c r="F15" i="18"/>
  <c r="F21" i="18" s="1"/>
  <c r="E21" i="18"/>
  <c r="M37" i="20" l="1"/>
  <c r="K38" i="20"/>
  <c r="M38" i="20" s="1"/>
  <c r="E39" i="20"/>
  <c r="L38" i="20"/>
  <c r="G21" i="1"/>
  <c r="D23" i="1"/>
  <c r="X25" i="1"/>
  <c r="X30" i="1" s="1"/>
  <c r="X22" i="1"/>
  <c r="Y14" i="1"/>
  <c r="K20" i="1"/>
  <c r="L20" i="1" s="1"/>
  <c r="H75" i="11"/>
  <c r="L39" i="11"/>
  <c r="J40" i="11"/>
  <c r="K39" i="11"/>
  <c r="E40" i="11"/>
  <c r="M38" i="11"/>
  <c r="I19" i="11"/>
  <c r="M10" i="11"/>
  <c r="S10" i="11"/>
  <c r="S11" i="11" s="1"/>
  <c r="G221" i="2"/>
  <c r="E23" i="1"/>
  <c r="F7" i="18"/>
  <c r="G7" i="18"/>
  <c r="H7" i="18" s="1"/>
  <c r="T9" i="11"/>
  <c r="Q10" i="20"/>
  <c r="T10" i="20" s="1"/>
  <c r="T11" i="20" s="1"/>
  <c r="K10" i="20"/>
  <c r="N10" i="20" s="1"/>
  <c r="T8" i="11"/>
  <c r="C5" i="18"/>
  <c r="Q10" i="11"/>
  <c r="E5" i="18" s="1"/>
  <c r="F5" i="18" s="1"/>
  <c r="K10" i="11"/>
  <c r="N10" i="11" s="1"/>
  <c r="L83" i="3"/>
  <c r="L86" i="3" s="1"/>
  <c r="L89" i="3" s="1"/>
  <c r="K89" i="3"/>
  <c r="M82" i="3"/>
  <c r="N81" i="3" s="1"/>
  <c r="H29" i="3"/>
  <c r="I23" i="3"/>
  <c r="I26" i="3" s="1"/>
  <c r="K21" i="3"/>
  <c r="K22" i="3" s="1"/>
  <c r="G21" i="18"/>
  <c r="H15" i="18"/>
  <c r="H21" i="18" s="1"/>
  <c r="M39" i="11" l="1"/>
  <c r="E9" i="18"/>
  <c r="F9" i="18" s="1"/>
  <c r="Z14" i="1"/>
  <c r="Z25" i="1" s="1"/>
  <c r="Z30" i="1" s="1"/>
  <c r="H21" i="1"/>
  <c r="L39" i="20"/>
  <c r="K39" i="20"/>
  <c r="E40" i="20"/>
  <c r="K21" i="1"/>
  <c r="L21" i="1" s="1"/>
  <c r="Y25" i="1"/>
  <c r="Y30" i="1" s="1"/>
  <c r="Y22" i="1"/>
  <c r="C211" i="2"/>
  <c r="B12" i="1" s="1"/>
  <c r="J41" i="11"/>
  <c r="L40" i="11"/>
  <c r="G202" i="2"/>
  <c r="F67" i="2"/>
  <c r="E41" i="11"/>
  <c r="K40" i="11"/>
  <c r="H76" i="11"/>
  <c r="J19" i="11"/>
  <c r="K19" i="11" s="1"/>
  <c r="D5" i="18"/>
  <c r="G5" i="18"/>
  <c r="H5" i="18" s="1"/>
  <c r="T10" i="11"/>
  <c r="T11" i="11" s="1"/>
  <c r="Q11" i="11"/>
  <c r="Q11" i="20"/>
  <c r="M83" i="3"/>
  <c r="M86" i="3" s="1"/>
  <c r="M89" i="3" s="1"/>
  <c r="N82" i="3"/>
  <c r="O81" i="3" s="1"/>
  <c r="L21" i="3"/>
  <c r="J23" i="3"/>
  <c r="J26" i="3" s="1"/>
  <c r="J29" i="3" s="1"/>
  <c r="E9" i="16"/>
  <c r="F9" i="16" s="1"/>
  <c r="I29" i="3"/>
  <c r="G9" i="18" l="1"/>
  <c r="H9" i="18" s="1"/>
  <c r="K40" i="20"/>
  <c r="E41" i="20"/>
  <c r="L40" i="20"/>
  <c r="M39" i="20"/>
  <c r="Z22" i="1"/>
  <c r="G67" i="2"/>
  <c r="F89" i="2"/>
  <c r="F153" i="2"/>
  <c r="I67" i="2"/>
  <c r="M40" i="11"/>
  <c r="E42" i="11"/>
  <c r="K41" i="11"/>
  <c r="L41" i="11"/>
  <c r="J42" i="11"/>
  <c r="I211" i="2"/>
  <c r="F12" i="1" s="1"/>
  <c r="H77" i="11"/>
  <c r="J202" i="2"/>
  <c r="N83" i="3"/>
  <c r="N86" i="3" s="1"/>
  <c r="O82" i="3"/>
  <c r="O83" i="3" s="1"/>
  <c r="K23" i="3"/>
  <c r="K26" i="3" s="1"/>
  <c r="K29" i="3" s="1"/>
  <c r="L22" i="3"/>
  <c r="M21" i="3" s="1"/>
  <c r="K41" i="20" l="1"/>
  <c r="E42" i="20"/>
  <c r="L41" i="20"/>
  <c r="M40" i="20"/>
  <c r="M41" i="11"/>
  <c r="H78" i="11"/>
  <c r="J67" i="2"/>
  <c r="K42" i="11"/>
  <c r="E43" i="11"/>
  <c r="G153" i="2"/>
  <c r="J153" i="2" s="1"/>
  <c r="I153" i="2"/>
  <c r="G89" i="2"/>
  <c r="I89" i="2"/>
  <c r="J89" i="2" s="1"/>
  <c r="L42" i="11"/>
  <c r="N89" i="3"/>
  <c r="E90" i="3"/>
  <c r="B89" i="3" s="1"/>
  <c r="E86" i="3"/>
  <c r="M22" i="3"/>
  <c r="N21" i="3" s="1"/>
  <c r="L23" i="3"/>
  <c r="L26" i="3" s="1"/>
  <c r="L42" i="20" l="1"/>
  <c r="E43" i="20"/>
  <c r="K42" i="20"/>
  <c r="M42" i="20" s="1"/>
  <c r="M41" i="20"/>
  <c r="L43" i="11"/>
  <c r="H79" i="11"/>
  <c r="E44" i="11"/>
  <c r="K43" i="11"/>
  <c r="G12" i="1"/>
  <c r="H12" i="1" s="1"/>
  <c r="M42" i="11"/>
  <c r="B90" i="3"/>
  <c r="B87" i="3"/>
  <c r="F100" i="2"/>
  <c r="L29" i="3"/>
  <c r="M23" i="3"/>
  <c r="M26" i="3" s="1"/>
  <c r="M29" i="3" s="1"/>
  <c r="N22" i="3"/>
  <c r="N23" i="3" s="1"/>
  <c r="N26" i="3" s="1"/>
  <c r="N29" i="3" s="1"/>
  <c r="K43" i="20" l="1"/>
  <c r="M43" i="20" s="1"/>
  <c r="E44" i="20"/>
  <c r="L43" i="20"/>
  <c r="L44" i="11"/>
  <c r="J45" i="11"/>
  <c r="H80" i="11"/>
  <c r="M43" i="11"/>
  <c r="E45" i="11"/>
  <c r="K44" i="11"/>
  <c r="Q14" i="1"/>
  <c r="Q25" i="1"/>
  <c r="K12" i="1"/>
  <c r="L12" i="1" s="1"/>
  <c r="G100" i="2"/>
  <c r="I100" i="2"/>
  <c r="J100" i="2" s="1"/>
  <c r="E26" i="3"/>
  <c r="E30" i="3"/>
  <c r="K44" i="20" l="1"/>
  <c r="M44" i="20" s="1"/>
  <c r="L44" i="20"/>
  <c r="E45" i="20"/>
  <c r="J46" i="11"/>
  <c r="L45" i="11"/>
  <c r="Q30" i="1"/>
  <c r="K45" i="11"/>
  <c r="M45" i="11" s="1"/>
  <c r="E46" i="11"/>
  <c r="H81" i="11"/>
  <c r="M44" i="11"/>
  <c r="B30" i="3"/>
  <c r="B27" i="3"/>
  <c r="B29" i="3"/>
  <c r="F99" i="2" s="1"/>
  <c r="E46" i="20" l="1"/>
  <c r="L45" i="20"/>
  <c r="K45" i="20"/>
  <c r="M45" i="20" s="1"/>
  <c r="Q22" i="1"/>
  <c r="Q23" i="1" s="1"/>
  <c r="H82" i="11"/>
  <c r="E47" i="11"/>
  <c r="K46" i="11"/>
  <c r="L46" i="11"/>
  <c r="J47" i="11"/>
  <c r="G99" i="2"/>
  <c r="I99" i="2"/>
  <c r="F104" i="2"/>
  <c r="K46" i="20" l="1"/>
  <c r="L46" i="20"/>
  <c r="P46" i="20" s="1"/>
  <c r="E47" i="20"/>
  <c r="J48" i="11"/>
  <c r="L47" i="11"/>
  <c r="K47" i="11"/>
  <c r="E48" i="11"/>
  <c r="H83" i="11"/>
  <c r="M46" i="11"/>
  <c r="I104" i="2"/>
  <c r="I108" i="2" s="1"/>
  <c r="I168" i="2" s="1"/>
  <c r="J99" i="2"/>
  <c r="J104" i="2" s="1"/>
  <c r="J108" i="2" s="1"/>
  <c r="J168" i="2" s="1"/>
  <c r="F108" i="2"/>
  <c r="G104" i="2"/>
  <c r="L47" i="20" l="1"/>
  <c r="E48" i="20"/>
  <c r="K47" i="20"/>
  <c r="M46" i="20"/>
  <c r="O46" i="20"/>
  <c r="M47" i="11"/>
  <c r="H84" i="11"/>
  <c r="K48" i="11"/>
  <c r="E49" i="11"/>
  <c r="J49" i="11"/>
  <c r="L48" i="11"/>
  <c r="F168" i="2"/>
  <c r="G108" i="2"/>
  <c r="M47" i="20" l="1"/>
  <c r="E49" i="20"/>
  <c r="K48" i="20"/>
  <c r="L48" i="20"/>
  <c r="J50" i="11"/>
  <c r="L49" i="11"/>
  <c r="E50" i="11"/>
  <c r="K49" i="11"/>
  <c r="M48" i="11"/>
  <c r="H85" i="11"/>
  <c r="D14" i="16"/>
  <c r="D16" i="16" s="1"/>
  <c r="B14" i="16"/>
  <c r="G168" i="2"/>
  <c r="C14" i="16"/>
  <c r="C16" i="16" s="1"/>
  <c r="E14" i="16"/>
  <c r="E16" i="16" s="1"/>
  <c r="M48" i="20" l="1"/>
  <c r="L49" i="20"/>
  <c r="K49" i="20"/>
  <c r="M49" i="20" s="1"/>
  <c r="E50" i="20"/>
  <c r="J51" i="11"/>
  <c r="L50" i="11"/>
  <c r="H86" i="11"/>
  <c r="M49" i="11"/>
  <c r="K50" i="11"/>
  <c r="N51" i="11" s="1"/>
  <c r="E51" i="11"/>
  <c r="F14" i="16"/>
  <c r="B16" i="16"/>
  <c r="F16" i="16" s="1"/>
  <c r="L50" i="20" l="1"/>
  <c r="E51" i="20"/>
  <c r="K50" i="20"/>
  <c r="M50" i="20" s="1"/>
  <c r="J52" i="11"/>
  <c r="L51" i="11"/>
  <c r="E52" i="11"/>
  <c r="K51" i="11"/>
  <c r="M50" i="11"/>
  <c r="H87" i="11"/>
  <c r="L51" i="20" l="1"/>
  <c r="E52" i="20"/>
  <c r="K51" i="20"/>
  <c r="L52" i="11"/>
  <c r="J53" i="11"/>
  <c r="H88" i="11"/>
  <c r="M51" i="11"/>
  <c r="E53" i="11"/>
  <c r="K52" i="11"/>
  <c r="I212" i="2"/>
  <c r="M51" i="20" l="1"/>
  <c r="L52" i="20"/>
  <c r="K52" i="20"/>
  <c r="M52" i="20" s="1"/>
  <c r="E53" i="20"/>
  <c r="J54" i="11"/>
  <c r="L53" i="11"/>
  <c r="M52" i="11"/>
  <c r="H89" i="11"/>
  <c r="E54" i="11"/>
  <c r="K53" i="11"/>
  <c r="C212" i="2"/>
  <c r="B13" i="1" s="1"/>
  <c r="M53" i="11" l="1"/>
  <c r="L53" i="20"/>
  <c r="K53" i="20"/>
  <c r="E54" i="20"/>
  <c r="K54" i="11"/>
  <c r="E55" i="11"/>
  <c r="H90" i="11"/>
  <c r="L54" i="11"/>
  <c r="E55" i="20" l="1"/>
  <c r="K54" i="20"/>
  <c r="L54" i="20"/>
  <c r="M53" i="20"/>
  <c r="M54" i="11"/>
  <c r="G13" i="1"/>
  <c r="H13" i="1" s="1"/>
  <c r="H91" i="11"/>
  <c r="L55" i="11"/>
  <c r="E56" i="11"/>
  <c r="K55" i="11"/>
  <c r="E56" i="20" l="1"/>
  <c r="L55" i="20"/>
  <c r="K55" i="20"/>
  <c r="M55" i="20" s="1"/>
  <c r="M54" i="20"/>
  <c r="K13" i="1"/>
  <c r="L13" i="1" s="1"/>
  <c r="M55" i="11"/>
  <c r="K56" i="11"/>
  <c r="E57" i="11"/>
  <c r="J57" i="11"/>
  <c r="L56" i="11"/>
  <c r="H92" i="11"/>
  <c r="E57" i="20" l="1"/>
  <c r="L56" i="20"/>
  <c r="K56" i="20"/>
  <c r="M56" i="20" s="1"/>
  <c r="R14" i="1"/>
  <c r="R25" i="1" s="1"/>
  <c r="J58" i="11"/>
  <c r="L57" i="11"/>
  <c r="M56" i="11"/>
  <c r="K57" i="11"/>
  <c r="E58" i="11"/>
  <c r="H93" i="11"/>
  <c r="K57" i="20" l="1"/>
  <c r="M57" i="20" s="1"/>
  <c r="L57" i="20"/>
  <c r="E58" i="20"/>
  <c r="L58" i="11"/>
  <c r="J59" i="11"/>
  <c r="R22" i="1"/>
  <c r="R23" i="1" s="1"/>
  <c r="H94" i="11"/>
  <c r="K58" i="11"/>
  <c r="E59" i="11"/>
  <c r="M57" i="11"/>
  <c r="L58" i="20" l="1"/>
  <c r="P58" i="20" s="1"/>
  <c r="K58" i="20"/>
  <c r="E59" i="20"/>
  <c r="E60" i="11"/>
  <c r="K59" i="11"/>
  <c r="H95" i="11"/>
  <c r="R30" i="1"/>
  <c r="M58" i="11"/>
  <c r="L59" i="11"/>
  <c r="J60" i="11"/>
  <c r="E60" i="20" l="1"/>
  <c r="L59" i="20"/>
  <c r="K59" i="20"/>
  <c r="M58" i="20"/>
  <c r="O58" i="20"/>
  <c r="L60" i="11"/>
  <c r="J61" i="11"/>
  <c r="H96" i="11"/>
  <c r="M59" i="11"/>
  <c r="E61" i="11"/>
  <c r="K60" i="11"/>
  <c r="M59" i="20" l="1"/>
  <c r="E61" i="20"/>
  <c r="L60" i="20"/>
  <c r="K60" i="20"/>
  <c r="M60" i="20" s="1"/>
  <c r="E62" i="11"/>
  <c r="K61" i="11"/>
  <c r="H97" i="11"/>
  <c r="M60" i="11"/>
  <c r="J62" i="11"/>
  <c r="L61" i="11"/>
  <c r="L61" i="20" l="1"/>
  <c r="K61" i="20"/>
  <c r="M61" i="20" s="1"/>
  <c r="E62" i="20"/>
  <c r="L62" i="11"/>
  <c r="J63" i="11"/>
  <c r="M61" i="11"/>
  <c r="H98" i="11"/>
  <c r="K62" i="11"/>
  <c r="N63" i="11" s="1"/>
  <c r="E63" i="11"/>
  <c r="K62" i="20" l="1"/>
  <c r="E63" i="20"/>
  <c r="L62" i="20"/>
  <c r="L63" i="11"/>
  <c r="J64" i="11"/>
  <c r="E64" i="11"/>
  <c r="K63" i="11"/>
  <c r="M62" i="11"/>
  <c r="H99" i="11"/>
  <c r="L63" i="20" l="1"/>
  <c r="E64" i="20"/>
  <c r="K63" i="20"/>
  <c r="M63" i="20" s="1"/>
  <c r="M62" i="20"/>
  <c r="J65" i="11"/>
  <c r="L64" i="11"/>
  <c r="I213" i="2"/>
  <c r="H100" i="11"/>
  <c r="M63" i="11"/>
  <c r="E65" i="11"/>
  <c r="K64" i="11"/>
  <c r="L64" i="20" l="1"/>
  <c r="K64" i="20"/>
  <c r="E65" i="20"/>
  <c r="J66" i="11"/>
  <c r="L65" i="11"/>
  <c r="M64" i="11"/>
  <c r="K65" i="11"/>
  <c r="M65" i="11" s="1"/>
  <c r="E66" i="11"/>
  <c r="C213" i="2"/>
  <c r="B14" i="1" s="1"/>
  <c r="H101" i="11"/>
  <c r="M64" i="20" l="1"/>
  <c r="L65" i="20"/>
  <c r="E66" i="20"/>
  <c r="K65" i="20"/>
  <c r="M65" i="20" s="1"/>
  <c r="J67" i="11"/>
  <c r="L66" i="11"/>
  <c r="H102" i="11"/>
  <c r="E67" i="11"/>
  <c r="K66" i="11"/>
  <c r="K66" i="20" l="1"/>
  <c r="M66" i="20" s="1"/>
  <c r="E67" i="20"/>
  <c r="L66" i="20"/>
  <c r="J68" i="11"/>
  <c r="L67" i="11"/>
  <c r="M66" i="11"/>
  <c r="E68" i="11"/>
  <c r="K67" i="11"/>
  <c r="G14" i="1"/>
  <c r="H14" i="1" s="1"/>
  <c r="L67" i="20" l="1"/>
  <c r="K67" i="20"/>
  <c r="M67" i="20" s="1"/>
  <c r="E68" i="20"/>
  <c r="J69" i="11"/>
  <c r="L68" i="11"/>
  <c r="K14" i="1"/>
  <c r="L14" i="1" s="1"/>
  <c r="M67" i="11"/>
  <c r="K68" i="11"/>
  <c r="E69" i="11"/>
  <c r="L68" i="20" l="1"/>
  <c r="E69" i="20"/>
  <c r="K68" i="20"/>
  <c r="M68" i="20" s="1"/>
  <c r="E70" i="11"/>
  <c r="K69" i="11"/>
  <c r="M68" i="11"/>
  <c r="S14" i="1"/>
  <c r="S25" i="1" s="1"/>
  <c r="J70" i="11"/>
  <c r="L69" i="11"/>
  <c r="K69" i="20" l="1"/>
  <c r="L69" i="20"/>
  <c r="E70" i="20"/>
  <c r="E71" i="11"/>
  <c r="K70" i="11"/>
  <c r="L70" i="11"/>
  <c r="J71" i="11"/>
  <c r="S22" i="1"/>
  <c r="S23" i="1" s="1"/>
  <c r="M69" i="11"/>
  <c r="K70" i="20" l="1"/>
  <c r="E71" i="20"/>
  <c r="L70" i="20"/>
  <c r="P70" i="20" s="1"/>
  <c r="M69" i="20"/>
  <c r="E72" i="11"/>
  <c r="K71" i="11"/>
  <c r="S30" i="1"/>
  <c r="M70" i="11"/>
  <c r="L71" i="11"/>
  <c r="J72" i="11"/>
  <c r="E72" i="20" l="1"/>
  <c r="L71" i="20"/>
  <c r="K71" i="20"/>
  <c r="M70" i="20"/>
  <c r="O70" i="20"/>
  <c r="L72" i="11"/>
  <c r="J73" i="11"/>
  <c r="M71" i="11"/>
  <c r="E73" i="11"/>
  <c r="K72" i="11"/>
  <c r="M71" i="20" l="1"/>
  <c r="E73" i="20"/>
  <c r="L72" i="20"/>
  <c r="K72" i="20"/>
  <c r="M72" i="20" s="1"/>
  <c r="M72" i="11"/>
  <c r="E74" i="11"/>
  <c r="K73" i="11"/>
  <c r="J74" i="11"/>
  <c r="L73" i="11"/>
  <c r="K73" i="20" l="1"/>
  <c r="L73" i="20"/>
  <c r="E74" i="20"/>
  <c r="L74" i="11"/>
  <c r="J75" i="11"/>
  <c r="M73" i="11"/>
  <c r="E75" i="11"/>
  <c r="K74" i="11"/>
  <c r="N75" i="11" s="1"/>
  <c r="K74" i="20" l="1"/>
  <c r="L74" i="20"/>
  <c r="E75" i="20"/>
  <c r="M73" i="20"/>
  <c r="J76" i="11"/>
  <c r="L75" i="11"/>
  <c r="M74" i="11"/>
  <c r="E76" i="11"/>
  <c r="K75" i="11"/>
  <c r="K75" i="20" l="1"/>
  <c r="E76" i="20"/>
  <c r="L75" i="20"/>
  <c r="M74" i="20"/>
  <c r="L76" i="11"/>
  <c r="J77" i="11"/>
  <c r="M75" i="11"/>
  <c r="E77" i="11"/>
  <c r="K76" i="11"/>
  <c r="I214" i="2"/>
  <c r="E77" i="20" l="1"/>
  <c r="L76" i="20"/>
  <c r="K76" i="20"/>
  <c r="M75" i="20"/>
  <c r="E78" i="11"/>
  <c r="K77" i="11"/>
  <c r="M76" i="11"/>
  <c r="C214" i="2"/>
  <c r="B15" i="1" s="1"/>
  <c r="J78" i="11"/>
  <c r="L77" i="11"/>
  <c r="M76" i="20" l="1"/>
  <c r="K77" i="20"/>
  <c r="M77" i="20" s="1"/>
  <c r="E78" i="20"/>
  <c r="L77" i="20"/>
  <c r="M77" i="11"/>
  <c r="E79" i="11"/>
  <c r="K78" i="11"/>
  <c r="L78" i="11"/>
  <c r="L78" i="20" l="1"/>
  <c r="E79" i="20"/>
  <c r="K78" i="20"/>
  <c r="M78" i="20" s="1"/>
  <c r="L79" i="11"/>
  <c r="E80" i="11"/>
  <c r="K79" i="11"/>
  <c r="M78" i="11"/>
  <c r="G15" i="1"/>
  <c r="H15" i="1" s="1"/>
  <c r="E80" i="20" l="1"/>
  <c r="L79" i="20"/>
  <c r="K79" i="20"/>
  <c r="M79" i="11"/>
  <c r="K15" i="1"/>
  <c r="L15" i="1" s="1"/>
  <c r="E81" i="11"/>
  <c r="K80" i="11"/>
  <c r="L80" i="11"/>
  <c r="J81" i="11"/>
  <c r="M79" i="20" l="1"/>
  <c r="E81" i="20"/>
  <c r="L80" i="20"/>
  <c r="K80" i="20"/>
  <c r="L81" i="11"/>
  <c r="J82" i="11"/>
  <c r="E82" i="11"/>
  <c r="K81" i="11"/>
  <c r="M80" i="11"/>
  <c r="T14" i="1"/>
  <c r="T25" i="1" s="1"/>
  <c r="L81" i="20" l="1"/>
  <c r="K81" i="20"/>
  <c r="M81" i="20" s="1"/>
  <c r="E82" i="20"/>
  <c r="M80" i="20"/>
  <c r="M81" i="11"/>
  <c r="T22" i="1"/>
  <c r="T23" i="1" s="1"/>
  <c r="E83" i="11"/>
  <c r="K82" i="11"/>
  <c r="J83" i="11"/>
  <c r="L82" i="11"/>
  <c r="K82" i="20" l="1"/>
  <c r="L82" i="20"/>
  <c r="P82" i="20" s="1"/>
  <c r="E83" i="20"/>
  <c r="J84" i="11"/>
  <c r="L83" i="11"/>
  <c r="M82" i="11"/>
  <c r="E84" i="11"/>
  <c r="K83" i="11"/>
  <c r="T30" i="1"/>
  <c r="K83" i="20" l="1"/>
  <c r="L83" i="20"/>
  <c r="M82" i="20"/>
  <c r="O82" i="20"/>
  <c r="M83" i="11"/>
  <c r="E85" i="11"/>
  <c r="K84" i="11"/>
  <c r="J85" i="11"/>
  <c r="L84" i="11"/>
  <c r="P83" i="20" l="1"/>
  <c r="P84" i="20" s="1"/>
  <c r="L84" i="20"/>
  <c r="M83" i="20"/>
  <c r="M84" i="20" s="1"/>
  <c r="M85" i="20" s="1"/>
  <c r="O83" i="20"/>
  <c r="O84" i="20" s="1"/>
  <c r="K84" i="20"/>
  <c r="L85" i="11"/>
  <c r="J86" i="11"/>
  <c r="M84" i="11"/>
  <c r="E86" i="11"/>
  <c r="K85" i="11"/>
  <c r="M85" i="11" l="1"/>
  <c r="E87" i="11"/>
  <c r="K86" i="11"/>
  <c r="N87" i="11" s="1"/>
  <c r="L86" i="11"/>
  <c r="J87" i="11"/>
  <c r="J88" i="11" l="1"/>
  <c r="L87" i="11"/>
  <c r="M86" i="11"/>
  <c r="E88" i="11"/>
  <c r="K87" i="11"/>
  <c r="I215" i="2" l="1"/>
  <c r="M87" i="11"/>
  <c r="E89" i="11"/>
  <c r="K88" i="11"/>
  <c r="L88" i="11"/>
  <c r="J89" i="11"/>
  <c r="J90" i="11" l="1"/>
  <c r="L89" i="11"/>
  <c r="M88" i="11"/>
  <c r="E90" i="11"/>
  <c r="K89" i="11"/>
  <c r="C215" i="2"/>
  <c r="B16" i="1" s="1"/>
  <c r="M89" i="11" l="1"/>
  <c r="L90" i="11"/>
  <c r="E91" i="11"/>
  <c r="K90" i="11"/>
  <c r="M90" i="11" l="1"/>
  <c r="L91" i="11"/>
  <c r="E92" i="11"/>
  <c r="K91" i="11"/>
  <c r="G16" i="1"/>
  <c r="H16" i="1" s="1"/>
  <c r="M91" i="11" l="1"/>
  <c r="K16" i="1"/>
  <c r="L16" i="1" s="1"/>
  <c r="E93" i="11"/>
  <c r="K92" i="11"/>
  <c r="J93" i="11"/>
  <c r="L92" i="11"/>
  <c r="L93" i="11" l="1"/>
  <c r="J94" i="11"/>
  <c r="E94" i="11"/>
  <c r="K93" i="11"/>
  <c r="M92" i="11"/>
  <c r="U14" i="1"/>
  <c r="U25" i="1" s="1"/>
  <c r="M93" i="11" l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N99" i="11" s="1"/>
  <c r="L98" i="11"/>
  <c r="J99" i="11"/>
  <c r="M97" i="11"/>
  <c r="E100" i="11" l="1"/>
  <c r="K99" i="11"/>
  <c r="L99" i="11"/>
  <c r="I216" i="2" s="1"/>
  <c r="J100" i="11"/>
  <c r="M98" i="11"/>
  <c r="L100" i="11" l="1"/>
  <c r="J101" i="11"/>
  <c r="M99" i="11"/>
  <c r="C216" i="2"/>
  <c r="B17" i="1" s="1"/>
  <c r="E101" i="11"/>
  <c r="K100" i="11"/>
  <c r="M100" i="11" l="1"/>
  <c r="I25" i="11"/>
  <c r="E102" i="11"/>
  <c r="K102" i="11" s="1"/>
  <c r="K101" i="11"/>
  <c r="N103" i="11" s="1"/>
  <c r="L101" i="11"/>
  <c r="J102" i="11"/>
  <c r="L102" i="11" s="1"/>
  <c r="J25" i="11" s="1"/>
  <c r="G17" i="1"/>
  <c r="H17" i="1" s="1"/>
  <c r="I217" i="2" l="1"/>
  <c r="K17" i="1"/>
  <c r="L17" i="1" s="1"/>
  <c r="V14" i="1"/>
  <c r="V25" i="1" s="1"/>
  <c r="L104" i="11"/>
  <c r="J20" i="11"/>
  <c r="J21" i="11"/>
  <c r="J22" i="11"/>
  <c r="J23" i="11"/>
  <c r="J24" i="11"/>
  <c r="M101" i="11"/>
  <c r="M102" i="11"/>
  <c r="K104" i="11"/>
  <c r="I20" i="11"/>
  <c r="I21" i="11"/>
  <c r="I22" i="11"/>
  <c r="I23" i="11"/>
  <c r="I24" i="11"/>
  <c r="K25" i="11"/>
  <c r="O104" i="11" l="1"/>
  <c r="K22" i="11"/>
  <c r="F23" i="1"/>
  <c r="I221" i="2"/>
  <c r="C217" i="2"/>
  <c r="B18" i="1" s="1"/>
  <c r="N104" i="11"/>
  <c r="K24" i="11"/>
  <c r="K23" i="11"/>
  <c r="K21" i="11"/>
  <c r="K20" i="11"/>
  <c r="I26" i="11"/>
  <c r="J26" i="11"/>
  <c r="M104" i="11"/>
  <c r="V30" i="1"/>
  <c r="V22" i="1"/>
  <c r="K26" i="11" l="1"/>
  <c r="C221" i="2"/>
  <c r="F61" i="2" s="1"/>
  <c r="F65" i="2"/>
  <c r="G203" i="2"/>
  <c r="J203" i="2" l="1"/>
  <c r="F66" i="2"/>
  <c r="G65" i="2"/>
  <c r="I65" i="2"/>
  <c r="J65" i="2" s="1"/>
  <c r="F113" i="2"/>
  <c r="F91" i="2"/>
  <c r="G18" i="1"/>
  <c r="H18" i="1" s="1"/>
  <c r="B23" i="1"/>
  <c r="K18" i="1" l="1"/>
  <c r="L18" i="1" s="1"/>
  <c r="G23" i="1"/>
  <c r="G91" i="2"/>
  <c r="I91" i="2"/>
  <c r="J91" i="2" s="1"/>
  <c r="F120" i="2"/>
  <c r="G113" i="2"/>
  <c r="I113" i="2"/>
  <c r="G66" i="2"/>
  <c r="F152" i="2"/>
  <c r="I66" i="2"/>
  <c r="J66" i="2" s="1"/>
  <c r="F63" i="2"/>
  <c r="I61" i="2"/>
  <c r="G61" i="2"/>
  <c r="G199" i="2"/>
  <c r="G200" i="2" s="1"/>
  <c r="J113" i="2" l="1"/>
  <c r="I120" i="2"/>
  <c r="F87" i="2"/>
  <c r="F64" i="2"/>
  <c r="G63" i="2"/>
  <c r="J200" i="2"/>
  <c r="G201" i="2"/>
  <c r="G120" i="2"/>
  <c r="F171" i="2"/>
  <c r="F75" i="2"/>
  <c r="F145" i="2"/>
  <c r="I63" i="2"/>
  <c r="J61" i="2"/>
  <c r="J63" i="2" s="1"/>
  <c r="J199" i="2"/>
  <c r="G152" i="2"/>
  <c r="I152" i="2"/>
  <c r="J152" i="2" s="1"/>
  <c r="L23" i="1"/>
  <c r="K23" i="1"/>
  <c r="W14" i="1"/>
  <c r="W25" i="1" s="1"/>
  <c r="H23" i="1"/>
  <c r="L24" i="1" l="1"/>
  <c r="G145" i="2"/>
  <c r="J120" i="2"/>
  <c r="G171" i="2"/>
  <c r="J201" i="2"/>
  <c r="J205" i="2" s="1"/>
  <c r="G205" i="2"/>
  <c r="W22" i="1"/>
  <c r="R34" i="1" s="1"/>
  <c r="N23" i="1" s="1"/>
  <c r="M23" i="1" s="1"/>
  <c r="AA14" i="1"/>
  <c r="AA22" i="1" s="1"/>
  <c r="G87" i="2"/>
  <c r="F150" i="2"/>
  <c r="F74" i="2"/>
  <c r="G64" i="2"/>
  <c r="I64" i="2"/>
  <c r="J64" i="2" s="1"/>
  <c r="I87" i="2"/>
  <c r="I75" i="2"/>
  <c r="J75" i="2" s="1"/>
  <c r="I145" i="2"/>
  <c r="I171" i="2"/>
  <c r="I173" i="2" s="1"/>
  <c r="F173" i="2"/>
  <c r="W30" i="1" l="1"/>
  <c r="Q34" i="1" s="1"/>
  <c r="AA25" i="1"/>
  <c r="AA30" i="1" s="1"/>
  <c r="G206" i="2"/>
  <c r="G207" i="2"/>
  <c r="J206" i="2"/>
  <c r="J207" i="2"/>
  <c r="G150" i="2"/>
  <c r="I150" i="2"/>
  <c r="F154" i="2"/>
  <c r="G74" i="2"/>
  <c r="I74" i="2"/>
  <c r="J74" i="2" s="1"/>
  <c r="J171" i="2"/>
  <c r="J173" i="2" s="1"/>
  <c r="G173" i="2"/>
  <c r="J145" i="2"/>
  <c r="J87" i="2"/>
  <c r="G183" i="2" l="1"/>
  <c r="G208" i="2"/>
  <c r="F155" i="2"/>
  <c r="J150" i="2"/>
  <c r="J154" i="2" s="1"/>
  <c r="J155" i="2" s="1"/>
  <c r="I154" i="2"/>
  <c r="I155" i="2" s="1"/>
  <c r="G154" i="2"/>
  <c r="G155" i="2" l="1"/>
  <c r="F83" i="2"/>
  <c r="J183" i="2"/>
  <c r="G83" i="2" l="1"/>
  <c r="I83" i="2"/>
  <c r="F93" i="2"/>
  <c r="B11" i="16"/>
  <c r="F11" i="16" s="1"/>
  <c r="C11" i="18"/>
  <c r="E11" i="18"/>
  <c r="J83" i="2" l="1"/>
  <c r="G195" i="2"/>
  <c r="G93" i="2"/>
  <c r="F11" i="18"/>
  <c r="E12" i="18"/>
  <c r="F12" i="18" s="1"/>
  <c r="D11" i="18"/>
  <c r="G11" i="18"/>
  <c r="C12" i="18"/>
  <c r="D12" i="18" s="1"/>
  <c r="I93" i="2"/>
  <c r="D13" i="18" l="1"/>
  <c r="D23" i="18" s="1"/>
  <c r="F13" i="18"/>
  <c r="F23" i="18" s="1"/>
  <c r="E13" i="18"/>
  <c r="E23" i="18" s="1"/>
  <c r="C13" i="18"/>
  <c r="C23" i="18" s="1"/>
  <c r="H11" i="18"/>
  <c r="G12" i="18"/>
  <c r="H12" i="18" s="1"/>
  <c r="G94" i="2"/>
  <c r="J93" i="2"/>
  <c r="G25" i="1"/>
  <c r="H25" i="1" s="1"/>
  <c r="H13" i="18" l="1"/>
  <c r="H23" i="18" s="1"/>
  <c r="F94" i="2"/>
  <c r="H28" i="1"/>
  <c r="G28" i="1"/>
  <c r="G31" i="1" s="1"/>
  <c r="K25" i="1"/>
  <c r="K28" i="1" s="1"/>
  <c r="G13" i="18"/>
  <c r="G23" i="18" s="1"/>
  <c r="G95" i="2"/>
  <c r="G107" i="2" l="1"/>
  <c r="N28" i="1"/>
  <c r="M28" i="1" s="1"/>
  <c r="H31" i="1"/>
  <c r="I94" i="2"/>
  <c r="F95" i="2"/>
  <c r="H32" i="1" l="1"/>
  <c r="H36" i="1" s="1"/>
  <c r="N31" i="1"/>
  <c r="N32" i="1" s="1"/>
  <c r="J94" i="2"/>
  <c r="I95" i="2"/>
  <c r="I107" i="2" s="1"/>
  <c r="F107" i="2"/>
  <c r="E3" i="16"/>
  <c r="B3" i="16"/>
  <c r="D3" i="16"/>
  <c r="G109" i="2"/>
  <c r="C3" i="16"/>
  <c r="G167" i="2"/>
  <c r="E18" i="16" l="1"/>
  <c r="E12" i="16"/>
  <c r="E20" i="16" s="1"/>
  <c r="F3" i="16"/>
  <c r="B18" i="16"/>
  <c r="B12" i="16"/>
  <c r="I167" i="2"/>
  <c r="I169" i="2" s="1"/>
  <c r="I178" i="2" s="1"/>
  <c r="I109" i="2"/>
  <c r="J95" i="2"/>
  <c r="D12" i="16"/>
  <c r="D20" i="16" s="1"/>
  <c r="D18" i="16"/>
  <c r="F109" i="2"/>
  <c r="F167" i="2"/>
  <c r="G169" i="2"/>
  <c r="C12" i="16"/>
  <c r="C20" i="16" s="1"/>
  <c r="C18" i="16"/>
  <c r="N36" i="1"/>
  <c r="G144" i="2"/>
  <c r="G136" i="2"/>
  <c r="M31" i="1"/>
  <c r="J107" i="2" l="1"/>
  <c r="B20" i="16"/>
  <c r="F20" i="16" s="1"/>
  <c r="F12" i="16"/>
  <c r="G146" i="2"/>
  <c r="I144" i="2"/>
  <c r="I136" i="2"/>
  <c r="I146" i="2" s="1"/>
  <c r="F18" i="16"/>
  <c r="G178" i="2"/>
  <c r="G182" i="2"/>
  <c r="F169" i="2"/>
  <c r="F144" i="2"/>
  <c r="F136" i="2"/>
  <c r="G185" i="2" l="1"/>
  <c r="J182" i="2"/>
  <c r="J185" i="2" s="1"/>
  <c r="J186" i="2" s="1"/>
  <c r="F146" i="2"/>
  <c r="F178" i="2"/>
  <c r="J167" i="2"/>
  <c r="J109" i="2"/>
  <c r="J144" i="2" l="1"/>
  <c r="J136" i="2"/>
  <c r="J169" i="2"/>
  <c r="G186" i="2"/>
  <c r="J178" i="2" l="1"/>
  <c r="J14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in219907</author>
  </authors>
  <commentList>
    <comment ref="G19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in219907:</t>
        </r>
        <r>
          <rPr>
            <sz val="9"/>
            <color indexed="81"/>
            <rFont val="Tahoma"/>
            <family val="2"/>
          </rPr>
          <t xml:space="preserve">
Assumed that Agreement will be of 10yrs hence MV tkn @ 25% which wil be devided equally over a period of 10yrs</t>
        </r>
      </text>
    </comment>
    <comment ref="J192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in219907:</t>
        </r>
        <r>
          <rPr>
            <sz val="9"/>
            <color indexed="81"/>
            <rFont val="Tahoma"/>
            <family val="2"/>
          </rPr>
          <t xml:space="preserve">
Assumed that Agreement will be of 10yrs hence MV tkn @ 25% which wil be devided equally over a period of 10yrs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Qureshi, Imran (SRE FIN AMC 4)</author>
  </authors>
  <commentList>
    <comment ref="B12" authorId="0" shapeId="0" xr:uid="{6B8DCA7A-F44D-4905-8ECA-8A51D875BFA8}">
      <text>
        <r>
          <rPr>
            <b/>
            <sz val="9"/>
            <color indexed="81"/>
            <rFont val="Tahoma"/>
            <family val="2"/>
          </rPr>
          <t>Qureshi, Imran (SRE FIN AMC 4):</t>
        </r>
        <r>
          <rPr>
            <sz val="9"/>
            <color indexed="81"/>
            <rFont val="Tahoma"/>
            <family val="2"/>
          </rPr>
          <t xml:space="preserve">
book value 30th Sep 2025</t>
        </r>
      </text>
    </comment>
    <comment ref="B18" authorId="0" shapeId="0" xr:uid="{49F4E02C-4F76-4752-83B6-0074A70DCC7B}">
      <text>
        <r>
          <rPr>
            <b/>
            <sz val="9"/>
            <color indexed="81"/>
            <rFont val="Tahoma"/>
            <family val="2"/>
          </rPr>
          <t>Qureshi, Imran (SRE FIN AMC 4):</t>
        </r>
        <r>
          <rPr>
            <sz val="9"/>
            <color indexed="81"/>
            <rFont val="Tahoma"/>
            <family val="2"/>
          </rPr>
          <t xml:space="preserve">
book value 30th Sep 2025</t>
        </r>
      </text>
    </comment>
  </commentList>
</comments>
</file>

<file path=xl/sharedStrings.xml><?xml version="1.0" encoding="utf-8"?>
<sst xmlns="http://schemas.openxmlformats.org/spreadsheetml/2006/main" count="807" uniqueCount="500">
  <si>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</si>
  <si>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</si>
  <si>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</si>
  <si>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</si>
  <si>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</si>
  <si>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</si>
  <si>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</si>
  <si>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</si>
  <si>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</si>
  <si>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</si>
  <si>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</si>
  <si>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</si>
  <si>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</si>
  <si>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</si>
  <si>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</si>
  <si>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</si>
  <si>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</si>
  <si>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</si>
  <si>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</si>
  <si>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</si>
  <si>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</si>
  <si>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</si>
  <si>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</si>
  <si>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</si>
  <si>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</si>
  <si>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</si>
  <si>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</si>
  <si>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</si>
  <si>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</si>
  <si>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</si>
  <si>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</si>
  <si>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</si>
  <si>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</si>
  <si>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</si>
  <si>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</si>
  <si>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</si>
  <si>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</si>
  <si>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</si>
  <si>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</si>
  <si>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</si>
  <si>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</si>
  <si>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</si>
  <si>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</si>
  <si>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</si>
  <si>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</si>
  <si>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</si>
  <si>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</si>
  <si>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</si>
  <si>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</si>
  <si>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</si>
  <si>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</si>
  <si>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</si>
  <si>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</si>
  <si>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</si>
  <si>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</si>
  <si>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</si>
  <si>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</si>
  <si>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</si>
  <si>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</si>
  <si>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Maintenance Deposit-B</t>
  </si>
  <si>
    <t>Power Deposit-C</t>
  </si>
  <si>
    <t>Additional Sec Deposit (Rent)</t>
  </si>
  <si>
    <t>4th year</t>
  </si>
  <si>
    <t>7th year</t>
  </si>
  <si>
    <t>10th year</t>
  </si>
  <si>
    <t>Rent</t>
  </si>
  <si>
    <t>CAM</t>
  </si>
  <si>
    <t>€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</si>
  <si>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</si>
  <si>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</si>
  <si>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</si>
  <si>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</si>
  <si>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</si>
  <si>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</si>
  <si>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</si>
  <si>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</si>
  <si>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</si>
  <si>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</si>
  <si>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</si>
  <si>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</si>
  <si>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</si>
  <si>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</si>
  <si>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</si>
  <si>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</si>
  <si>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</si>
  <si>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</si>
  <si>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</si>
  <si>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</si>
  <si>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</si>
  <si>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</si>
  <si>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</si>
  <si>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</si>
  <si>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</si>
  <si>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</si>
  <si>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</si>
  <si>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Stamp Duty, Brokerage etc.( Months)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</si>
  <si>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</si>
  <si>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</si>
  <si>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</si>
  <si>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</si>
  <si>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</si>
  <si>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</si>
  <si>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</si>
  <si>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</si>
  <si>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</si>
  <si>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</si>
  <si>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</si>
  <si>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</si>
  <si>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Rentals (Negotiated) ( per Sq.ft./Sq. mtr)</t>
  </si>
  <si>
    <t>Rentals Utility (negotiated) ( per Sq.ft./Sq. mtr)</t>
  </si>
  <si>
    <t>CAM  ( Negotiated) ( per Sq.ft./Sq. mtr)</t>
  </si>
  <si>
    <t>No. of  dedicated car parks - Free</t>
  </si>
  <si>
    <t>No. of  dedicated car parks - chargeable</t>
  </si>
  <si>
    <t>Carpark - charges per car including Service tax</t>
  </si>
  <si>
    <t>No. of  dedicated 2 Wheeler parks - Free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</si>
  <si>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</si>
  <si>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</si>
  <si>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</si>
  <si>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</si>
  <si>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</si>
  <si>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</si>
  <si>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</si>
  <si>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</si>
  <si>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</si>
  <si>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</si>
  <si>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</si>
  <si>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</si>
  <si>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</si>
  <si>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</si>
  <si>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</si>
  <si>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</si>
  <si>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</si>
  <si>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</si>
  <si>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</si>
  <si>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</si>
  <si>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</si>
  <si>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</si>
  <si>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</si>
  <si>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</si>
  <si>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</si>
  <si>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</si>
  <si>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</si>
  <si>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</si>
  <si>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</si>
  <si>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</si>
  <si>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</si>
  <si>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</si>
  <si>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</si>
  <si>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</si>
  <si>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</si>
  <si>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</si>
  <si>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</si>
  <si>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</si>
  <si>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</si>
  <si>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</si>
  <si>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</si>
  <si>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</si>
  <si>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</si>
  <si>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</si>
  <si>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</si>
  <si>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</si>
  <si>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</si>
  <si>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</si>
  <si>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</si>
  <si>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</si>
  <si>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</si>
  <si>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</si>
  <si>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</si>
  <si>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</si>
  <si>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</si>
  <si>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</si>
  <si>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</si>
  <si>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</si>
  <si>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</si>
  <si>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</si>
  <si>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</si>
  <si>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</si>
  <si>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</si>
  <si>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</si>
  <si>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</si>
  <si>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</si>
  <si>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</si>
  <si>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</si>
  <si>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</si>
  <si>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</si>
  <si>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</si>
  <si>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</si>
  <si>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</si>
  <si>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</si>
  <si>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</si>
  <si>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</si>
  <si>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</si>
  <si>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</si>
  <si>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</si>
  <si>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</si>
  <si>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</si>
  <si>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</si>
  <si>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</si>
  <si>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</si>
  <si>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</si>
  <si>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</si>
  <si>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</si>
  <si>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</si>
  <si>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</si>
  <si>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</si>
  <si>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</si>
  <si>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</si>
  <si>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</si>
  <si>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</si>
  <si>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</si>
  <si>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</si>
  <si>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</si>
  <si>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</si>
  <si>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</si>
  <si>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</si>
  <si>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</si>
  <si>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</si>
  <si>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</si>
  <si>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</si>
  <si>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</si>
  <si>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</si>
  <si>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</si>
  <si>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</si>
  <si>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</si>
  <si>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</si>
  <si>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</si>
  <si>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</si>
  <si>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</si>
  <si>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</si>
  <si>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</si>
  <si>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</si>
  <si>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</si>
  <si>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</si>
  <si>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</si>
  <si>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</si>
  <si>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</si>
  <si>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</si>
  <si>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FY</t>
  </si>
  <si>
    <t>FY23</t>
  </si>
  <si>
    <t>FY24</t>
  </si>
  <si>
    <t>FY25</t>
  </si>
  <si>
    <t>FY26</t>
  </si>
  <si>
    <t>FY23-FY26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</si>
  <si>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</si>
  <si>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</si>
  <si>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</si>
  <si>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</si>
  <si>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</si>
  <si>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</si>
  <si>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</si>
  <si>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</si>
  <si>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</si>
  <si>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</si>
  <si>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</si>
  <si>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</si>
  <si>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</si>
  <si>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</si>
  <si>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</si>
  <si>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</si>
  <si>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</si>
  <si>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</si>
  <si>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</si>
  <si>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</si>
  <si>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</si>
  <si>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</si>
  <si>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</si>
  <si>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</si>
  <si>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</si>
  <si>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</si>
  <si>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</si>
  <si>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</si>
  <si>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</si>
  <si>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</si>
  <si>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</si>
  <si>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</si>
  <si>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</si>
  <si>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</si>
  <si>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</si>
  <si>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</si>
  <si>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</si>
  <si>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</si>
  <si>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</si>
  <si>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</si>
  <si>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</si>
  <si>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</si>
  <si>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</si>
  <si>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</si>
  <si>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</si>
  <si>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</si>
  <si>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</si>
  <si>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</si>
  <si>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</si>
  <si>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</si>
  <si>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</si>
  <si>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</si>
  <si>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1st Year</t>
  </si>
  <si>
    <t>2nd Year</t>
  </si>
  <si>
    <t>3rd Year</t>
  </si>
  <si>
    <t>Total Lease Term</t>
  </si>
  <si>
    <t>As per YoY</t>
  </si>
  <si>
    <t>NR1 Revenue</t>
  </si>
  <si>
    <t>NR1 Cost</t>
  </si>
  <si>
    <t>Dep-IFRS16</t>
  </si>
  <si>
    <t>Dep. Assets</t>
  </si>
  <si>
    <t>Maintenance</t>
  </si>
  <si>
    <t>Act. Int.</t>
  </si>
  <si>
    <t>Imp. Int</t>
  </si>
  <si>
    <t>Admin</t>
  </si>
  <si>
    <t>Others</t>
  </si>
  <si>
    <t>NR1 EBT</t>
  </si>
  <si>
    <t>NR2 Revenue</t>
  </si>
  <si>
    <t>NR2 Cost</t>
  </si>
  <si>
    <t>NR2 EBT</t>
  </si>
  <si>
    <t>NR Revenue</t>
  </si>
  <si>
    <t>NR Cost</t>
  </si>
  <si>
    <t>NR EBT</t>
  </si>
  <si>
    <t>4th Year</t>
  </si>
  <si>
    <t>Area</t>
  </si>
  <si>
    <t>Period</t>
  </si>
  <si>
    <t>Month</t>
  </si>
  <si>
    <t>Prepayments</t>
  </si>
  <si>
    <t>August 2025</t>
  </si>
  <si>
    <t>September 2025</t>
  </si>
  <si>
    <t>October 2025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</si>
  <si>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</si>
  <si>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</si>
  <si>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</si>
  <si>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</si>
  <si>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</si>
  <si>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</si>
  <si>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</si>
  <si>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Charging period (Months)</t>
  </si>
  <si>
    <t>Total cost</t>
  </si>
  <si>
    <t>Cost/Sqm/pm</t>
  </si>
  <si>
    <t>Charging period (Period)</t>
  </si>
  <si>
    <t>16-Jun-2024 to
15-Jun-2027</t>
  </si>
  <si>
    <t>16-Jun-2027 to
15-Jun-2028</t>
  </si>
  <si>
    <t>16-Jun-2024 to
15-Jun-2028</t>
  </si>
  <si>
    <t>Area (sqm)</t>
  </si>
  <si>
    <t>Lease Size Calculation for 3 Years</t>
  </si>
  <si>
    <t>Cost Heads</t>
  </si>
  <si>
    <t>Opex Maintenance (as per Planon)</t>
  </si>
  <si>
    <t>Utility (Elect/Water/Fuel)</t>
  </si>
  <si>
    <t>CAM (Landlord)</t>
  </si>
  <si>
    <t>Taxes (Property Tax, GST)</t>
  </si>
  <si>
    <t>Cleaning / Housekeeping</t>
  </si>
  <si>
    <t>Security / Reception</t>
  </si>
  <si>
    <t>Opex Others (incl. COVID)</t>
  </si>
  <si>
    <t>Total Opex Cost</t>
  </si>
  <si>
    <t>Canteen</t>
  </si>
  <si>
    <t>Comfy (one-time / SAS)</t>
  </si>
  <si>
    <t>Courier</t>
  </si>
  <si>
    <t>Stationery</t>
  </si>
  <si>
    <t>Pantry</t>
  </si>
  <si>
    <t>Total Services</t>
  </si>
  <si>
    <t>Basic Maintenance</t>
  </si>
  <si>
    <t xml:space="preserve">Project Maintenance </t>
  </si>
  <si>
    <t>CAPEX</t>
  </si>
  <si>
    <t>Q2 FY26</t>
  </si>
  <si>
    <t>Q3 FY26</t>
  </si>
  <si>
    <t>Q4 FY26</t>
  </si>
  <si>
    <t>Total FY26</t>
  </si>
  <si>
    <t>Q1 FY26</t>
  </si>
  <si>
    <t>Q1 FY27</t>
  </si>
  <si>
    <t>Q2 FY27</t>
  </si>
  <si>
    <t>Q3 FY27</t>
  </si>
  <si>
    <t>Q4 FY27</t>
  </si>
  <si>
    <t>Total FY27</t>
  </si>
  <si>
    <t>Q1 FY28</t>
  </si>
  <si>
    <t>Q2 FY28</t>
  </si>
  <si>
    <t>Q3 FY28</t>
  </si>
  <si>
    <t>Q4 FY28</t>
  </si>
  <si>
    <t>Total FY28</t>
  </si>
  <si>
    <t>Q1 FY29</t>
  </si>
  <si>
    <t>Q2 FY29</t>
  </si>
  <si>
    <t>Q3 FY29</t>
  </si>
  <si>
    <t>Q4 FY29</t>
  </si>
  <si>
    <t>Total FY29</t>
  </si>
  <si>
    <t xml:space="preserve">Total </t>
  </si>
  <si>
    <t>Opex rates</t>
  </si>
  <si>
    <t xml:space="preserve">GOSA rates </t>
  </si>
  <si>
    <t>Parking</t>
  </si>
  <si>
    <t>15.11.2020</t>
  </si>
  <si>
    <t>14.11.2021</t>
  </si>
  <si>
    <t>15.11.2021</t>
  </si>
  <si>
    <t>14.11.2022</t>
  </si>
  <si>
    <t>15.11.2022</t>
  </si>
  <si>
    <t>14.11.2023</t>
  </si>
  <si>
    <t>15.11.2023</t>
  </si>
  <si>
    <t>14.11.2024</t>
  </si>
  <si>
    <t>15.11.2024</t>
  </si>
  <si>
    <t>14.11.2025</t>
  </si>
  <si>
    <t>15.11.2025</t>
  </si>
  <si>
    <t>14.11.2026</t>
  </si>
  <si>
    <t>15.11.2026</t>
  </si>
  <si>
    <t>14.11.2027</t>
  </si>
  <si>
    <t>15.11.2027</t>
  </si>
  <si>
    <t>14.11.2028</t>
  </si>
  <si>
    <t>Car</t>
  </si>
  <si>
    <t>Bike</t>
  </si>
  <si>
    <t>Parking
Car Rate/SQF</t>
  </si>
  <si>
    <t>Parking
Bike Rate/SQF</t>
  </si>
  <si>
    <t>15.11.2029</t>
  </si>
  <si>
    <t>15.11.2028</t>
  </si>
  <si>
    <t>14.11.2029</t>
  </si>
  <si>
    <t>Rentals</t>
  </si>
  <si>
    <t>November 2025</t>
  </si>
  <si>
    <t>December 2025</t>
  </si>
  <si>
    <t>January 2026</t>
  </si>
  <si>
    <t>February 2026</t>
  </si>
  <si>
    <t>March 2026</t>
  </si>
  <si>
    <t>April 2026</t>
  </si>
  <si>
    <t>May 2026</t>
  </si>
  <si>
    <t>June 2026</t>
  </si>
  <si>
    <t>July 2026</t>
  </si>
  <si>
    <t>August 2026</t>
  </si>
  <si>
    <t>September 2026</t>
  </si>
  <si>
    <t>October 2026</t>
  </si>
  <si>
    <t>November 2026</t>
  </si>
  <si>
    <t>December 2026</t>
  </si>
  <si>
    <t>January 2027</t>
  </si>
  <si>
    <t>February 2027</t>
  </si>
  <si>
    <t>March 2027</t>
  </si>
  <si>
    <t>April 2027</t>
  </si>
  <si>
    <t>May 2027</t>
  </si>
  <si>
    <t>June 2027</t>
  </si>
  <si>
    <t>July 2027</t>
  </si>
  <si>
    <t>August 2027</t>
  </si>
  <si>
    <t>September 2027</t>
  </si>
  <si>
    <t>October 2027</t>
  </si>
  <si>
    <t>November 2027</t>
  </si>
  <si>
    <t>December 2027</t>
  </si>
  <si>
    <t>January 2028</t>
  </si>
  <si>
    <t>February 2028</t>
  </si>
  <si>
    <t>March 2028</t>
  </si>
  <si>
    <t>April 2028</t>
  </si>
  <si>
    <t>May 2028</t>
  </si>
  <si>
    <t>June 2028</t>
  </si>
  <si>
    <t>July 2028</t>
  </si>
  <si>
    <t>August 2028</t>
  </si>
  <si>
    <t>September 2028</t>
  </si>
  <si>
    <t>October 2028</t>
  </si>
  <si>
    <t>November 2028</t>
  </si>
  <si>
    <t>December 2028</t>
  </si>
  <si>
    <t>January 2029</t>
  </si>
  <si>
    <t>February 2029</t>
  </si>
  <si>
    <t>March 2029</t>
  </si>
  <si>
    <t>April 2029</t>
  </si>
  <si>
    <t>May 2029</t>
  </si>
  <si>
    <t>June 2029</t>
  </si>
  <si>
    <t>July 2029</t>
  </si>
  <si>
    <t>August 2029</t>
  </si>
  <si>
    <t>September 2029</t>
  </si>
  <si>
    <t>October 2029</t>
  </si>
  <si>
    <t>Grand Total</t>
  </si>
  <si>
    <t>Sum of Interest expense</t>
  </si>
  <si>
    <t>Values</t>
  </si>
  <si>
    <t>Sum of Depreciation of
Right-of-use asset</t>
  </si>
  <si>
    <t>2025 Total</t>
  </si>
  <si>
    <t>2026 Total</t>
  </si>
  <si>
    <t>2027 Total</t>
  </si>
  <si>
    <t>2028 Total</t>
  </si>
  <si>
    <t>2029 Total</t>
  </si>
  <si>
    <t>2030 Total</t>
  </si>
  <si>
    <t>(blank)</t>
  </si>
  <si>
    <t>(blank) Total</t>
  </si>
  <si>
    <t>Sum of Lease payment</t>
  </si>
  <si>
    <t>Car Park
(INR)</t>
  </si>
  <si>
    <t>Chennai</t>
  </si>
  <si>
    <t>6th floor</t>
  </si>
  <si>
    <t>Additional deposit (Electricity)</t>
  </si>
  <si>
    <t>IN-CHEK2</t>
  </si>
  <si>
    <t>SKCL, Guindy, Chennai</t>
  </si>
  <si>
    <t>Q1 FY30</t>
  </si>
  <si>
    <t>Q1 FY31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</si>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</sst>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5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4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8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012">
    <xf numFmtId="0" fontId="0" fillId="0" borderId="0"/>
    <xf numFmtId="0" fontId="17" fillId="0" borderId="0"/>
    <xf numFmtId="0" fontId="17" fillId="0" borderId="0"/>
    <xf numFmtId="43" fontId="4" fillId="0" borderId="0" applyFont="0" applyFill="0" applyBorder="0" applyAlignment="0" applyProtection="0"/>
    <xf numFmtId="4" fontId="46" fillId="2" borderId="1">
      <alignment readingOrder="1"/>
      <protection locked="0"/>
    </xf>
    <xf numFmtId="175" fontId="17" fillId="0" borderId="0"/>
    <xf numFmtId="0" fontId="4" fillId="0" borderId="0"/>
    <xf numFmtId="0" fontId="4" fillId="0" borderId="0"/>
    <xf numFmtId="0" fontId="4" fillId="0" borderId="0"/>
    <xf numFmtId="0" fontId="18" fillId="0" borderId="0"/>
    <xf numFmtId="9" fontId="19" fillId="0" borderId="0"/>
    <xf numFmtId="176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0" fontId="20" fillId="0" borderId="0"/>
    <xf numFmtId="0" fontId="20" fillId="0" borderId="0"/>
    <xf numFmtId="0" fontId="4" fillId="0" borderId="0" applyFill="0" applyBorder="0">
      <alignment vertical="center"/>
    </xf>
    <xf numFmtId="177" fontId="21" fillId="0" borderId="0" applyFont="0" applyFill="0" applyBorder="0" applyAlignment="0" applyProtection="0"/>
    <xf numFmtId="0" fontId="19" fillId="0" borderId="0" applyFont="0" applyFill="0" applyBorder="0" applyAlignment="0" applyProtection="0"/>
    <xf numFmtId="177" fontId="21" fillId="0" borderId="2">
      <protection locked="0"/>
    </xf>
    <xf numFmtId="0" fontId="22" fillId="0" borderId="0" applyNumberFormat="0" applyFill="0" applyBorder="0" applyAlignment="0" applyProtection="0"/>
    <xf numFmtId="0" fontId="23" fillId="0" borderId="0"/>
    <xf numFmtId="43" fontId="4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7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5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43" fontId="37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21" fillId="0" borderId="0"/>
    <xf numFmtId="177" fontId="26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21" fillId="0" borderId="0"/>
    <xf numFmtId="0" fontId="27" fillId="0" borderId="0" applyProtection="0"/>
    <xf numFmtId="178" fontId="21" fillId="0" borderId="0"/>
    <xf numFmtId="0" fontId="28" fillId="0" borderId="0"/>
    <xf numFmtId="2" fontId="27" fillId="0" borderId="0" applyProtection="0"/>
    <xf numFmtId="0" fontId="21" fillId="0" borderId="4" applyNumberFormat="0" applyFill="0" applyBorder="0" applyAlignment="0" applyProtection="0">
      <protection locked="0"/>
    </xf>
    <xf numFmtId="168" fontId="29" fillId="0" borderId="5">
      <alignment horizontal="right"/>
    </xf>
    <xf numFmtId="38" fontId="5" fillId="3" borderId="0" applyNumberFormat="0" applyBorder="0" applyAlignment="0" applyProtection="0"/>
    <xf numFmtId="0" fontId="15" fillId="0" borderId="6" applyNumberFormat="0" applyAlignment="0" applyProtection="0">
      <alignment horizontal="left" vertical="center"/>
    </xf>
    <xf numFmtId="0" fontId="15" fillId="0" borderId="7">
      <alignment horizontal="left" vertical="center"/>
    </xf>
    <xf numFmtId="0" fontId="30" fillId="0" borderId="0" applyProtection="0"/>
    <xf numFmtId="0" fontId="15" fillId="0" borderId="0" applyProtection="0"/>
    <xf numFmtId="0" fontId="49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3" fillId="0" borderId="0">
      <alignment horizontal="justify" vertical="top" wrapText="1"/>
    </xf>
    <xf numFmtId="37" fontId="34" fillId="0" borderId="0"/>
    <xf numFmtId="187" fontId="35" fillId="0" borderId="0"/>
    <xf numFmtId="0" fontId="48" fillId="0" borderId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4" fillId="0" borderId="0"/>
    <xf numFmtId="0" fontId="4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7" fillId="0" borderId="0">
      <alignment vertical="center"/>
    </xf>
    <xf numFmtId="0" fontId="4" fillId="0" borderId="0"/>
    <xf numFmtId="175" fontId="48" fillId="0" borderId="0"/>
    <xf numFmtId="175" fontId="48" fillId="0" borderId="0"/>
    <xf numFmtId="0" fontId="4" fillId="0" borderId="0"/>
    <xf numFmtId="0" fontId="48" fillId="0" borderId="0"/>
    <xf numFmtId="0" fontId="48" fillId="0" borderId="0"/>
    <xf numFmtId="0" fontId="16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50" fillId="0" borderId="0"/>
    <xf numFmtId="0" fontId="48" fillId="0" borderId="0"/>
    <xf numFmtId="0" fontId="17" fillId="0" borderId="0"/>
    <xf numFmtId="0" fontId="17" fillId="0" borderId="0"/>
    <xf numFmtId="0" fontId="4" fillId="0" borderId="0"/>
    <xf numFmtId="0" fontId="4" fillId="0" borderId="0"/>
    <xf numFmtId="0" fontId="48" fillId="0" borderId="0"/>
    <xf numFmtId="0" fontId="4" fillId="0" borderId="0"/>
    <xf numFmtId="0" fontId="4" fillId="0" borderId="0"/>
    <xf numFmtId="0" fontId="48" fillId="0" borderId="0"/>
    <xf numFmtId="0" fontId="4" fillId="0" borderId="0"/>
    <xf numFmtId="0" fontId="48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36" fillId="0" borderId="0" applyFont="0"/>
    <xf numFmtId="188" fontId="37" fillId="5" borderId="0"/>
    <xf numFmtId="0" fontId="38" fillId="0" borderId="0">
      <alignment horizontal="left" vertical="top"/>
    </xf>
    <xf numFmtId="0" fontId="39" fillId="0" borderId="0">
      <alignment horizontal="left" vertical="top"/>
    </xf>
    <xf numFmtId="0" fontId="40" fillId="0" borderId="0">
      <alignment horizontal="left" vertical="top"/>
    </xf>
    <xf numFmtId="0" fontId="41" fillId="6" borderId="9">
      <alignment horizontal="left"/>
    </xf>
    <xf numFmtId="0" fontId="42" fillId="1" borderId="0">
      <alignment horizontal="center" vertical="center"/>
    </xf>
    <xf numFmtId="0" fontId="42" fillId="1" borderId="10">
      <alignment horizontal="centerContinuous" vertical="center"/>
    </xf>
    <xf numFmtId="0" fontId="43" fillId="6" borderId="8">
      <alignment horizontal="left" vertical="center"/>
    </xf>
    <xf numFmtId="0" fontId="38" fillId="0" borderId="0">
      <alignment horizontal="left" vertical="top"/>
    </xf>
    <xf numFmtId="189" fontId="38" fillId="0" borderId="0">
      <alignment horizontal="right" vertical="top"/>
    </xf>
    <xf numFmtId="0" fontId="39" fillId="0" borderId="0">
      <alignment horizontal="centerContinuous" vertical="top"/>
    </xf>
    <xf numFmtId="9" fontId="4" fillId="0" borderId="0" applyFon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1" fontId="21" fillId="0" borderId="0" applyBorder="0">
      <alignment horizontal="left" vertical="top" wrapText="1"/>
    </xf>
    <xf numFmtId="0" fontId="4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40" fontId="43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5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3" fillId="0" borderId="0"/>
    <xf numFmtId="43" fontId="53" fillId="0" borderId="0" applyFont="0" applyFill="0" applyBorder="0" applyAlignment="0" applyProtection="0"/>
    <xf numFmtId="0" fontId="4" fillId="0" borderId="0"/>
    <xf numFmtId="0" fontId="57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6" fillId="19" borderId="0" applyNumberFormat="0" applyBorder="0" applyAlignment="0" applyProtection="0"/>
    <xf numFmtId="0" fontId="56" fillId="20" borderId="61" applyNumberFormat="0" applyProtection="0">
      <alignment horizontal="center" vertical="top" wrapText="1"/>
    </xf>
    <xf numFmtId="0" fontId="58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59" fillId="0" borderId="0"/>
    <xf numFmtId="0" fontId="60" fillId="0" borderId="0"/>
    <xf numFmtId="0" fontId="4" fillId="0" borderId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3" borderId="0" applyNumberFormat="0" applyBorder="0" applyAlignment="0" applyProtection="0"/>
    <xf numFmtId="0" fontId="61" fillId="33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0" borderId="0" applyNumberFormat="0" applyBorder="0" applyAlignment="0" applyProtection="0"/>
    <xf numFmtId="0" fontId="61" fillId="30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1" fontId="5" fillId="45" borderId="62">
      <alignment horizontal="left" vertical="center"/>
    </xf>
    <xf numFmtId="196" fontId="5" fillId="45" borderId="63">
      <alignment horizontal="left" vertical="center"/>
    </xf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3" fillId="23" borderId="0" applyNumberFormat="0" applyBorder="0" applyAlignment="0" applyProtection="0"/>
    <xf numFmtId="0" fontId="63" fillId="23" borderId="0" applyNumberFormat="0" applyBorder="0" applyAlignment="0" applyProtection="0"/>
    <xf numFmtId="197" fontId="56" fillId="0" borderId="0" applyFill="0" applyBorder="0" applyAlignment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22" borderId="1" applyNumberFormat="0" applyAlignment="0" applyProtection="0"/>
    <xf numFmtId="0" fontId="64" fillId="22" borderId="1" applyNumberFormat="0" applyAlignment="0" applyProtection="0"/>
    <xf numFmtId="0" fontId="65" fillId="0" borderId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7" fillId="0" borderId="0" applyNumberFormat="0" applyAlignment="0">
      <alignment horizontal="left"/>
    </xf>
    <xf numFmtId="199" fontId="68" fillId="47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69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70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4" fillId="0" borderId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69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5" borderId="63">
      <alignment horizontal="left" vertical="center"/>
    </xf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199" fontId="73" fillId="0" borderId="0">
      <alignment horizontal="left"/>
    </xf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5" fillId="0" borderId="66" applyNumberFormat="0" applyFill="0" applyAlignment="0" applyProtection="0"/>
    <xf numFmtId="0" fontId="75" fillId="0" borderId="66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7" fillId="0" borderId="67" applyNumberFormat="0" applyFill="0" applyAlignment="0" applyProtection="0"/>
    <xf numFmtId="0" fontId="77" fillId="0" borderId="67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9" fillId="0" borderId="69" applyNumberFormat="0" applyFill="0" applyAlignment="0" applyProtection="0"/>
    <xf numFmtId="0" fontId="79" fillId="0" borderId="69" applyNumberFormat="0" applyFill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199" fontId="69" fillId="0" borderId="0" applyFont="0">
      <alignment horizontal="left"/>
    </xf>
    <xf numFmtId="199" fontId="69" fillId="0" borderId="0" applyFont="0" applyFill="0" applyBorder="0">
      <alignment horizontal="left"/>
    </xf>
    <xf numFmtId="40" fontId="5" fillId="0" borderId="0" applyFont="0">
      <protection locked="0"/>
    </xf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199" fontId="69" fillId="0" borderId="0" applyFont="0" applyFill="0" applyBorder="0">
      <alignment horizontal="left"/>
    </xf>
    <xf numFmtId="199" fontId="69" fillId="0" borderId="0" applyFont="0" applyFill="0" applyBorder="0">
      <alignment horizontal="left"/>
    </xf>
    <xf numFmtId="202" fontId="82" fillId="0" borderId="0">
      <alignment horizontal="left" vertical="top"/>
      <protection locked="0"/>
    </xf>
    <xf numFmtId="202" fontId="5" fillId="0" borderId="0" applyFont="0"/>
    <xf numFmtId="41" fontId="56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20" fillId="0" borderId="0" applyFont="0" applyFill="0" applyBorder="0" applyAlignment="0" applyProtection="0"/>
    <xf numFmtId="199" fontId="69" fillId="0" borderId="0" applyFont="0" applyFill="0" applyBorder="0">
      <alignment horizontal="left"/>
    </xf>
    <xf numFmtId="0" fontId="83" fillId="0" borderId="26"/>
    <xf numFmtId="0" fontId="4" fillId="0" borderId="0" applyFont="0" applyFill="0" applyBorder="0" applyAlignment="0" applyProtection="0"/>
    <xf numFmtId="220" fontId="20" fillId="0" borderId="0" applyFont="0" applyFill="0" applyBorder="0" applyAlignment="0" applyProtection="0"/>
    <xf numFmtId="199" fontId="69" fillId="0" borderId="0" applyFont="0">
      <alignment horizontal="left"/>
    </xf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221" fontId="85" fillId="0" borderId="0"/>
    <xf numFmtId="221" fontId="85" fillId="0" borderId="0"/>
    <xf numFmtId="0" fontId="4" fillId="0" borderId="0"/>
    <xf numFmtId="0" fontId="4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3" fillId="0" borderId="0"/>
    <xf numFmtId="0" fontId="4" fillId="0" borderId="0"/>
    <xf numFmtId="0" fontId="4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4" fillId="0" borderId="0"/>
    <xf numFmtId="0" fontId="27" fillId="0" borderId="0"/>
    <xf numFmtId="0" fontId="27" fillId="0" borderId="0"/>
    <xf numFmtId="0" fontId="4" fillId="0" borderId="0"/>
    <xf numFmtId="0" fontId="86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4" fillId="0" borderId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4" fillId="26" borderId="71" applyNumberFormat="0" applyAlignment="0" applyProtection="0"/>
    <xf numFmtId="0" fontId="24" fillId="26" borderId="71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22" borderId="72" applyNumberFormat="0" applyAlignment="0" applyProtection="0"/>
    <xf numFmtId="0" fontId="88" fillId="22" borderId="7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5" borderId="63">
      <alignment horizontal="left" vertical="center"/>
    </xf>
    <xf numFmtId="223" fontId="5" fillId="45" borderId="73">
      <alignment horizontal="center" vertical="center"/>
    </xf>
    <xf numFmtId="40" fontId="69" fillId="0" borderId="0" applyFont="0">
      <protection locked="0"/>
    </xf>
    <xf numFmtId="40" fontId="73" fillId="0" borderId="0" applyFont="0">
      <protection locked="0"/>
    </xf>
    <xf numFmtId="224" fontId="89" fillId="0" borderId="0" applyNumberFormat="0" applyFill="0" applyBorder="0" applyAlignment="0" applyProtection="0">
      <alignment horizontal="left"/>
    </xf>
    <xf numFmtId="202" fontId="90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3" fillId="0" borderId="0"/>
    <xf numFmtId="0" fontId="91" fillId="0" borderId="0" applyNumberFormat="0" applyProtection="0">
      <alignment wrapText="1"/>
      <protection locked="0"/>
    </xf>
    <xf numFmtId="40" fontId="92" fillId="0" borderId="0" applyBorder="0">
      <alignment horizontal="right"/>
    </xf>
    <xf numFmtId="202" fontId="69" fillId="0" borderId="0" applyFont="0">
      <protection locked="0"/>
    </xf>
    <xf numFmtId="202" fontId="69" fillId="0" borderId="0" applyFill="0" applyProtection="0">
      <protection locked="0"/>
    </xf>
    <xf numFmtId="199" fontId="10" fillId="48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5" borderId="63">
      <alignment horizontal="left" vertical="center"/>
    </xf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199" fontId="95" fillId="0" borderId="41" applyNumberFormat="0" applyFill="0" applyProtection="0">
      <alignment horizontal="center"/>
    </xf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5" applyNumberFormat="0" applyFill="0" applyAlignment="0" applyProtection="0"/>
    <xf numFmtId="0" fontId="96" fillId="0" borderId="75" applyNumberFormat="0" applyFill="0" applyAlignment="0" applyProtection="0"/>
    <xf numFmtId="202" fontId="73" fillId="0" borderId="0"/>
    <xf numFmtId="218" fontId="5" fillId="45" borderId="63">
      <alignment horizontal="left" vertical="center"/>
    </xf>
    <xf numFmtId="229" fontId="4" fillId="0" borderId="0" applyFont="0" applyFill="0" applyBorder="0" applyAlignment="0" applyProtection="0"/>
    <xf numFmtId="230" fontId="69" fillId="0" borderId="0" applyFill="0">
      <alignment horizontal="center"/>
    </xf>
    <xf numFmtId="202" fontId="69" fillId="0" borderId="0" applyFont="0">
      <alignment horizontal="center"/>
      <protection locked="0"/>
    </xf>
    <xf numFmtId="187" fontId="82" fillId="0" borderId="8">
      <alignment horizontal="center" vertical="center"/>
    </xf>
    <xf numFmtId="187" fontId="82" fillId="0" borderId="8">
      <alignment horizontal="center" vertical="center"/>
    </xf>
    <xf numFmtId="42" fontId="56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5" borderId="63">
      <alignment horizontal="left" vertical="center"/>
    </xf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1" fontId="5" fillId="0" borderId="0">
      <alignment wrapText="1"/>
    </xf>
    <xf numFmtId="232" fontId="6" fillId="0" borderId="48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8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82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1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2" borderId="8" xfId="0" applyNumberFormat="1" applyFont="1" applyFill="1" applyBorder="1"/>
    <xf numFmtId="167" fontId="5" fillId="13" borderId="8" xfId="21" applyNumberFormat="1" applyFont="1" applyFill="1" applyBorder="1" applyAlignment="1">
      <alignment horizontal="right"/>
    </xf>
    <xf numFmtId="3" fontId="5" fillId="12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3" fontId="5" fillId="0" borderId="9" xfId="0" applyNumberFormat="1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3" fontId="7" fillId="0" borderId="23" xfId="0" applyNumberFormat="1" applyFont="1" applyBorder="1" applyAlignment="1">
      <alignment horizontal="right"/>
    </xf>
    <xf numFmtId="3" fontId="7" fillId="0" borderId="24" xfId="0" applyNumberFormat="1" applyFont="1" applyBorder="1" applyAlignment="1">
      <alignment horizontal="right"/>
    </xf>
    <xf numFmtId="3" fontId="7" fillId="0" borderId="13" xfId="0" applyNumberFormat="1" applyFont="1" applyBorder="1"/>
    <xf numFmtId="3" fontId="7" fillId="0" borderId="14" xfId="0" applyNumberFormat="1" applyFont="1" applyBorder="1" applyAlignment="1">
      <alignment horizontal="right"/>
    </xf>
    <xf numFmtId="3" fontId="7" fillId="0" borderId="15" xfId="0" applyNumberFormat="1" applyFont="1" applyBorder="1" applyAlignment="1">
      <alignment horizontal="right"/>
    </xf>
    <xf numFmtId="3" fontId="7" fillId="0" borderId="11" xfId="0" applyNumberFormat="1" applyFont="1" applyBorder="1"/>
    <xf numFmtId="167" fontId="5" fillId="0" borderId="17" xfId="21" applyNumberFormat="1" applyFont="1" applyFill="1" applyBorder="1" applyAlignment="1">
      <alignment horizontal="right"/>
    </xf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4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center" vertical="center" wrapText="1"/>
    </xf>
    <xf numFmtId="167" fontId="6" fillId="15" borderId="8" xfId="21" applyNumberFormat="1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left" vertical="center" wrapText="1"/>
    </xf>
    <xf numFmtId="167" fontId="6" fillId="15" borderId="8" xfId="21" applyNumberFormat="1" applyFont="1" applyFill="1" applyBorder="1" applyAlignment="1">
      <alignment horizontal="left" vertical="center" wrapText="1"/>
    </xf>
    <xf numFmtId="43" fontId="6" fillId="15" borderId="11" xfId="21" applyFont="1" applyFill="1" applyBorder="1" applyAlignment="1">
      <alignment horizontal="left" vertical="center" wrapText="1"/>
    </xf>
    <xf numFmtId="1" fontId="4" fillId="15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4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7" borderId="12" xfId="184" applyFill="1" applyBorder="1"/>
    <xf numFmtId="0" fontId="4" fillId="0" borderId="12" xfId="184" applyBorder="1"/>
    <xf numFmtId="167" fontId="4" fillId="0" borderId="12" xfId="21" applyNumberFormat="1" applyBorder="1"/>
    <xf numFmtId="167" fontId="0" fillId="0" borderId="12" xfId="21" applyNumberFormat="1" applyFont="1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6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6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3" fontId="5" fillId="0" borderId="35" xfId="0" applyNumberFormat="1" applyFont="1" applyBorder="1"/>
    <xf numFmtId="165" fontId="5" fillId="0" borderId="0" xfId="0" applyNumberFormat="1" applyFont="1"/>
    <xf numFmtId="0" fontId="16" fillId="0" borderId="8" xfId="190" applyBorder="1"/>
    <xf numFmtId="171" fontId="4" fillId="14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5" borderId="9" xfId="21" applyNumberFormat="1" applyFont="1" applyFill="1" applyBorder="1" applyAlignment="1">
      <alignment horizontal="center" vertical="center" wrapText="1"/>
    </xf>
    <xf numFmtId="167" fontId="6" fillId="15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2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5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7" fontId="0" fillId="0" borderId="8" xfId="0" applyNumberFormat="1" applyBorder="1"/>
    <xf numFmtId="167" fontId="4" fillId="13" borderId="11" xfId="21" applyNumberFormat="1" applyFont="1" applyFill="1" applyBorder="1" applyAlignment="1">
      <alignment horizontal="center" vertical="center" wrapText="1"/>
    </xf>
    <xf numFmtId="167" fontId="4" fillId="13" borderId="12" xfId="21" applyNumberFormat="1" applyFont="1" applyFill="1" applyBorder="1" applyAlignment="1">
      <alignment horizontal="center" vertical="center" wrapText="1"/>
    </xf>
    <xf numFmtId="167" fontId="4" fillId="13" borderId="8" xfId="21" applyNumberFormat="1" applyFont="1" applyFill="1" applyBorder="1" applyAlignment="1">
      <alignment horizontal="center" vertical="center" wrapText="1"/>
    </xf>
    <xf numFmtId="167" fontId="4" fillId="13" borderId="9" xfId="21" applyNumberFormat="1" applyFont="1" applyFill="1" applyBorder="1" applyAlignment="1">
      <alignment horizontal="center" vertical="center" wrapText="1"/>
    </xf>
    <xf numFmtId="167" fontId="6" fillId="13" borderId="8" xfId="21" applyNumberFormat="1" applyFont="1" applyFill="1" applyBorder="1" applyAlignment="1">
      <alignment horizontal="center" vertical="center" wrapText="1"/>
    </xf>
    <xf numFmtId="167" fontId="6" fillId="13" borderId="9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5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6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191" fontId="4" fillId="0" borderId="8" xfId="21" applyNumberFormat="1" applyFont="1" applyFill="1" applyBorder="1" applyAlignment="1">
      <alignment horizontal="center" vertical="center" wrapText="1"/>
    </xf>
    <xf numFmtId="43" fontId="16" fillId="0" borderId="0" xfId="190" applyNumberFormat="1"/>
    <xf numFmtId="167" fontId="6" fillId="0" borderId="8" xfId="21" applyNumberFormat="1" applyFont="1" applyBorder="1" applyAlignment="1">
      <alignment horizontal="center"/>
    </xf>
    <xf numFmtId="43" fontId="4" fillId="0" borderId="0" xfId="184" applyNumberFormat="1"/>
    <xf numFmtId="43" fontId="4" fillId="0" borderId="8" xfId="184" applyNumberFormat="1" applyBorder="1"/>
    <xf numFmtId="3" fontId="5" fillId="16" borderId="8" xfId="0" applyNumberFormat="1" applyFont="1" applyFill="1" applyBorder="1"/>
    <xf numFmtId="43" fontId="4" fillId="7" borderId="9" xfId="21" applyFill="1" applyBorder="1"/>
    <xf numFmtId="3" fontId="5" fillId="13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4" fillId="0" borderId="0" xfId="0" applyFont="1"/>
    <xf numFmtId="0" fontId="55" fillId="0" borderId="0" xfId="0" applyFont="1"/>
    <xf numFmtId="0" fontId="55" fillId="0" borderId="0" xfId="0" applyFont="1" applyAlignment="1">
      <alignment horizontal="center"/>
    </xf>
    <xf numFmtId="0" fontId="55" fillId="17" borderId="0" xfId="0" applyFont="1" applyFill="1" applyAlignment="1">
      <alignment horizontal="center"/>
    </xf>
    <xf numFmtId="167" fontId="55" fillId="12" borderId="0" xfId="0" applyNumberFormat="1" applyFont="1" applyFill="1"/>
    <xf numFmtId="0" fontId="54" fillId="18" borderId="8" xfId="0" applyFont="1" applyFill="1" applyBorder="1" applyAlignment="1">
      <alignment horizontal="center" vertical="center"/>
    </xf>
    <xf numFmtId="0" fontId="54" fillId="18" borderId="8" xfId="0" applyFont="1" applyFill="1" applyBorder="1" applyAlignment="1">
      <alignment horizontal="center" vertical="center" wrapText="1"/>
    </xf>
    <xf numFmtId="192" fontId="55" fillId="15" borderId="0" xfId="21" applyNumberFormat="1" applyFont="1" applyFill="1" applyBorder="1" applyAlignment="1">
      <alignment vertical="center" wrapText="1"/>
    </xf>
    <xf numFmtId="192" fontId="55" fillId="15" borderId="0" xfId="0" applyNumberFormat="1" applyFont="1" applyFill="1"/>
    <xf numFmtId="43" fontId="55" fillId="15" borderId="0" xfId="21" applyFont="1" applyFill="1"/>
    <xf numFmtId="43" fontId="55" fillId="15" borderId="0" xfId="0" applyNumberFormat="1" applyFont="1" applyFill="1"/>
    <xf numFmtId="0" fontId="55" fillId="15" borderId="0" xfId="0" applyFont="1" applyFill="1"/>
    <xf numFmtId="9" fontId="55" fillId="15" borderId="0" xfId="0" applyNumberFormat="1" applyFont="1" applyFill="1"/>
    <xf numFmtId="167" fontId="55" fillId="0" borderId="0" xfId="21" applyNumberFormat="1" applyFont="1"/>
    <xf numFmtId="167" fontId="55" fillId="0" borderId="8" xfId="21" applyNumberFormat="1" applyFont="1" applyBorder="1" applyAlignment="1">
      <alignment wrapText="1"/>
    </xf>
    <xf numFmtId="167" fontId="55" fillId="0" borderId="0" xfId="0" applyNumberFormat="1" applyFont="1"/>
    <xf numFmtId="0" fontId="55" fillId="0" borderId="0" xfId="0" applyFont="1" applyAlignment="1">
      <alignment wrapText="1"/>
    </xf>
    <xf numFmtId="167" fontId="55" fillId="0" borderId="0" xfId="21" applyNumberFormat="1" applyFont="1" applyBorder="1" applyAlignment="1">
      <alignment wrapText="1"/>
    </xf>
    <xf numFmtId="167" fontId="52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2" fillId="14" borderId="8" xfId="21" applyNumberFormat="1" applyFont="1" applyFill="1" applyBorder="1" applyAlignment="1">
      <alignment horizontal="center" vertical="center" wrapText="1"/>
    </xf>
    <xf numFmtId="167" fontId="53" fillId="0" borderId="9" xfId="21" applyNumberFormat="1" applyFont="1" applyBorder="1"/>
    <xf numFmtId="0" fontId="6" fillId="0" borderId="0" xfId="0" applyFont="1"/>
    <xf numFmtId="167" fontId="99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6" fillId="0" borderId="0" xfId="21" applyNumberFormat="1" applyFont="1"/>
    <xf numFmtId="167" fontId="4" fillId="0" borderId="0" xfId="21" applyNumberFormat="1"/>
    <xf numFmtId="0" fontId="5" fillId="13" borderId="8" xfId="0" applyFont="1" applyFill="1" applyBorder="1"/>
    <xf numFmtId="0" fontId="100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4" fillId="15" borderId="0" xfId="21" applyFont="1" applyFill="1"/>
    <xf numFmtId="43" fontId="54" fillId="15" borderId="0" xfId="0" applyNumberFormat="1" applyFont="1" applyFill="1"/>
    <xf numFmtId="0" fontId="54" fillId="15" borderId="0" xfId="0" applyFont="1" applyFill="1"/>
    <xf numFmtId="171" fontId="54" fillId="15" borderId="0" xfId="21" applyNumberFormat="1" applyFont="1" applyFill="1"/>
    <xf numFmtId="167" fontId="101" fillId="0" borderId="8" xfId="21" applyNumberFormat="1" applyFont="1" applyBorder="1" applyAlignment="1">
      <alignment wrapText="1"/>
    </xf>
    <xf numFmtId="167" fontId="54" fillId="0" borderId="8" xfId="21" applyNumberFormat="1" applyFont="1" applyBorder="1" applyAlignment="1">
      <alignment wrapText="1"/>
    </xf>
    <xf numFmtId="167" fontId="55" fillId="15" borderId="0" xfId="21" applyNumberFormat="1" applyFont="1" applyFill="1"/>
    <xf numFmtId="167" fontId="54" fillId="15" borderId="0" xfId="21" applyNumberFormat="1" applyFont="1" applyFill="1"/>
    <xf numFmtId="0" fontId="101" fillId="0" borderId="0" xfId="0" applyFont="1" applyAlignment="1">
      <alignment vertical="center"/>
    </xf>
    <xf numFmtId="0" fontId="102" fillId="0" borderId="0" xfId="0" applyFont="1" applyAlignment="1">
      <alignment horizontal="center" vertical="center"/>
    </xf>
    <xf numFmtId="0" fontId="102" fillId="0" borderId="0" xfId="0" applyFont="1" applyAlignment="1">
      <alignment vertical="center"/>
    </xf>
    <xf numFmtId="0" fontId="0" fillId="0" borderId="0" xfId="0" applyAlignment="1">
      <alignment vertical="center"/>
    </xf>
    <xf numFmtId="167" fontId="102" fillId="0" borderId="0" xfId="21" applyNumberFormat="1" applyFont="1" applyAlignment="1">
      <alignment horizontal="center" vertical="center"/>
    </xf>
    <xf numFmtId="167" fontId="102" fillId="0" borderId="0" xfId="21" applyNumberFormat="1" applyFont="1" applyAlignment="1">
      <alignment vertical="center"/>
    </xf>
    <xf numFmtId="0" fontId="101" fillId="49" borderId="0" xfId="0" applyFont="1" applyFill="1" applyAlignment="1">
      <alignment vertical="center"/>
    </xf>
    <xf numFmtId="167" fontId="101" fillId="49" borderId="0" xfId="21" applyNumberFormat="1" applyFont="1" applyFill="1" applyAlignment="1">
      <alignment vertical="center"/>
    </xf>
    <xf numFmtId="0" fontId="101" fillId="0" borderId="0" xfId="0" applyFont="1" applyAlignment="1">
      <alignment horizontal="right" vertical="center"/>
    </xf>
    <xf numFmtId="167" fontId="101" fillId="0" borderId="0" xfId="21" applyNumberFormat="1" applyFont="1" applyAlignment="1">
      <alignment vertical="center"/>
    </xf>
    <xf numFmtId="167" fontId="101" fillId="0" borderId="0" xfId="21" applyNumberFormat="1" applyFont="1" applyFill="1" applyAlignment="1">
      <alignment vertical="center"/>
    </xf>
    <xf numFmtId="0" fontId="102" fillId="49" borderId="0" xfId="0" applyFont="1" applyFill="1" applyAlignment="1">
      <alignment vertical="center"/>
    </xf>
    <xf numFmtId="167" fontId="102" fillId="49" borderId="0" xfId="21" applyNumberFormat="1" applyFont="1" applyFill="1" applyAlignment="1">
      <alignment vertical="center"/>
    </xf>
    <xf numFmtId="0" fontId="102" fillId="50" borderId="0" xfId="0" applyFont="1" applyFill="1" applyAlignment="1">
      <alignment vertical="center"/>
    </xf>
    <xf numFmtId="167" fontId="102" fillId="50" borderId="0" xfId="21" applyNumberFormat="1" applyFont="1" applyFill="1" applyAlignment="1">
      <alignment vertical="center"/>
    </xf>
    <xf numFmtId="43" fontId="0" fillId="0" borderId="0" xfId="21" applyFon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167" fontId="6" fillId="0" borderId="0" xfId="21" applyNumberFormat="1" applyFont="1" applyAlignment="1">
      <alignment vertical="center"/>
    </xf>
    <xf numFmtId="0" fontId="0" fillId="13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5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5" borderId="38" xfId="0" applyFont="1" applyFill="1" applyBorder="1" applyAlignment="1">
      <alignment vertical="center"/>
    </xf>
    <xf numFmtId="0" fontId="0" fillId="0" borderId="8" xfId="0" applyBorder="1" applyAlignment="1">
      <alignment vertical="center"/>
    </xf>
    <xf numFmtId="0" fontId="6" fillId="0" borderId="0" xfId="0" applyFont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3" borderId="0" xfId="21" applyFont="1" applyFill="1"/>
    <xf numFmtId="43" fontId="4" fillId="0" borderId="0" xfId="192" applyNumberFormat="1"/>
    <xf numFmtId="167" fontId="55" fillId="15" borderId="0" xfId="0" applyNumberFormat="1" applyFont="1" applyFill="1"/>
    <xf numFmtId="1" fontId="6" fillId="13" borderId="8" xfId="0" applyNumberFormat="1" applyFont="1" applyFill="1" applyBorder="1" applyAlignment="1">
      <alignment vertical="center"/>
    </xf>
    <xf numFmtId="167" fontId="6" fillId="0" borderId="8" xfId="21" applyNumberFormat="1" applyFont="1" applyBorder="1" applyAlignment="1">
      <alignment vertical="center"/>
    </xf>
    <xf numFmtId="167" fontId="0" fillId="0" borderId="8" xfId="21" applyNumberFormat="1" applyFont="1" applyBorder="1" applyAlignment="1">
      <alignment vertical="center"/>
    </xf>
    <xf numFmtId="0" fontId="6" fillId="0" borderId="8" xfId="0" applyFont="1" applyBorder="1" applyAlignment="1">
      <alignment vertical="center"/>
    </xf>
    <xf numFmtId="167" fontId="6" fillId="16" borderId="8" xfId="21" applyNumberFormat="1" applyFont="1" applyFill="1" applyBorder="1" applyAlignment="1">
      <alignment vertical="center"/>
    </xf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43" fontId="0" fillId="0" borderId="8" xfId="21" applyFont="1" applyBorder="1"/>
    <xf numFmtId="167" fontId="6" fillId="0" borderId="9" xfId="21" applyNumberFormat="1" applyFont="1" applyBorder="1"/>
    <xf numFmtId="167" fontId="0" fillId="0" borderId="0" xfId="21" applyNumberFormat="1" applyFont="1"/>
    <xf numFmtId="167" fontId="6" fillId="0" borderId="11" xfId="21" applyNumberFormat="1" applyFont="1" applyBorder="1"/>
    <xf numFmtId="167" fontId="6" fillId="0" borderId="12" xfId="21" applyNumberFormat="1" applyFont="1" applyBorder="1"/>
    <xf numFmtId="167" fontId="0" fillId="0" borderId="11" xfId="21" applyNumberFormat="1" applyFont="1" applyBorder="1"/>
    <xf numFmtId="167" fontId="0" fillId="0" borderId="16" xfId="21" applyNumberFormat="1" applyFont="1" applyBorder="1"/>
    <xf numFmtId="167" fontId="0" fillId="0" borderId="17" xfId="21" applyNumberFormat="1" applyFont="1" applyBorder="1"/>
    <xf numFmtId="167" fontId="0" fillId="0" borderId="18" xfId="21" applyNumberFormat="1" applyFont="1" applyBorder="1"/>
    <xf numFmtId="43" fontId="6" fillId="0" borderId="11" xfId="21" applyFont="1" applyBorder="1"/>
    <xf numFmtId="43" fontId="6" fillId="0" borderId="12" xfId="21" applyFont="1" applyBorder="1"/>
    <xf numFmtId="43" fontId="0" fillId="0" borderId="11" xfId="21" applyFont="1" applyBorder="1"/>
    <xf numFmtId="43" fontId="0" fillId="0" borderId="12" xfId="21" applyFont="1" applyBorder="1"/>
    <xf numFmtId="43" fontId="0" fillId="0" borderId="16" xfId="21" applyFont="1" applyBorder="1"/>
    <xf numFmtId="43" fontId="0" fillId="0" borderId="17" xfId="21" applyFont="1" applyBorder="1"/>
    <xf numFmtId="43" fontId="0" fillId="0" borderId="18" xfId="21" applyFont="1" applyBorder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0" fontId="54" fillId="18" borderId="34" xfId="0" applyFont="1" applyFill="1" applyBorder="1" applyAlignment="1">
      <alignment horizontal="center" vertical="center" wrapText="1"/>
    </xf>
    <xf numFmtId="43" fontId="0" fillId="0" borderId="0" xfId="0" applyNumberFormat="1"/>
    <xf numFmtId="43" fontId="55" fillId="0" borderId="0" xfId="21" applyFont="1"/>
    <xf numFmtId="0" fontId="82" fillId="51" borderId="34" xfId="0" applyFont="1" applyFill="1" applyBorder="1" applyAlignment="1">
      <alignment horizontal="center" vertical="center" wrapText="1"/>
    </xf>
    <xf numFmtId="0" fontId="54" fillId="18" borderId="23" xfId="0" applyFont="1" applyFill="1" applyBorder="1" applyAlignment="1">
      <alignment horizontal="center" vertical="center"/>
    </xf>
    <xf numFmtId="0" fontId="54" fillId="18" borderId="23" xfId="0" applyFont="1" applyFill="1" applyBorder="1" applyAlignment="1">
      <alignment horizontal="center" vertical="center" wrapText="1"/>
    </xf>
    <xf numFmtId="0" fontId="0" fillId="0" borderId="52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0" fontId="54" fillId="0" borderId="41" xfId="0" applyFont="1" applyBorder="1" applyAlignment="1">
      <alignment horizontal="center" vertical="center"/>
    </xf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4" fillId="18" borderId="8" xfId="21" applyNumberFormat="1" applyFont="1" applyFill="1" applyBorder="1" applyAlignment="1">
      <alignment horizontal="center" vertical="center"/>
    </xf>
    <xf numFmtId="167" fontId="55" fillId="0" borderId="0" xfId="21" applyNumberFormat="1" applyFont="1" applyAlignment="1">
      <alignment horizontal="center" vertical="center"/>
    </xf>
    <xf numFmtId="167" fontId="55" fillId="15" borderId="0" xfId="21" applyNumberFormat="1" applyFont="1" applyFill="1" applyAlignment="1">
      <alignment horizontal="center"/>
    </xf>
    <xf numFmtId="167" fontId="54" fillId="0" borderId="0" xfId="21" applyNumberFormat="1" applyFont="1"/>
    <xf numFmtId="167" fontId="54" fillId="15" borderId="0" xfId="21" applyNumberFormat="1" applyFont="1" applyFill="1" applyAlignment="1">
      <alignment horizontal="center"/>
    </xf>
    <xf numFmtId="167" fontId="54" fillId="18" borderId="0" xfId="21" applyNumberFormat="1" applyFont="1" applyFill="1" applyAlignment="1">
      <alignment horizontal="center" vertical="center" wrapText="1"/>
    </xf>
    <xf numFmtId="167" fontId="54" fillId="18" borderId="0" xfId="21" applyNumberFormat="1" applyFont="1" applyFill="1" applyBorder="1" applyAlignment="1">
      <alignment horizontal="center" vertical="center" wrapText="1"/>
    </xf>
    <xf numFmtId="167" fontId="0" fillId="0" borderId="41" xfId="21" applyNumberFormat="1" applyFont="1" applyFill="1" applyBorder="1"/>
    <xf numFmtId="167" fontId="54" fillId="0" borderId="53" xfId="21" applyNumberFormat="1" applyFont="1" applyFill="1" applyBorder="1" applyAlignment="1">
      <alignment horizontal="center" vertical="center" wrapText="1"/>
    </xf>
    <xf numFmtId="167" fontId="54" fillId="0" borderId="4" xfId="21" applyNumberFormat="1" applyFont="1" applyFill="1" applyBorder="1" applyAlignment="1">
      <alignment horizontal="center" vertical="center" wrapText="1"/>
    </xf>
    <xf numFmtId="167" fontId="0" fillId="0" borderId="4" xfId="21" applyNumberFormat="1" applyFont="1" applyBorder="1"/>
    <xf numFmtId="167" fontId="0" fillId="0" borderId="53" xfId="21" applyNumberFormat="1" applyFont="1" applyBorder="1"/>
    <xf numFmtId="43" fontId="55" fillId="0" borderId="0" xfId="0" applyNumberFormat="1" applyFont="1"/>
    <xf numFmtId="0" fontId="54" fillId="0" borderId="0" xfId="0" applyFont="1" applyAlignment="1">
      <alignment horizontal="center" vertical="center"/>
    </xf>
    <xf numFmtId="167" fontId="0" fillId="0" borderId="27" xfId="21" applyNumberFormat="1" applyFont="1" applyBorder="1"/>
    <xf numFmtId="167" fontId="54" fillId="0" borderId="0" xfId="21" applyNumberFormat="1" applyFont="1" applyFill="1" applyBorder="1" applyAlignment="1">
      <alignment horizontal="center" vertical="center" wrapText="1"/>
    </xf>
    <xf numFmtId="0" fontId="0" fillId="0" borderId="54" xfId="0" applyBorder="1"/>
    <xf numFmtId="14" fontId="0" fillId="0" borderId="6" xfId="0" applyNumberFormat="1" applyBorder="1"/>
    <xf numFmtId="0" fontId="0" fillId="0" borderId="6" xfId="0" applyBorder="1"/>
    <xf numFmtId="167" fontId="0" fillId="0" borderId="6" xfId="21" applyNumberFormat="1" applyFont="1" applyBorder="1"/>
    <xf numFmtId="43" fontId="0" fillId="0" borderId="6" xfId="21" applyFont="1" applyBorder="1"/>
    <xf numFmtId="2" fontId="0" fillId="0" borderId="6" xfId="0" applyNumberFormat="1" applyBorder="1"/>
    <xf numFmtId="166" fontId="0" fillId="0" borderId="6" xfId="0" applyNumberFormat="1" applyBorder="1"/>
    <xf numFmtId="167" fontId="0" fillId="0" borderId="50" xfId="21" applyNumberFormat="1" applyFont="1" applyBorder="1"/>
    <xf numFmtId="0" fontId="0" fillId="0" borderId="0" xfId="0" applyAlignment="1">
      <alignment horizontal="right"/>
    </xf>
    <xf numFmtId="167" fontId="0" fillId="0" borderId="0" xfId="21" applyNumberFormat="1" applyFont="1" applyAlignment="1">
      <alignment horizontal="right"/>
    </xf>
    <xf numFmtId="167" fontId="52" fillId="0" borderId="9" xfId="21" applyNumberFormat="1" applyFont="1" applyFill="1" applyBorder="1" applyAlignment="1">
      <alignment horizontal="right" vertical="center" wrapText="1"/>
    </xf>
    <xf numFmtId="3" fontId="0" fillId="0" borderId="0" xfId="0" applyNumberFormat="1"/>
    <xf numFmtId="0" fontId="0" fillId="0" borderId="0" xfId="0" pivotButton="1"/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2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2" fillId="0" borderId="0" xfId="0" applyFont="1" applyAlignment="1">
      <alignment horizontal="center" vertical="center" wrapText="1"/>
    </xf>
    <xf numFmtId="167" fontId="55" fillId="0" borderId="0" xfId="21" applyNumberFormat="1" applyFont="1" applyFill="1" applyBorder="1"/>
    <xf numFmtId="43" fontId="55" fillId="0" borderId="0" xfId="21" applyFont="1" applyFill="1" applyBorder="1"/>
    <xf numFmtId="167" fontId="0" fillId="0" borderId="21" xfId="21" applyNumberFormat="1" applyFont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3" fillId="0" borderId="41" xfId="0" applyFont="1" applyBorder="1" applyAlignment="1">
      <alignment horizontal="center" vertical="center"/>
    </xf>
    <xf numFmtId="167" fontId="103" fillId="0" borderId="53" xfId="21" applyNumberFormat="1" applyFont="1" applyFill="1" applyBorder="1" applyAlignment="1">
      <alignment horizontal="center" vertical="center" wrapText="1"/>
    </xf>
    <xf numFmtId="0" fontId="103" fillId="0" borderId="0" xfId="0" applyFont="1" applyAlignment="1">
      <alignment horizontal="center" vertical="center"/>
    </xf>
    <xf numFmtId="167" fontId="103" fillId="0" borderId="4" xfId="21" applyNumberFormat="1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5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4" fillId="7" borderId="12" xfId="21" applyFill="1" applyBorder="1"/>
    <xf numFmtId="43" fontId="104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167" fontId="0" fillId="0" borderId="3" xfId="0" applyNumberFormat="1" applyBorder="1"/>
    <xf numFmtId="43" fontId="0" fillId="0" borderId="4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67" fontId="4" fillId="14" borderId="8" xfId="181" applyNumberFormat="1" applyFill="1" applyBorder="1"/>
    <xf numFmtId="167" fontId="4" fillId="14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80" xfId="0" applyNumberFormat="1" applyBorder="1"/>
    <xf numFmtId="3" fontId="0" fillId="0" borderId="8" xfId="0" applyNumberFormat="1" applyBorder="1"/>
    <xf numFmtId="14" fontId="0" fillId="52" borderId="8" xfId="0" applyNumberFormat="1" applyFill="1" applyBorder="1"/>
    <xf numFmtId="0" fontId="0" fillId="52" borderId="8" xfId="0" applyFill="1" applyBorder="1"/>
    <xf numFmtId="0" fontId="0" fillId="52" borderId="44" xfId="0" applyFill="1" applyBorder="1"/>
    <xf numFmtId="0" fontId="103" fillId="52" borderId="23" xfId="0" applyFont="1" applyFill="1" applyBorder="1" applyAlignment="1">
      <alignment horizontal="center" vertical="center"/>
    </xf>
    <xf numFmtId="0" fontId="103" fillId="52" borderId="23" xfId="0" applyFont="1" applyFill="1" applyBorder="1" applyAlignment="1">
      <alignment horizontal="center" vertical="center" wrapText="1"/>
    </xf>
    <xf numFmtId="0" fontId="103" fillId="52" borderId="34" xfId="0" applyFont="1" applyFill="1" applyBorder="1" applyAlignment="1">
      <alignment horizontal="center" vertical="center" wrapText="1"/>
    </xf>
    <xf numFmtId="167" fontId="103" fillId="52" borderId="17" xfId="21" applyNumberFormat="1" applyFont="1" applyFill="1" applyBorder="1" applyAlignment="1">
      <alignment horizontal="center" vertical="center" wrapText="1"/>
    </xf>
    <xf numFmtId="167" fontId="103" fillId="52" borderId="44" xfId="21" applyNumberFormat="1" applyFont="1" applyFill="1" applyBorder="1" applyAlignment="1">
      <alignment horizontal="center" vertical="center" wrapText="1"/>
    </xf>
    <xf numFmtId="0" fontId="54" fillId="52" borderId="8" xfId="0" applyFont="1" applyFill="1" applyBorder="1" applyAlignment="1">
      <alignment horizontal="center" vertical="center" wrapText="1"/>
    </xf>
    <xf numFmtId="167" fontId="0" fillId="14" borderId="8" xfId="21" applyNumberFormat="1" applyFont="1" applyFill="1" applyBorder="1"/>
    <xf numFmtId="167" fontId="4" fillId="14" borderId="9" xfId="21" applyNumberFormat="1" applyFill="1" applyBorder="1"/>
    <xf numFmtId="0" fontId="4" fillId="14" borderId="40" xfId="184" applyFill="1" applyBorder="1"/>
    <xf numFmtId="0" fontId="4" fillId="14" borderId="28" xfId="184" applyFill="1" applyBorder="1"/>
    <xf numFmtId="0" fontId="4" fillId="14" borderId="8" xfId="184" applyFill="1" applyBorder="1"/>
    <xf numFmtId="0" fontId="4" fillId="14" borderId="16" xfId="184" applyFill="1" applyBorder="1"/>
    <xf numFmtId="2" fontId="4" fillId="14" borderId="47" xfId="184" applyNumberFormat="1" applyFill="1" applyBorder="1"/>
    <xf numFmtId="0" fontId="4" fillId="14" borderId="46" xfId="184" applyFill="1" applyBorder="1"/>
    <xf numFmtId="0" fontId="4" fillId="14" borderId="44" xfId="184" applyFill="1" applyBorder="1"/>
    <xf numFmtId="174" fontId="0" fillId="14" borderId="17" xfId="57" applyNumberFormat="1" applyFont="1" applyFill="1" applyBorder="1"/>
    <xf numFmtId="167" fontId="0" fillId="14" borderId="17" xfId="57" applyNumberFormat="1" applyFont="1" applyFill="1" applyBorder="1"/>
    <xf numFmtId="0" fontId="4" fillId="14" borderId="17" xfId="184" applyFill="1" applyBorder="1"/>
    <xf numFmtId="0" fontId="4" fillId="14" borderId="18" xfId="184" applyFill="1" applyBorder="1"/>
    <xf numFmtId="0" fontId="4" fillId="14" borderId="0" xfId="184" applyFill="1"/>
    <xf numFmtId="0" fontId="16" fillId="53" borderId="8" xfId="190" applyFill="1" applyBorder="1"/>
    <xf numFmtId="0" fontId="6" fillId="53" borderId="8" xfId="190" applyFont="1" applyFill="1" applyBorder="1"/>
    <xf numFmtId="0" fontId="6" fillId="53" borderId="8" xfId="190" applyFont="1" applyFill="1" applyBorder="1" applyAlignment="1">
      <alignment horizontal="center"/>
    </xf>
    <xf numFmtId="0" fontId="0" fillId="0" borderId="0" xfId="0" quotePrefix="1"/>
    <xf numFmtId="3" fontId="7" fillId="0" borderId="0" xfId="0" applyNumberFormat="1" applyFont="1"/>
    <xf numFmtId="168" fontId="7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center" vertical="center" wrapText="1"/>
    </xf>
    <xf numFmtId="3" fontId="7" fillId="0" borderId="0" xfId="0" applyNumberFormat="1" applyFont="1" applyAlignment="1">
      <alignment vertical="center"/>
    </xf>
    <xf numFmtId="168" fontId="5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7" fontId="5" fillId="0" borderId="0" xfId="21" applyNumberFormat="1" applyFont="1" applyBorder="1" applyAlignment="1">
      <alignment horizontal="left"/>
    </xf>
    <xf numFmtId="43" fontId="5" fillId="0" borderId="0" xfId="21" applyFont="1" applyFill="1" applyBorder="1" applyAlignment="1"/>
    <xf numFmtId="167" fontId="5" fillId="0" borderId="0" xfId="21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0" fontId="7" fillId="0" borderId="0" xfId="0" applyFont="1"/>
    <xf numFmtId="167" fontId="4" fillId="0" borderId="0" xfId="21" applyNumberFormat="1" applyFont="1" applyFill="1" applyBorder="1" applyAlignment="1" applyProtection="1">
      <alignment horizontal="right" vertical="center"/>
      <protection locked="0"/>
    </xf>
    <xf numFmtId="167" fontId="7" fillId="0" borderId="0" xfId="21" applyNumberFormat="1" applyFont="1" applyFill="1" applyBorder="1" applyAlignment="1"/>
    <xf numFmtId="167" fontId="7" fillId="0" borderId="0" xfId="0" applyNumberFormat="1" applyFont="1"/>
    <xf numFmtId="167" fontId="10" fillId="14" borderId="0" xfId="21" applyNumberFormat="1" applyFont="1" applyFill="1" applyBorder="1" applyAlignment="1">
      <alignment horizontal="right"/>
    </xf>
    <xf numFmtId="171" fontId="5" fillId="0" borderId="0" xfId="0" applyNumberFormat="1" applyFont="1"/>
    <xf numFmtId="4" fontId="7" fillId="0" borderId="0" xfId="0" applyNumberFormat="1" applyFont="1" applyAlignment="1">
      <alignment horizontal="center"/>
    </xf>
    <xf numFmtId="171" fontId="5" fillId="0" borderId="0" xfId="21" applyNumberFormat="1" applyFont="1" applyBorder="1"/>
    <xf numFmtId="3" fontId="5" fillId="0" borderId="0" xfId="0" applyNumberFormat="1" applyFont="1" applyAlignment="1">
      <alignment horizontal="left" vertical="top" wrapText="1"/>
    </xf>
    <xf numFmtId="167" fontId="5" fillId="0" borderId="0" xfId="21" applyNumberFormat="1" applyFont="1" applyBorder="1"/>
    <xf numFmtId="167" fontId="5" fillId="0" borderId="0" xfId="21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171" fontId="7" fillId="0" borderId="0" xfId="0" applyNumberFormat="1" applyFont="1"/>
    <xf numFmtId="43" fontId="5" fillId="0" borderId="0" xfId="21" applyFont="1" applyFill="1" applyBorder="1"/>
    <xf numFmtId="169" fontId="5" fillId="0" borderId="0" xfId="0" applyNumberFormat="1" applyFont="1"/>
    <xf numFmtId="10" fontId="5" fillId="0" borderId="0" xfId="0" applyNumberFormat="1" applyFont="1"/>
    <xf numFmtId="0" fontId="7" fillId="0" borderId="0" xfId="0" applyFont="1" applyAlignment="1">
      <alignment horizontal="center"/>
    </xf>
    <xf numFmtId="0" fontId="17" fillId="0" borderId="0" xfId="1"/>
    <xf numFmtId="3" fontId="7" fillId="0" borderId="0" xfId="0" applyNumberFormat="1" applyFont="1" applyAlignment="1">
      <alignment horizontal="center"/>
    </xf>
    <xf numFmtId="3" fontId="5" fillId="14" borderId="8" xfId="0" applyNumberFormat="1" applyFont="1" applyFill="1" applyBorder="1"/>
    <xf numFmtId="0" fontId="5" fillId="0" borderId="0" xfId="0" applyFont="1" applyAlignment="1">
      <alignment horizontal="center"/>
    </xf>
    <xf numFmtId="3" fontId="7" fillId="0" borderId="48" xfId="0" applyNumberFormat="1" applyFont="1" applyBorder="1" applyAlignment="1">
      <alignment horizontal="center"/>
    </xf>
    <xf numFmtId="3" fontId="7" fillId="0" borderId="49" xfId="0" applyNumberFormat="1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0" fontId="6" fillId="0" borderId="5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5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/>
    </xf>
    <xf numFmtId="0" fontId="51" fillId="0" borderId="0" xfId="0" applyFont="1" applyAlignment="1">
      <alignment horizontal="center"/>
    </xf>
    <xf numFmtId="0" fontId="51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5" xfId="21" applyNumberFormat="1" applyFont="1" applyFill="1" applyBorder="1" applyAlignment="1">
      <alignment horizontal="center" vertical="center" wrapText="1"/>
    </xf>
    <xf numFmtId="167" fontId="6" fillId="0" borderId="50" xfId="21" applyNumberFormat="1" applyFont="1" applyFill="1" applyBorder="1" applyAlignment="1">
      <alignment horizontal="center" vertical="center" wrapText="1"/>
    </xf>
    <xf numFmtId="0" fontId="102" fillId="13" borderId="0" xfId="0" applyFont="1" applyFill="1" applyAlignment="1">
      <alignment horizontal="center"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0" fillId="0" borderId="28" xfId="0" applyBorder="1" applyAlignment="1">
      <alignment horizontal="left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left" vertical="center" wrapText="1"/>
    </xf>
    <xf numFmtId="0" fontId="6" fillId="8" borderId="8" xfId="0" applyFont="1" applyFill="1" applyBorder="1" applyAlignment="1">
      <alignment horizontal="center" vertical="center" wrapText="1"/>
    </xf>
    <xf numFmtId="43" fontId="6" fillId="15" borderId="9" xfId="0" applyNumberFormat="1" applyFont="1" applyFill="1" applyBorder="1" applyAlignment="1">
      <alignment horizontal="left" vertical="center" wrapText="1"/>
    </xf>
    <xf numFmtId="43" fontId="6" fillId="15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0" fontId="6" fillId="8" borderId="56" xfId="0" applyFont="1" applyFill="1" applyBorder="1" applyAlignment="1">
      <alignment horizontal="center" vertical="center" wrapText="1"/>
    </xf>
    <xf numFmtId="0" fontId="6" fillId="8" borderId="57" xfId="0" applyFont="1" applyFill="1" applyBorder="1" applyAlignment="1">
      <alignment horizontal="center" vertical="center" wrapText="1"/>
    </xf>
    <xf numFmtId="0" fontId="6" fillId="8" borderId="58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58" xfId="0" applyFont="1" applyBorder="1" applyAlignment="1">
      <alignment horizontal="left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4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0" xfId="0" applyFont="1" applyFill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15" fillId="0" borderId="52" xfId="0" applyFont="1" applyBorder="1" applyAlignment="1">
      <alignment horizontal="center" vertical="center" wrapText="1"/>
    </xf>
    <xf numFmtId="0" fontId="15" fillId="0" borderId="41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7" fillId="0" borderId="44" xfId="0" applyFont="1" applyBorder="1" applyAlignment="1">
      <alignment horizontal="center" vertical="center" wrapText="1"/>
    </xf>
    <xf numFmtId="0" fontId="47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47" fillId="0" borderId="47" xfId="0" applyFont="1" applyBorder="1" applyAlignment="1">
      <alignment horizontal="center" vertical="center" wrapText="1"/>
    </xf>
    <xf numFmtId="0" fontId="47" fillId="0" borderId="59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192" fontId="54" fillId="15" borderId="0" xfId="0" applyNumberFormat="1" applyFont="1" applyFill="1" applyAlignment="1">
      <alignment horizontal="center"/>
    </xf>
    <xf numFmtId="0" fontId="15" fillId="0" borderId="54" xfId="184" applyFont="1" applyBorder="1" applyAlignment="1">
      <alignment horizontal="center"/>
    </xf>
    <xf numFmtId="0" fontId="15" fillId="0" borderId="6" xfId="184" applyFont="1" applyBorder="1" applyAlignment="1">
      <alignment horizontal="center"/>
    </xf>
    <xf numFmtId="0" fontId="15" fillId="0" borderId="50" xfId="184" applyFont="1" applyBorder="1" applyAlignment="1">
      <alignment horizontal="center"/>
    </xf>
    <xf numFmtId="0" fontId="15" fillId="0" borderId="48" xfId="184" applyFont="1" applyBorder="1" applyAlignment="1">
      <alignment horizontal="center"/>
    </xf>
    <xf numFmtId="0" fontId="15" fillId="0" borderId="49" xfId="184" applyFont="1" applyBorder="1" applyAlignment="1">
      <alignment horizontal="center"/>
    </xf>
    <xf numFmtId="0" fontId="15" fillId="0" borderId="51" xfId="184" applyFont="1" applyBorder="1" applyAlignment="1">
      <alignment horizontal="center"/>
    </xf>
    <xf numFmtId="167" fontId="0" fillId="0" borderId="76" xfId="21" applyNumberFormat="1" applyFont="1" applyBorder="1" applyAlignment="1">
      <alignment horizontal="center"/>
    </xf>
    <xf numFmtId="167" fontId="0" fillId="0" borderId="77" xfId="21" applyNumberFormat="1" applyFont="1" applyBorder="1" applyAlignment="1">
      <alignment horizontal="center"/>
    </xf>
    <xf numFmtId="167" fontId="0" fillId="0" borderId="78" xfId="21" applyNumberFormat="1" applyFont="1" applyBorder="1" applyAlignment="1">
      <alignment horizontal="center"/>
    </xf>
    <xf numFmtId="167" fontId="0" fillId="0" borderId="33" xfId="21" applyNumberFormat="1" applyFont="1" applyBorder="1" applyAlignment="1">
      <alignment horizontal="center"/>
    </xf>
    <xf numFmtId="167" fontId="0" fillId="0" borderId="7" xfId="21" applyNumberFormat="1" applyFont="1" applyBorder="1" applyAlignment="1">
      <alignment horizontal="center"/>
    </xf>
    <xf numFmtId="167" fontId="0" fillId="0" borderId="29" xfId="21" applyNumberFormat="1" applyFont="1" applyBorder="1" applyAlignment="1">
      <alignment horizontal="center"/>
    </xf>
    <xf numFmtId="167" fontId="0" fillId="0" borderId="79" xfId="21" applyNumberFormat="1" applyFont="1" applyBorder="1" applyAlignment="1">
      <alignment horizontal="center"/>
    </xf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5">
    <dxf>
      <font>
        <color indexed="10"/>
      </font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67" formatCode="_(* #,##0_);_(* \(#,##0\);_(* &quot;-&quot;??_);_(@_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237403</xdr:colOff>
      <xdr:row>22</xdr:row>
      <xdr:rowOff>129871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6B230C5-8ADB-7F8D-A2D0-37976937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3648603" cy="381795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iemensapc.sharepoint.com/teams/SRERepositary/Shared%20Documents/RAM%20-%20DI%20Software%20Development/Automization/Rental%20calculation_IN-CHEK2_6th%20floor_05.01.2026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jmera, Vidhi (SRE FIN AP IN&amp;APJ)" refreshedDate="45812.503837268516" createdVersion="8" refreshedVersion="8" minRefreshableVersion="3" recordCount="52" xr:uid="{7E84FA53-B4DE-4054-8DCA-505C20582172}">
  <cacheSource type="worksheet">
    <worksheetSource ref="A18:L70" sheet="PUNB8_ROU" r:id="rId2"/>
  </cacheSource>
  <cacheFields count="12">
    <cacheField name="Year" numFmtId="0">
      <sharedItems containsString="0" containsBlank="1" containsNumber="1" containsInteger="1" minValue="2025" maxValue="2030" count="7">
        <m/>
        <n v="2025"/>
        <n v="2026"/>
        <n v="2027"/>
        <n v="2028"/>
        <n v="2029"/>
        <n v="2030"/>
      </sharedItems>
    </cacheField>
    <cacheField name="Period" numFmtId="0">
      <sharedItems containsSemiMixedTypes="0" containsString="0" containsNumber="1" containsInteger="1" minValue="0" maxValue="51" count="52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</sharedItems>
    </cacheField>
    <cacheField name="Month" numFmtId="0">
      <sharedItems count="52">
        <s v="Prepayments"/>
        <s v="August 2025"/>
        <s v="September 2025"/>
        <s v="October 2025"/>
        <s v="November 2025"/>
        <s v="December 2025"/>
        <s v="January 2026"/>
        <s v="February 2026"/>
        <s v="March 2026"/>
        <s v="April 2026"/>
        <s v="May 2026"/>
        <s v="June 2026"/>
        <s v="July 2026"/>
        <s v="August 2026"/>
        <s v="September 2026"/>
        <s v="October 2026"/>
        <s v="November 2026"/>
        <s v="December 2026"/>
        <s v="January 2027"/>
        <s v="February 2027"/>
        <s v="March 2027"/>
        <s v="April 2027"/>
        <s v="May 2027"/>
        <s v="June 2027"/>
        <s v="July 2027"/>
        <s v="August 2027"/>
        <s v="September 2027"/>
        <s v="October 2027"/>
        <s v="November 2027"/>
        <s v="December 2027"/>
        <s v="January 2028"/>
        <s v="February 2028"/>
        <s v="March 2028"/>
        <s v="April 2028"/>
        <s v="May 2028"/>
        <s v="June 2028"/>
        <s v="July 2028"/>
        <s v="August 2028"/>
        <s v="September 2028"/>
        <s v="October 2028"/>
        <s v="November 2028"/>
        <s v="December 2028"/>
        <s v="January 2029"/>
        <s v="February 2029"/>
        <s v="March 2029"/>
        <s v="April 2029"/>
        <s v="May 2029"/>
        <s v="June 2029"/>
        <s v="July 2029"/>
        <s v="August 2029"/>
        <s v="September 2029"/>
        <s v="October 2029"/>
      </sharedItems>
    </cacheField>
    <cacheField name="Lease payment" numFmtId="3">
      <sharedItems containsSemiMixedTypes="0" containsString="0" containsNumber="1" minValue="2442913.9843363357" maxValue="11296112.564492553"/>
    </cacheField>
    <cacheField name="Present value" numFmtId="0">
      <sharedItems containsString="0" containsBlank="1" containsNumber="1" minValue="8290374.8076103255" maxValue="10187404.627632741"/>
    </cacheField>
    <cacheField name="Lease liability_x000a_(beginning of the month)" numFmtId="0">
      <sharedItems containsString="0" containsBlank="1" containsNumber="1" minValue="11296112.564492011" maxValue="472472132.63243079"/>
    </cacheField>
    <cacheField name="Interest expense" numFmtId="0">
      <sharedItems containsString="0" containsBlank="1" containsNumber="1" minValue="-3.3640804700553413E-9" maxValue="2871455.633712172"/>
    </cacheField>
    <cacheField name="Lease liability_x000a_(end of the month)" numFmtId="0">
      <sharedItems containsString="0" containsBlank="1" containsNumber="1" minValue="-5.4539381889626379E-7" maxValue="465528148.86610299"/>
    </cacheField>
    <cacheField name="Right-of-use asset_x000a_(beginning of the month)" numFmtId="0">
      <sharedItems containsString="0" containsBlank="1" containsNumber="1" minValue="9403885.2118430436" maxValue="479598145.80396712"/>
    </cacheField>
    <cacheField name="Depreciation of_x000a_Right-of-use asset" numFmtId="0">
      <sharedItems containsString="0" containsBlank="1" containsNumber="1" minValue="9403885.2118424922" maxValue="9403885.2118424922"/>
    </cacheField>
    <cacheField name="Right-of-use asset_x000a_(end of the month)" numFmtId="0">
      <sharedItems containsString="0" containsBlank="1" containsNumber="1" minValue="5.5134296417236328E-7" maxValue="470194260.59212464"/>
    </cacheField>
    <cacheField name="IBIT effect under IFRS 16_x000a_(interest + depreciation)" numFmtId="0">
      <sharedItems containsString="0" containsBlank="1" containsNumber="1" minValue="9403885.2118424885" maxValue="12275340.8455546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">
  <r>
    <x v="0"/>
    <x v="0"/>
    <x v="0"/>
    <n v="2442913.9843363357"/>
    <m/>
    <m/>
    <m/>
    <m/>
    <m/>
    <m/>
    <m/>
    <m/>
  </r>
  <r>
    <x v="1"/>
    <x v="1"/>
    <x v="1"/>
    <n v="9815439.4000399988"/>
    <n v="9815439.4000399988"/>
    <n v="472472132.63243079"/>
    <n v="2871455.633712172"/>
    <n v="465528148.86610299"/>
    <n v="479598145.80396712"/>
    <n v="9403885.2118424922"/>
    <n v="470194260.59212464"/>
    <n v="12275340.845554665"/>
  </r>
  <r>
    <x v="1"/>
    <x v="2"/>
    <x v="2"/>
    <n v="9815439.4000399988"/>
    <n v="9754896.1249850839"/>
    <n v="465528148.86610299"/>
    <n v="2828358.145665647"/>
    <n v="458541067.61172867"/>
    <n v="470194260.59212464"/>
    <n v="9403885.2118424922"/>
    <n v="460790375.38028216"/>
    <n v="12232243.35750814"/>
  </r>
  <r>
    <x v="2"/>
    <x v="3"/>
    <x v="3"/>
    <n v="9815439.4000399988"/>
    <n v="9694726.2909963299"/>
    <n v="458541067.61172867"/>
    <n v="2784993.1752144354"/>
    <n v="451510621.38690311"/>
    <n v="460790375.38028216"/>
    <n v="9403885.2118424922"/>
    <n v="451386490.16843969"/>
    <n v="12188878.387056928"/>
  </r>
  <r>
    <x v="2"/>
    <x v="4"/>
    <x v="4"/>
    <n v="9815439.4000399988"/>
    <n v="9634927.5946266595"/>
    <n v="451510621.38690311"/>
    <n v="2741359.0622423668"/>
    <n v="444436541.04910553"/>
    <n v="451386490.16843969"/>
    <n v="9403885.2118424922"/>
    <n v="441982604.95659721"/>
    <n v="12145244.274084859"/>
  </r>
  <r>
    <x v="2"/>
    <x v="5"/>
    <x v="5"/>
    <n v="9815439.4000399988"/>
    <n v="9575497.7466370426"/>
    <n v="444436541.04910553"/>
    <n v="2697454.1363298427"/>
    <n v="437318555.78539538"/>
    <n v="441982604.95659721"/>
    <n v="9403885.2118424922"/>
    <n v="432578719.74475473"/>
    <n v="12101339.348172335"/>
  </r>
  <r>
    <x v="2"/>
    <x v="6"/>
    <x v="6"/>
    <n v="9815439.4000399988"/>
    <n v="9516434.4719088636"/>
    <n v="437318555.78539538"/>
    <n v="2653276.7166898889"/>
    <n v="430156393.1020453"/>
    <n v="432578719.74475473"/>
    <n v="9403885.2118424922"/>
    <n v="423174834.53291225"/>
    <n v="12057161.928532381"/>
  </r>
  <r>
    <x v="2"/>
    <x v="7"/>
    <x v="7"/>
    <n v="9815439.4000399988"/>
    <n v="9457735.5093568154"/>
    <n v="430156393.1020453"/>
    <n v="2608825.112103811"/>
    <n v="422949778.81410915"/>
    <n v="423174834.53291225"/>
    <n v="9403885.2118424922"/>
    <n v="413770949.32106978"/>
    <n v="12012710.323946303"/>
  </r>
  <r>
    <x v="2"/>
    <x v="8"/>
    <x v="8"/>
    <n v="9815439.4000399988"/>
    <n v="9399398.6118423454"/>
    <n v="422949778.81410915"/>
    <n v="2564097.6208564495"/>
    <n v="415698437.03492564"/>
    <n v="413770949.32106978"/>
    <n v="9403885.2118424922"/>
    <n v="404367064.1092273"/>
    <n v="11967982.832698941"/>
  </r>
  <r>
    <x v="2"/>
    <x v="9"/>
    <x v="9"/>
    <n v="9815439.4000399988"/>
    <n v="9341421.5460876301"/>
    <n v="415698437.03492564"/>
    <n v="2519092.5306710363"/>
    <n v="408402090.16555673"/>
    <n v="404367064.1092273"/>
    <n v="9403885.2118424922"/>
    <n v="394963178.89738482"/>
    <n v="11922977.742513528"/>
  </r>
  <r>
    <x v="2"/>
    <x v="10"/>
    <x v="10"/>
    <n v="9815439.4000399988"/>
    <n v="9283802.0925900731"/>
    <n v="408402090.16555673"/>
    <n v="2473808.1186436415"/>
    <n v="401060458.8841604"/>
    <n v="394963178.89738482"/>
    <n v="9403885.2118424922"/>
    <n v="385559293.68554235"/>
    <n v="11877693.330486134"/>
  </r>
  <r>
    <x v="2"/>
    <x v="11"/>
    <x v="11"/>
    <n v="9815439.4000399988"/>
    <n v="9226538.0455373488"/>
    <n v="401060458.8841604"/>
    <n v="2428242.6511772191"/>
    <n v="393673262.13529766"/>
    <n v="385559293.68554235"/>
    <n v="9403885.2118424922"/>
    <n v="376155408.47369987"/>
    <n v="11832127.863019712"/>
  </r>
  <r>
    <x v="2"/>
    <x v="12"/>
    <x v="12"/>
    <n v="9815439.4000399988"/>
    <n v="9169627.2127229441"/>
    <n v="393673262.13529766"/>
    <n v="2382394.3839152399"/>
    <n v="386240217.11917293"/>
    <n v="376155408.47369987"/>
    <n v="9403885.2118424922"/>
    <n v="366751523.26185739"/>
    <n v="11786279.595757732"/>
  </r>
  <r>
    <x v="2"/>
    <x v="13"/>
    <x v="13"/>
    <n v="9815439.4000399988"/>
    <n v="9113067.415462248"/>
    <n v="386240217.11917293"/>
    <n v="2336261.5616749129"/>
    <n v="378761039.28080785"/>
    <n v="366751523.26185739"/>
    <n v="9403885.2118424922"/>
    <n v="357347638.05001491"/>
    <n v="11740146.773517406"/>
  </r>
  <r>
    <x v="2"/>
    <x v="14"/>
    <x v="14"/>
    <n v="9815439.4000399988"/>
    <n v="9056856.488509139"/>
    <n v="378761039.28080785"/>
    <n v="2289842.4183799918"/>
    <n v="371235442.29914784"/>
    <n v="357347638.05001491"/>
    <n v="9403885.2118424922"/>
    <n v="347943752.83817244"/>
    <n v="11693727.630222484"/>
  </r>
  <r>
    <x v="3"/>
    <x v="15"/>
    <x v="15"/>
    <n v="9815439.4000399988"/>
    <n v="9000992.279973099"/>
    <n v="371235442.29914784"/>
    <n v="2243135.176993168"/>
    <n v="363663138.07610106"/>
    <n v="347943752.83817244"/>
    <n v="9403885.2118424922"/>
    <n v="338539867.62632996"/>
    <n v="11647020.388835661"/>
  </r>
  <r>
    <x v="3"/>
    <x v="16"/>
    <x v="16"/>
    <n v="11178151.973041998"/>
    <n v="10187404.627632741"/>
    <n v="363663138.07610106"/>
    <n v="2187680.4419993307"/>
    <n v="354672666.54505837"/>
    <n v="338539867.62632996"/>
    <n v="9403885.2118424922"/>
    <n v="329135982.41448748"/>
    <n v="11591565.653841823"/>
  </r>
  <r>
    <x v="3"/>
    <x v="17"/>
    <x v="17"/>
    <n v="11178151.973041998"/>
    <n v="10124567.00872146"/>
    <n v="354672666.54505837"/>
    <n v="2131881.529965491"/>
    <n v="345626396.10198188"/>
    <n v="329135982.41448748"/>
    <n v="9403885.2118424922"/>
    <n v="319732097.202645"/>
    <n v="11535766.741807982"/>
  </r>
  <r>
    <x v="3"/>
    <x v="18"/>
    <x v="18"/>
    <n v="11178151.973041998"/>
    <n v="10062116.982773723"/>
    <n v="345626396.10198188"/>
    <n v="2075736.3047740587"/>
    <n v="336523980.43371391"/>
    <n v="319732097.202645"/>
    <n v="9403885.2118424922"/>
    <n v="310328211.99080253"/>
    <n v="11479621.516616551"/>
  </r>
  <r>
    <x v="3"/>
    <x v="19"/>
    <x v="19"/>
    <n v="11178151.973041998"/>
    <n v="10000052.15905118"/>
    <n v="336523980.43371391"/>
    <n v="2019242.6170497371"/>
    <n v="327365071.07772166"/>
    <n v="310328211.99080253"/>
    <n v="9403885.2118424922"/>
    <n v="300924326.77896005"/>
    <n v="11423127.828892229"/>
  </r>
  <r>
    <x v="3"/>
    <x v="20"/>
    <x v="20"/>
    <n v="11178151.973041998"/>
    <n v="9938370.1615619529"/>
    <n v="327365071.07772166"/>
    <n v="1962398.304077239"/>
    <n v="318149317.40875691"/>
    <n v="300924326.77896005"/>
    <n v="9403885.2118424922"/>
    <n v="291520441.56711757"/>
    <n v="11366283.515919732"/>
  </r>
  <r>
    <x v="3"/>
    <x v="21"/>
    <x v="21"/>
    <n v="11178151.973041998"/>
    <n v="9877068.6289696824"/>
    <n v="318149317.40875691"/>
    <n v="1905201.1897184926"/>
    <n v="308876366.62543339"/>
    <n v="291520441.56711757"/>
    <n v="9403885.2118424922"/>
    <n v="282116556.35527509"/>
    <n v="11309086.401560985"/>
  </r>
  <r>
    <x v="3"/>
    <x v="22"/>
    <x v="22"/>
    <n v="11178151.973041998"/>
    <n v="9816145.2145031318"/>
    <n v="308876366.62543339"/>
    <n v="1847649.0843293343"/>
    <n v="299545863.73672068"/>
    <n v="282116556.35527509"/>
    <n v="9403885.2118424922"/>
    <n v="272712671.14343262"/>
    <n v="11251534.296171827"/>
  </r>
  <r>
    <x v="3"/>
    <x v="23"/>
    <x v="23"/>
    <n v="11178151.973041998"/>
    <n v="9755597.5858663302"/>
    <n v="299545863.73672068"/>
    <n v="1789739.7846756836"/>
    <n v="290157451.54835433"/>
    <n v="272712671.14343262"/>
    <n v="9403885.2118424922"/>
    <n v="263308785.93159014"/>
    <n v="11193624.996518176"/>
  </r>
  <r>
    <x v="3"/>
    <x v="24"/>
    <x v="24"/>
    <n v="11178151.973041998"/>
    <n v="9695423.4251493104"/>
    <n v="290157451.54835433"/>
    <n v="1731471.0738491972"/>
    <n v="280710770.64916152"/>
    <n v="263308785.93159014"/>
    <n v="9403885.2118424922"/>
    <n v="253904900.71974766"/>
    <n v="11135356.28569169"/>
  </r>
  <r>
    <x v="3"/>
    <x v="25"/>
    <x v="25"/>
    <n v="11178151.973041998"/>
    <n v="9635620.4287393596"/>
    <n v="280710770.64916152"/>
    <n v="1672840.721182402"/>
    <n v="271205459.39730191"/>
    <n v="253904900.71974766"/>
    <n v="9403885.2118424922"/>
    <n v="244501015.50790519"/>
    <n v="11076725.933024894"/>
  </r>
  <r>
    <x v="3"/>
    <x v="26"/>
    <x v="26"/>
    <n v="11178151.973041998"/>
    <n v="9576186.3072328344"/>
    <n v="271205459.39730191"/>
    <n v="1613846.4821632979"/>
    <n v="261641153.90642321"/>
    <n v="244501015.50790519"/>
    <n v="9403885.2118424922"/>
    <n v="235097130.29606271"/>
    <n v="11017731.694005791"/>
  </r>
  <r>
    <x v="4"/>
    <x v="27"/>
    <x v="27"/>
    <n v="11178151.973041998"/>
    <n v="9517118.7853475157"/>
    <n v="261641153.90642321"/>
    <n v="1554486.0983494336"/>
    <n v="252017488.03173062"/>
    <n v="235097130.29606271"/>
    <n v="9403885.2118424922"/>
    <n v="225693245.08422023"/>
    <n v="10958371.310191926"/>
  </r>
  <r>
    <x v="4"/>
    <x v="28"/>
    <x v="28"/>
    <n v="11235693.724969098"/>
    <n v="9507104.6700729728"/>
    <n v="252017488.03173062"/>
    <n v="1494400.1672751999"/>
    <n v="242276194.47403672"/>
    <n v="225693245.08422023"/>
    <n v="9403885.2118424922"/>
    <n v="216289359.87237775"/>
    <n v="10898285.379117692"/>
  </r>
  <r>
    <x v="4"/>
    <x v="29"/>
    <x v="29"/>
    <n v="11235693.724969098"/>
    <n v="9448463.2553021014"/>
    <n v="242276194.47403672"/>
    <n v="1433941.3158740506"/>
    <n v="232474442.06494167"/>
    <n v="216289359.87237775"/>
    <n v="9403885.2118424922"/>
    <n v="206885474.66053528"/>
    <n v="10837826.527716544"/>
  </r>
  <r>
    <x v="4"/>
    <x v="30"/>
    <x v="30"/>
    <n v="11235693.724969098"/>
    <n v="9390183.5506044514"/>
    <n v="232474442.06494167"/>
    <n v="1373107.2296346228"/>
    <n v="222611855.5696072"/>
    <n v="206885474.66053528"/>
    <n v="9403885.2118424922"/>
    <n v="197481589.4486928"/>
    <n v="10776992.441477114"/>
  </r>
  <r>
    <x v="4"/>
    <x v="31"/>
    <x v="31"/>
    <n v="11235693.724969098"/>
    <n v="9332263.3248916753"/>
    <n v="222611855.5696072"/>
    <n v="1311895.5796806542"/>
    <n v="212688057.42431876"/>
    <n v="197481589.4486928"/>
    <n v="9403885.2118424922"/>
    <n v="188077704.23685032"/>
    <n v="10715780.791523147"/>
  </r>
  <r>
    <x v="4"/>
    <x v="32"/>
    <x v="32"/>
    <n v="11235693.724969098"/>
    <n v="9274700.3608371578"/>
    <n v="212688057.42431876"/>
    <n v="1250304.0226818288"/>
    <n v="202702667.7220315"/>
    <n v="188077704.23685032"/>
    <n v="9403885.2118424922"/>
    <n v="178673819.02500784"/>
    <n v="10654189.234524321"/>
  </r>
  <r>
    <x v="4"/>
    <x v="33"/>
    <x v="33"/>
    <n v="11235693.724969098"/>
    <n v="9217492.4547911193"/>
    <n v="202702667.7220315"/>
    <n v="1188330.2007640679"/>
    <n v="192655304.19782647"/>
    <n v="178673819.02500784"/>
    <n v="9403885.2118424922"/>
    <n v="169269933.81316537"/>
    <n v="10592215.41260656"/>
  </r>
  <r>
    <x v="4"/>
    <x v="34"/>
    <x v="34"/>
    <n v="11235693.724969098"/>
    <n v="9160637.4166962635"/>
    <n v="192655304.19782647"/>
    <n v="1125971.7414192657"/>
    <n v="182545582.21427664"/>
    <n v="169269933.81316537"/>
    <n v="9403885.2118424922"/>
    <n v="159866048.60132289"/>
    <n v="10529856.953261757"/>
  </r>
  <r>
    <x v="4"/>
    <x v="35"/>
    <x v="35"/>
    <n v="11235693.724969098"/>
    <n v="9104133.0700039361"/>
    <n v="182545582.21427664"/>
    <n v="1063226.2574144627"/>
    <n v="172373114.74672201"/>
    <n v="159866048.60132289"/>
    <n v="9403885.2118424922"/>
    <n v="150462163.38948041"/>
    <n v="10467111.469256954"/>
  </r>
  <r>
    <x v="4"/>
    <x v="36"/>
    <x v="36"/>
    <n v="11235693.724969098"/>
    <n v="9047977.2515908014"/>
    <n v="172373114.74672201"/>
    <n v="1000091.3467004584"/>
    <n v="162137512.36845338"/>
    <n v="150462163.38948041"/>
    <n v="9403885.2118424922"/>
    <n v="141058278.17763793"/>
    <n v="10403976.55854295"/>
  </r>
  <r>
    <x v="4"/>
    <x v="37"/>
    <x v="37"/>
    <n v="11235693.724969098"/>
    <n v="8992167.8116760235"/>
    <n v="162137512.36845338"/>
    <n v="936564.59231985314"/>
    <n v="151838383.23580414"/>
    <n v="141058278.17763793"/>
    <n v="9403885.2118424922"/>
    <n v="131654392.96579544"/>
    <n v="10340449.804162346"/>
  </r>
  <r>
    <x v="4"/>
    <x v="38"/>
    <x v="38"/>
    <n v="11235693.724969098"/>
    <n v="8936702.613738982"/>
    <n v="151838383.23580414"/>
    <n v="872643.5623145221"/>
    <n v="141475333.07314956"/>
    <n v="131654392.96579544"/>
    <n v="9403885.2118424922"/>
    <n v="122250507.75395295"/>
    <n v="10276528.774157014"/>
  </r>
  <r>
    <x v="5"/>
    <x v="39"/>
    <x v="39"/>
    <n v="11235693.724969098"/>
    <n v="8881579.534437472"/>
    <n v="141475333.07314956"/>
    <n v="808325.8096325146"/>
    <n v="131047965.15781297"/>
    <n v="122250507.75395295"/>
    <n v="9403885.2118424922"/>
    <n v="112846622.54211046"/>
    <n v="10212211.021475006"/>
  </r>
  <r>
    <x v="5"/>
    <x v="40"/>
    <x v="40"/>
    <n v="11296112.564492553"/>
    <n v="8874261.6946096458"/>
    <n v="131047965.15781297"/>
    <n v="743233.88552781346"/>
    <n v="120495086.47884823"/>
    <n v="112846622.54211046"/>
    <n v="9403885.2118424922"/>
    <n v="103442737.33026797"/>
    <n v="10147119.097370306"/>
  </r>
  <r>
    <x v="5"/>
    <x v="41"/>
    <x v="41"/>
    <n v="11296112.564492553"/>
    <n v="8819523.7613609452"/>
    <n v="120495086.47884823"/>
    <n v="677737.97165075282"/>
    <n v="109876711.88600643"/>
    <n v="103442737.33026797"/>
    <n v="9403885.2118424922"/>
    <n v="94038852.118425474"/>
    <n v="10081623.183493245"/>
  </r>
  <r>
    <x v="5"/>
    <x v="42"/>
    <x v="42"/>
    <n v="11296112.564492553"/>
    <n v="8765123.4608573075"/>
    <n v="109876711.88600643"/>
    <n v="611835.56065900985"/>
    <n v="99192434.882172883"/>
    <n v="94038852.118425474"/>
    <n v="9403885.2118424922"/>
    <n v="84634966.906582981"/>
    <n v="10015720.772501502"/>
  </r>
  <r>
    <x v="5"/>
    <x v="43"/>
    <x v="43"/>
    <n v="11296112.564492553"/>
    <n v="8711058.7105233781"/>
    <n v="99192434.882172883"/>
    <n v="545524.12964856706"/>
    <n v="88441846.447328895"/>
    <n v="84634966.906582981"/>
    <n v="9403885.2118424922"/>
    <n v="75231081.694740489"/>
    <n v="9949409.3414910585"/>
  </r>
  <r>
    <x v="5"/>
    <x v="44"/>
    <x v="44"/>
    <n v="11296112.564492553"/>
    <n v="8657327.4406294841"/>
    <n v="88441846.447328895"/>
    <n v="478801.14005712961"/>
    <n v="77624535.022893474"/>
    <n v="75231081.694740489"/>
    <n v="9403885.2118424922"/>
    <n v="65827196.482897997"/>
    <n v="9882686.351899622"/>
  </r>
  <r>
    <x v="5"/>
    <x v="45"/>
    <x v="45"/>
    <n v="11296112.564492553"/>
    <n v="8603927.594212383"/>
    <n v="77624535.022893474"/>
    <n v="411664.0375669424"/>
    <n v="66740086.495967865"/>
    <n v="65827196.482897997"/>
    <n v="9403885.2118424922"/>
    <n v="56423311.271055505"/>
    <n v="9815549.2494094353"/>
  </r>
  <r>
    <x v="5"/>
    <x v="46"/>
    <x v="46"/>
    <n v="11296112.564492553"/>
    <n v="8550857.1269965358"/>
    <n v="66740086.495967865"/>
    <n v="344110.25200700498"/>
    <n v="55788084.183482319"/>
    <n v="56423311.271055505"/>
    <n v="9403885.2118424922"/>
    <n v="47019426.059213012"/>
    <n v="9747995.463849498"/>
  </r>
  <r>
    <x v="5"/>
    <x v="47"/>
    <x v="47"/>
    <n v="11296112.564492553"/>
    <n v="8498114.0073158294"/>
    <n v="55788084.183482319"/>
    <n v="276137.19725467899"/>
    <n v="44768108.816244446"/>
    <n v="47019426.059213012"/>
    <n v="9403885.2118424922"/>
    <n v="37615540.84737052"/>
    <n v="9680022.4090971705"/>
  </r>
  <r>
    <x v="5"/>
    <x v="48"/>
    <x v="48"/>
    <n v="11296112.564492553"/>
    <n v="8445696.2160358131"/>
    <n v="44768108.816244446"/>
    <n v="207742.27113668554"/>
    <n v="33679738.522888578"/>
    <n v="37615540.84737052"/>
    <n v="9403885.2118424922"/>
    <n v="28211655.635528028"/>
    <n v="9611627.4829791784"/>
  </r>
  <r>
    <x v="5"/>
    <x v="49"/>
    <x v="49"/>
    <n v="11296112.564492553"/>
    <n v="8393601.7464763951"/>
    <n v="33679738.522888578"/>
    <n v="138922.85532948701"/>
    <n v="22522548.813725512"/>
    <n v="28211655.635528028"/>
    <n v="9403885.2118424922"/>
    <n v="18807770.423685536"/>
    <n v="9542808.0671719797"/>
  </r>
  <r>
    <x v="5"/>
    <x v="50"/>
    <x v="50"/>
    <n v="11296112.564492553"/>
    <n v="8341828.6043350194"/>
    <n v="22522548.813725512"/>
    <n v="69676.315259051902"/>
    <n v="11296112.564492011"/>
    <n v="18807770.423685536"/>
    <n v="9403885.2118424922"/>
    <n v="9403885.2118430436"/>
    <n v="9473561.5271015447"/>
  </r>
  <r>
    <x v="6"/>
    <x v="51"/>
    <x v="51"/>
    <n v="11296112.564492553"/>
    <n v="8290374.8076103255"/>
    <n v="11296112.564492011"/>
    <n v="-3.3640804700553413E-9"/>
    <n v="-5.4539381889626379E-7"/>
    <n v="9403885.2118430436"/>
    <n v="9403885.2118424922"/>
    <n v="5.5134296417236328E-7"/>
    <n v="9403885.211842488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89C520-6016-4497-B184-8BE07C358C9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F65" firstHeaderRow="1" firstDataRow="2" firstDataCol="3"/>
  <pivotFields count="12">
    <pivotField axis="axisRow" compact="0" outline="0" multipleItemSelectionAllowed="1" showAll="0">
      <items count="8">
        <item x="1"/>
        <item x="2"/>
        <item x="3"/>
        <item x="4"/>
        <item x="5"/>
        <item x="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3">
        <item x="9"/>
        <item x="21"/>
        <item x="33"/>
        <item x="45"/>
        <item x="1"/>
        <item x="13"/>
        <item x="25"/>
        <item x="37"/>
        <item x="49"/>
        <item x="5"/>
        <item x="17"/>
        <item x="29"/>
        <item x="41"/>
        <item x="7"/>
        <item x="19"/>
        <item x="31"/>
        <item x="43"/>
        <item x="6"/>
        <item x="18"/>
        <item x="30"/>
        <item x="42"/>
        <item x="12"/>
        <item x="24"/>
        <item x="36"/>
        <item x="48"/>
        <item x="11"/>
        <item x="23"/>
        <item x="35"/>
        <item x="47"/>
        <item x="8"/>
        <item x="20"/>
        <item x="32"/>
        <item x="44"/>
        <item x="10"/>
        <item x="22"/>
        <item x="34"/>
        <item x="46"/>
        <item x="4"/>
        <item x="16"/>
        <item x="28"/>
        <item x="40"/>
        <item x="3"/>
        <item x="15"/>
        <item x="27"/>
        <item x="39"/>
        <item x="51"/>
        <item x="0"/>
        <item x="2"/>
        <item x="14"/>
        <item x="26"/>
        <item x="38"/>
        <item x="5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1"/>
    <field x="2"/>
  </rowFields>
  <rowItems count="60">
    <i>
      <x/>
      <x v="1"/>
      <x v="4"/>
    </i>
    <i r="1">
      <x v="2"/>
      <x v="47"/>
    </i>
    <i t="default">
      <x/>
    </i>
    <i>
      <x v="1"/>
      <x v="3"/>
      <x v="41"/>
    </i>
    <i r="1">
      <x v="4"/>
      <x v="37"/>
    </i>
    <i r="1">
      <x v="5"/>
      <x v="9"/>
    </i>
    <i r="1">
      <x v="6"/>
      <x v="17"/>
    </i>
    <i r="1">
      <x v="7"/>
      <x v="13"/>
    </i>
    <i r="1">
      <x v="8"/>
      <x v="29"/>
    </i>
    <i r="1">
      <x v="9"/>
      <x/>
    </i>
    <i r="1">
      <x v="10"/>
      <x v="33"/>
    </i>
    <i r="1">
      <x v="11"/>
      <x v="25"/>
    </i>
    <i r="1">
      <x v="12"/>
      <x v="21"/>
    </i>
    <i r="1">
      <x v="13"/>
      <x v="5"/>
    </i>
    <i r="1">
      <x v="14"/>
      <x v="48"/>
    </i>
    <i t="default">
      <x v="1"/>
    </i>
    <i>
      <x v="2"/>
      <x v="15"/>
      <x v="42"/>
    </i>
    <i r="1">
      <x v="16"/>
      <x v="38"/>
    </i>
    <i r="1">
      <x v="17"/>
      <x v="10"/>
    </i>
    <i r="1">
      <x v="18"/>
      <x v="18"/>
    </i>
    <i r="1">
      <x v="19"/>
      <x v="14"/>
    </i>
    <i r="1">
      <x v="20"/>
      <x v="30"/>
    </i>
    <i r="1">
      <x v="21"/>
      <x v="1"/>
    </i>
    <i r="1">
      <x v="22"/>
      <x v="34"/>
    </i>
    <i r="1">
      <x v="23"/>
      <x v="26"/>
    </i>
    <i r="1">
      <x v="24"/>
      <x v="22"/>
    </i>
    <i r="1">
      <x v="25"/>
      <x v="6"/>
    </i>
    <i r="1">
      <x v="26"/>
      <x v="49"/>
    </i>
    <i t="default">
      <x v="2"/>
    </i>
    <i>
      <x v="3"/>
      <x v="27"/>
      <x v="43"/>
    </i>
    <i r="1">
      <x v="28"/>
      <x v="39"/>
    </i>
    <i r="1">
      <x v="29"/>
      <x v="11"/>
    </i>
    <i r="1">
      <x v="30"/>
      <x v="19"/>
    </i>
    <i r="1">
      <x v="31"/>
      <x v="15"/>
    </i>
    <i r="1">
      <x v="32"/>
      <x v="31"/>
    </i>
    <i r="1">
      <x v="33"/>
      <x v="2"/>
    </i>
    <i r="1">
      <x v="34"/>
      <x v="35"/>
    </i>
    <i r="1">
      <x v="35"/>
      <x v="27"/>
    </i>
    <i r="1">
      <x v="36"/>
      <x v="23"/>
    </i>
    <i r="1">
      <x v="37"/>
      <x v="7"/>
    </i>
    <i r="1">
      <x v="38"/>
      <x v="50"/>
    </i>
    <i t="default">
      <x v="3"/>
    </i>
    <i>
      <x v="4"/>
      <x v="39"/>
      <x v="44"/>
    </i>
    <i r="1">
      <x v="40"/>
      <x v="40"/>
    </i>
    <i r="1">
      <x v="41"/>
      <x v="12"/>
    </i>
    <i r="1">
      <x v="42"/>
      <x v="20"/>
    </i>
    <i r="1">
      <x v="43"/>
      <x v="16"/>
    </i>
    <i r="1">
      <x v="44"/>
      <x v="32"/>
    </i>
    <i r="1">
      <x v="45"/>
      <x v="3"/>
    </i>
    <i r="1">
      <x v="46"/>
      <x v="36"/>
    </i>
    <i r="1">
      <x v="47"/>
      <x v="28"/>
    </i>
    <i r="1">
      <x v="48"/>
      <x v="24"/>
    </i>
    <i r="1">
      <x v="49"/>
      <x v="8"/>
    </i>
    <i r="1">
      <x v="50"/>
      <x v="51"/>
    </i>
    <i t="default">
      <x v="4"/>
    </i>
    <i>
      <x v="5"/>
      <x v="51"/>
      <x v="45"/>
    </i>
    <i t="default">
      <x v="5"/>
    </i>
    <i>
      <x v="6"/>
      <x/>
      <x v="46"/>
    </i>
    <i t="default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Interest expense" fld="6" baseField="0" baseItem="0" numFmtId="167"/>
    <dataField name="Sum of Depreciation of_x000a_Right-of-use asset" fld="9" baseField="0" baseItem="0" numFmtId="167"/>
    <dataField name="Sum of Lease payment" fld="3" baseField="0" baseItem="0" numFmtId="3"/>
  </dataFields>
  <formats count="4">
    <format dxfId="4">
      <pivotArea outline="0" fieldPosition="0">
        <references count="2">
          <reference field="1" count="51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  <reference field="2" count="5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7"/>
            <x v="48"/>
            <x v="49"/>
            <x v="50"/>
            <x v="51"/>
          </reference>
        </references>
      </pivotArea>
    </format>
    <format dxfId="3">
      <pivotArea grandRow="1" outline="0" collapsedLevelsAreSubtotals="1" fieldPosition="0"/>
    </format>
    <format dxfId="2">
      <pivotArea outline="0" fieldPosition="0">
        <references count="1">
          <reference field="4294967294" count="1" selected="0">
            <x v="1"/>
          </reference>
        </references>
      </pivotArea>
    </format>
    <format dxfId="1">
      <pivotArea outline="0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customProperty" Target="../customProperty6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6A643-D353-4DF0-B521-5D140239A4BD}">
  <sheetPr codeName="Sheet1"/>
  <dimension ref="A1:H20"/>
  <sheetViews>
    <sheetView workbookViewId="0">
      <selection sqref="A1:A2"/>
    </sheetView>
  </sheetViews>
  <sheetFormatPr defaultColWidth="8.90625" defaultRowHeight="12.5"/>
  <cols>
    <col min="1" max="1" width="8.6328125" style="402" bestFit="1" customWidth="1"/>
    <col min="2" max="6" width="12" style="402" customWidth="1"/>
    <col min="7" max="7" width="8.90625" style="402"/>
    <col min="8" max="8" width="11.453125" style="402" bestFit="1" customWidth="1"/>
    <col min="9" max="16384" width="8.90625" style="402"/>
  </cols>
  <sheetData>
    <row r="1" spans="1:8">
      <c r="A1" s="669" t="s">
        <v>299</v>
      </c>
      <c r="B1" s="400" t="s">
        <v>295</v>
      </c>
      <c r="C1" s="400" t="s">
        <v>296</v>
      </c>
      <c r="D1" s="400" t="s">
        <v>297</v>
      </c>
      <c r="E1" s="400" t="s">
        <v>316</v>
      </c>
      <c r="F1" s="401" t="s">
        <v>298</v>
      </c>
    </row>
    <row r="2" spans="1:8">
      <c r="A2" s="669"/>
      <c r="B2" s="403" t="s">
        <v>238</v>
      </c>
      <c r="C2" s="403" t="s">
        <v>239</v>
      </c>
      <c r="D2" s="403" t="s">
        <v>240</v>
      </c>
      <c r="E2" s="403" t="s">
        <v>241</v>
      </c>
      <c r="F2" s="404" t="s">
        <v>242</v>
      </c>
    </row>
    <row r="3" spans="1:8">
      <c r="A3" s="405" t="s">
        <v>300</v>
      </c>
      <c r="B3" s="406">
        <f>'Rent Calculation'!$G$107*'Rent Calculation'!$G$21*9</f>
        <v>15320246.779390587</v>
      </c>
      <c r="C3" s="406">
        <f>'Rent Calculation'!$G$107*'Rent Calculation'!$G$21*12</f>
        <v>20426995.705854118</v>
      </c>
      <c r="D3" s="406">
        <f>'Rent Calculation'!$G$107*'Rent Calculation'!$G$21*12</f>
        <v>20426995.705854118</v>
      </c>
      <c r="E3" s="406">
        <f>'Rent Calculation'!$G$107*'Rent Calculation'!$G$21*1</f>
        <v>1702249.6421545097</v>
      </c>
      <c r="F3" s="406">
        <f>SUM(B3:E3)</f>
        <v>57876487.833253331</v>
      </c>
    </row>
    <row r="4" spans="1:8">
      <c r="A4" s="405" t="s">
        <v>301</v>
      </c>
      <c r="B4" s="406" t="e">
        <f>SUM(B5:B11)</f>
        <v>#REF!</v>
      </c>
      <c r="C4" s="406" t="e">
        <f t="shared" ref="C4:D4" si="0">SUM(C5:C11)</f>
        <v>#REF!</v>
      </c>
      <c r="D4" s="406" t="e">
        <f t="shared" si="0"/>
        <v>#REF!</v>
      </c>
      <c r="E4" s="406" t="e">
        <f t="shared" ref="E4" si="1">SUM(E5:E11)</f>
        <v>#REF!</v>
      </c>
      <c r="F4" s="406" t="e">
        <f t="shared" ref="F4:F20" si="2">SUM(B4:E4)</f>
        <v>#REF!</v>
      </c>
    </row>
    <row r="5" spans="1:8">
      <c r="A5" s="407" t="s">
        <v>302</v>
      </c>
      <c r="B5" s="408" t="e">
        <f>SUM(#REF!)</f>
        <v>#REF!</v>
      </c>
      <c r="C5" s="408" t="e">
        <f>SUM(#REF!)</f>
        <v>#REF!</v>
      </c>
      <c r="D5" s="408" t="e">
        <f>SUM(#REF!)</f>
        <v>#REF!</v>
      </c>
      <c r="E5" s="408" t="e">
        <f>SUM(#REF!)</f>
        <v>#REF!</v>
      </c>
      <c r="F5" s="408" t="e">
        <f t="shared" si="2"/>
        <v>#REF!</v>
      </c>
    </row>
    <row r="6" spans="1:8">
      <c r="A6" s="407" t="s">
        <v>303</v>
      </c>
      <c r="B6" s="408">
        <f>'CAPEX and PM'!F27</f>
        <v>5388888.888888889</v>
      </c>
      <c r="C6" s="408">
        <f>'CAPEX and PM'!G27</f>
        <v>8083333.333333334</v>
      </c>
      <c r="D6" s="408">
        <f>'CAPEX and PM'!H27</f>
        <v>7750000</v>
      </c>
      <c r="E6" s="408">
        <f>'CAPEX and PM'!I27</f>
        <v>6083333.333333334</v>
      </c>
      <c r="F6" s="408">
        <f t="shared" si="2"/>
        <v>27305555.55555556</v>
      </c>
    </row>
    <row r="7" spans="1:8">
      <c r="A7" s="407" t="s">
        <v>304</v>
      </c>
      <c r="B7" s="409">
        <f>'CAPEX and PM'!F95</f>
        <v>1500000</v>
      </c>
      <c r="C7" s="409">
        <f>'CAPEX and PM'!G95</f>
        <v>200000</v>
      </c>
      <c r="D7" s="409">
        <f>'CAPEX and PM'!H95</f>
        <v>200000</v>
      </c>
      <c r="E7" s="409">
        <f>'CAPEX and PM'!I95</f>
        <v>200000</v>
      </c>
      <c r="F7" s="408">
        <f t="shared" si="2"/>
        <v>2100000</v>
      </c>
    </row>
    <row r="8" spans="1:8">
      <c r="A8" s="407" t="s">
        <v>305</v>
      </c>
      <c r="B8" s="408" t="e">
        <f>SUM(#REF!)</f>
        <v>#REF!</v>
      </c>
      <c r="C8" s="408" t="e">
        <f>SUM(#REF!)</f>
        <v>#REF!</v>
      </c>
      <c r="D8" s="408" t="e">
        <f>SUM(#REF!)</f>
        <v>#REF!</v>
      </c>
      <c r="E8" s="408" t="e">
        <f>SUM(#REF!)</f>
        <v>#REF!</v>
      </c>
      <c r="F8" s="408" t="e">
        <f t="shared" si="2"/>
        <v>#REF!</v>
      </c>
    </row>
    <row r="9" spans="1:8">
      <c r="A9" s="407" t="s">
        <v>306</v>
      </c>
      <c r="B9" s="408">
        <f>'CAPEX and PM'!F26</f>
        <v>1483883.3333333333</v>
      </c>
      <c r="C9" s="408">
        <f>'CAPEX and PM'!G26</f>
        <v>1746887.5</v>
      </c>
      <c r="D9" s="408">
        <f>'CAPEX and PM'!H26</f>
        <v>1184012.4999999998</v>
      </c>
      <c r="E9" s="408">
        <f>'CAPEX and PM'!I26</f>
        <v>692237.49999999977</v>
      </c>
      <c r="F9" s="408">
        <f t="shared" si="2"/>
        <v>5107020.833333333</v>
      </c>
    </row>
    <row r="10" spans="1:8">
      <c r="A10" s="407" t="s">
        <v>307</v>
      </c>
      <c r="B10" s="408">
        <f>'Rent Calculation'!$G$21*34*9</f>
        <v>270493.31103678932</v>
      </c>
      <c r="C10" s="408">
        <f>'Rent Calculation'!$G$21*34*12</f>
        <v>360657.74804905243</v>
      </c>
      <c r="D10" s="408">
        <f>'Rent Calculation'!$G$21*34*12</f>
        <v>360657.74804905243</v>
      </c>
      <c r="E10" s="408">
        <f>'Rent Calculation'!$G$21*34*1</f>
        <v>30054.812337421034</v>
      </c>
      <c r="F10" s="408">
        <f t="shared" si="2"/>
        <v>1021863.6194723152</v>
      </c>
      <c r="H10" s="414"/>
    </row>
    <row r="11" spans="1:8">
      <c r="A11" s="407" t="s">
        <v>308</v>
      </c>
      <c r="B11" s="409">
        <f>'Rent Calculation'!G102*'Rent Calculation'!G21+'Rent Calculation'!F83</f>
        <v>523170.14979219931</v>
      </c>
      <c r="C11" s="408">
        <v>0</v>
      </c>
      <c r="D11" s="408">
        <v>0</v>
      </c>
      <c r="E11" s="408">
        <f>-'Rent Calculation'!G102*'Rent Calculation'!G21</f>
        <v>-10915.819444444445</v>
      </c>
      <c r="F11" s="408">
        <f t="shared" si="2"/>
        <v>512254.33034775488</v>
      </c>
    </row>
    <row r="12" spans="1:8">
      <c r="A12" s="410" t="s">
        <v>309</v>
      </c>
      <c r="B12" s="411" t="e">
        <f>B3-B4</f>
        <v>#REF!</v>
      </c>
      <c r="C12" s="411" t="e">
        <f t="shared" ref="C12:D12" si="3">C3-C4</f>
        <v>#REF!</v>
      </c>
      <c r="D12" s="411" t="e">
        <f t="shared" si="3"/>
        <v>#REF!</v>
      </c>
      <c r="E12" s="411" t="e">
        <f t="shared" ref="E12" si="4">E3-E4</f>
        <v>#REF!</v>
      </c>
      <c r="F12" s="411" t="e">
        <f t="shared" si="2"/>
        <v>#REF!</v>
      </c>
    </row>
    <row r="13" spans="1:8">
      <c r="A13" s="399"/>
      <c r="B13" s="408"/>
      <c r="C13" s="408"/>
      <c r="D13" s="408"/>
      <c r="E13" s="408"/>
      <c r="F13" s="408"/>
    </row>
    <row r="14" spans="1:8">
      <c r="A14" s="399" t="s">
        <v>310</v>
      </c>
      <c r="B14" s="408">
        <f>'Rent Calculation'!$G$108*'Rent Calculation'!$G$21*6</f>
        <v>7785259.3611111129</v>
      </c>
      <c r="C14" s="408">
        <f>'Rent Calculation'!$G$108*'Rent Calculation'!$G$21*12</f>
        <v>15570518.722222226</v>
      </c>
      <c r="D14" s="408">
        <f>'Rent Calculation'!$G$108*'Rent Calculation'!$G$21*12</f>
        <v>15570518.722222226</v>
      </c>
      <c r="E14" s="408">
        <f>'Rent Calculation'!$G$108*'Rent Calculation'!$G$21*1</f>
        <v>1297543.2268518521</v>
      </c>
      <c r="F14" s="408">
        <f t="shared" si="2"/>
        <v>40223840.032407418</v>
      </c>
    </row>
    <row r="15" spans="1:8">
      <c r="A15" s="399" t="s">
        <v>311</v>
      </c>
      <c r="B15" s="408">
        <v>0</v>
      </c>
      <c r="C15" s="408">
        <v>0</v>
      </c>
      <c r="D15" s="408">
        <v>0</v>
      </c>
      <c r="E15" s="408">
        <v>0</v>
      </c>
      <c r="F15" s="408">
        <f t="shared" si="2"/>
        <v>0</v>
      </c>
    </row>
    <row r="16" spans="1:8">
      <c r="A16" s="401" t="s">
        <v>312</v>
      </c>
      <c r="B16" s="404">
        <f>B14-B15</f>
        <v>7785259.3611111129</v>
      </c>
      <c r="C16" s="404">
        <f t="shared" ref="C16:D16" si="5">C14-C15</f>
        <v>15570518.722222226</v>
      </c>
      <c r="D16" s="404">
        <f t="shared" si="5"/>
        <v>15570518.722222226</v>
      </c>
      <c r="E16" s="404">
        <f t="shared" ref="E16" si="6">E14-E15</f>
        <v>1297543.2268518521</v>
      </c>
      <c r="F16" s="404">
        <f t="shared" si="2"/>
        <v>40223840.032407418</v>
      </c>
    </row>
    <row r="17" spans="1:6">
      <c r="A17" s="399"/>
      <c r="B17" s="408"/>
      <c r="C17" s="408"/>
      <c r="D17" s="408"/>
      <c r="E17" s="408"/>
      <c r="F17" s="408">
        <f t="shared" si="2"/>
        <v>0</v>
      </c>
    </row>
    <row r="18" spans="1:6">
      <c r="A18" s="399" t="s">
        <v>313</v>
      </c>
      <c r="B18" s="408">
        <f>B3+B14</f>
        <v>23105506.1405017</v>
      </c>
      <c r="C18" s="408">
        <f t="shared" ref="C18:D18" si="7">C3+C14</f>
        <v>35997514.428076342</v>
      </c>
      <c r="D18" s="408">
        <f t="shared" si="7"/>
        <v>35997514.428076342</v>
      </c>
      <c r="E18" s="408">
        <f t="shared" ref="E18" si="8">E3+E14</f>
        <v>2999792.8690063618</v>
      </c>
      <c r="F18" s="408">
        <f t="shared" si="2"/>
        <v>98100327.865660757</v>
      </c>
    </row>
    <row r="19" spans="1:6">
      <c r="A19" s="399" t="s">
        <v>314</v>
      </c>
      <c r="B19" s="408" t="e">
        <f>B4+B15</f>
        <v>#REF!</v>
      </c>
      <c r="C19" s="408" t="e">
        <f t="shared" ref="C19:D19" si="9">C4+C15</f>
        <v>#REF!</v>
      </c>
      <c r="D19" s="408" t="e">
        <f t="shared" si="9"/>
        <v>#REF!</v>
      </c>
      <c r="E19" s="408" t="e">
        <f t="shared" ref="E19" si="10">E4+E15</f>
        <v>#REF!</v>
      </c>
      <c r="F19" s="408" t="e">
        <f t="shared" si="2"/>
        <v>#REF!</v>
      </c>
    </row>
    <row r="20" spans="1:6">
      <c r="A20" s="412" t="s">
        <v>315</v>
      </c>
      <c r="B20" s="413" t="e">
        <f>B12+B16</f>
        <v>#REF!</v>
      </c>
      <c r="C20" s="413" t="e">
        <f t="shared" ref="C20:D20" si="11">C12+C16</f>
        <v>#REF!</v>
      </c>
      <c r="D20" s="413" t="e">
        <f t="shared" si="11"/>
        <v>#REF!</v>
      </c>
      <c r="E20" s="413" t="e">
        <f t="shared" ref="E20" si="12">E12+E16</f>
        <v>#REF!</v>
      </c>
      <c r="F20" s="413" t="e">
        <f t="shared" si="2"/>
        <v>#REF!</v>
      </c>
    </row>
  </sheetData>
  <mergeCells count="1">
    <mergeCell ref="A1:A2"/>
  </mergeCells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5"/>
  <sheetViews>
    <sheetView workbookViewId="0">
      <selection activeCell="B7" sqref="B7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540"/>
      <c r="B1" s="568" t="s">
        <v>478</v>
      </c>
      <c r="C1" s="568" t="s">
        <v>479</v>
      </c>
    </row>
    <row r="2" spans="1:3">
      <c r="A2" s="540" t="s">
        <v>476</v>
      </c>
      <c r="B2" s="540" t="s">
        <v>471</v>
      </c>
      <c r="C2" s="540"/>
    </row>
    <row r="3" spans="1:3">
      <c r="A3" s="540" t="s">
        <v>477</v>
      </c>
      <c r="B3" s="540">
        <v>9515</v>
      </c>
      <c r="C3" s="540">
        <f>B3/10.764</f>
        <v>883.96506874767749</v>
      </c>
    </row>
    <row r="4" spans="1:3">
      <c r="A4" s="540" t="s">
        <v>480</v>
      </c>
      <c r="B4" s="569">
        <v>46113</v>
      </c>
      <c r="C4" s="540"/>
    </row>
    <row r="5" spans="1:3">
      <c r="A5" s="540" t="s">
        <v>481</v>
      </c>
      <c r="B5" s="569">
        <v>47938</v>
      </c>
      <c r="C5" s="540"/>
    </row>
    <row r="6" spans="1:3">
      <c r="A6" s="540" t="s">
        <v>482</v>
      </c>
      <c r="B6" s="540">
        <f>(B5-B4)/365</f>
        <v>5</v>
      </c>
      <c r="C6" s="540"/>
    </row>
    <row r="7" spans="1:3">
      <c r="A7" s="540" t="s">
        <v>483</v>
      </c>
      <c r="B7" s="540">
        <v>120</v>
      </c>
      <c r="C7" s="540"/>
    </row>
    <row r="8" spans="1:3">
      <c r="A8" s="540" t="s">
        <v>484</v>
      </c>
      <c r="B8" s="540">
        <v>15.48</v>
      </c>
      <c r="C8" s="540"/>
    </row>
    <row r="9" spans="1:3">
      <c r="A9" s="540" t="s">
        <v>36</v>
      </c>
      <c r="B9" s="584">
        <v>11418000</v>
      </c>
      <c r="C9" s="540"/>
    </row>
    <row r="10" spans="1:3">
      <c r="A10" s="540" t="s">
        <v>40</v>
      </c>
      <c r="B10" s="585">
        <v>43000000</v>
      </c>
      <c r="C10" s="540"/>
    </row>
    <row r="11" spans="1:3">
      <c r="A11" s="540" t="s">
        <v>485</v>
      </c>
      <c r="B11" s="585">
        <v>2500000</v>
      </c>
      <c r="C11" s="540"/>
    </row>
    <row r="12" spans="1:3">
      <c r="A12" s="540" t="s">
        <v>486</v>
      </c>
      <c r="B12" s="581">
        <v>0.105</v>
      </c>
      <c r="C12" s="540"/>
    </row>
    <row r="13" spans="1:3">
      <c r="A13" s="540" t="s">
        <v>487</v>
      </c>
      <c r="B13" s="581">
        <v>7.1099999999999997E-2</v>
      </c>
      <c r="C13" s="540"/>
    </row>
    <row r="14" spans="1:3">
      <c r="A14" s="540" t="s">
        <v>488</v>
      </c>
      <c r="B14" s="583" t="s">
        <v>489</v>
      </c>
      <c r="C14" s="583"/>
    </row>
    <row r="15" spans="1:3">
      <c r="A15" s="578" t="s">
        <v>490</v>
      </c>
      <c r="B15" s="540" t="s">
        <v>491</v>
      </c>
      <c r="C15" s="582"/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4"/>
  <sheetViews>
    <sheetView tabSelected="1" topLeftCell="A96" zoomScale="88" zoomScaleNormal="88" workbookViewId="0">
      <selection activeCell="C102" sqref="C102:D102"/>
    </sheetView>
  </sheetViews>
  <sheetFormatPr defaultColWidth="8.90625" defaultRowHeight="12.5" outlineLevelCol="1"/>
  <cols>
    <col min="1" max="1" width="4.54296875" style="402" customWidth="1"/>
    <col min="2" max="2" width="8.90625" style="402"/>
    <col min="3" max="3" width="19.36328125" style="402" customWidth="1"/>
    <col min="4" max="4" width="40" style="402" customWidth="1"/>
    <col min="5" max="5" width="2.54296875" style="402" customWidth="1"/>
    <col min="6" max="7" width="15.453125" style="402" customWidth="1"/>
    <col min="8" max="8" width="1.6328125" style="402" customWidth="1"/>
    <col min="9" max="10" width="15.453125" style="402" customWidth="1"/>
    <col min="11" max="11" width="10.08984375" customWidth="1" outlineLevel="1"/>
    <col min="12" max="12" width="15.36328125" customWidth="1" outlineLevel="1"/>
    <col min="13" max="13" width="16.90625" customWidth="1" outlineLevel="1"/>
    <col min="14" max="14" width="21.1796875" customWidth="1" outlineLevel="1"/>
    <col min="15" max="15" width="14.453125" customWidth="1" outlineLevel="1"/>
    <col min="16" max="16" width="16.6328125" customWidth="1" outlineLevel="1"/>
    <col min="17" max="17" width="16.81640625" customWidth="1" outlineLevel="1"/>
    <col min="18" max="18" width="21.26953125" customWidth="1"/>
    <col min="19" max="19" width="15.08984375" style="402" bestFit="1" customWidth="1"/>
    <col min="20" max="20" width="16.6328125" style="402" bestFit="1" customWidth="1"/>
    <col min="21" max="21" width="19.08984375" style="402" bestFit="1" customWidth="1"/>
    <col min="22" max="22" width="14.08984375" style="402" bestFit="1" customWidth="1"/>
    <col min="23" max="23" width="10" style="402" bestFit="1" customWidth="1"/>
    <col min="24" max="25" width="14.08984375" style="402" bestFit="1" customWidth="1"/>
    <col min="26" max="26" width="14.90625" style="402" bestFit="1" customWidth="1"/>
    <col min="27" max="16384" width="8.90625" style="402"/>
  </cols>
  <sheetData>
    <row r="1" spans="1:10" ht="13.5" customHeight="1">
      <c r="A1" s="51"/>
      <c r="B1" s="719"/>
      <c r="C1" s="720"/>
      <c r="D1" s="720"/>
      <c r="E1" s="720"/>
      <c r="F1" s="720"/>
      <c r="G1" s="720"/>
      <c r="H1" s="720"/>
      <c r="I1" s="720"/>
      <c r="J1" s="721"/>
    </row>
    <row r="2" spans="1:10" ht="14.25" customHeight="1">
      <c r="A2" s="51"/>
      <c r="B2" s="722"/>
      <c r="C2" s="723"/>
      <c r="D2" s="723"/>
      <c r="E2" s="723"/>
      <c r="F2" s="723"/>
      <c r="G2" s="723"/>
      <c r="H2" s="723"/>
      <c r="I2" s="723"/>
      <c r="J2" s="724"/>
    </row>
    <row r="3" spans="1:10" ht="15" customHeight="1" thickBot="1">
      <c r="A3" s="51"/>
      <c r="B3" s="725"/>
      <c r="C3" s="726"/>
      <c r="D3" s="726"/>
      <c r="E3" s="726"/>
      <c r="F3" s="726"/>
      <c r="G3" s="726"/>
      <c r="H3" s="726"/>
      <c r="I3" s="723"/>
      <c r="J3" s="724"/>
    </row>
    <row r="4" spans="1:10" ht="13">
      <c r="A4" s="51"/>
      <c r="B4" s="649"/>
      <c r="C4" s="650"/>
      <c r="D4" s="650"/>
      <c r="E4" s="650"/>
      <c r="F4" s="650"/>
      <c r="G4" s="650"/>
      <c r="H4" s="415"/>
      <c r="I4" s="416"/>
      <c r="J4" s="417"/>
    </row>
    <row r="5" spans="1:10" ht="16">
      <c r="A5" s="51"/>
      <c r="B5" s="746" t="s">
        <v>70</v>
      </c>
      <c r="C5" s="747"/>
      <c r="D5" s="747"/>
      <c r="E5" s="747"/>
      <c r="F5" s="747"/>
      <c r="G5" s="748"/>
      <c r="H5" s="418"/>
      <c r="I5" s="546" t="s">
        <v>16</v>
      </c>
      <c r="J5" s="572">
        <v>105.02</v>
      </c>
    </row>
    <row r="6" spans="1:10" ht="13.5" thickBot="1">
      <c r="A6" s="51"/>
      <c r="B6" s="749"/>
      <c r="C6" s="750"/>
      <c r="D6" s="751"/>
      <c r="E6" s="52"/>
      <c r="F6" s="744">
        <v>10.763999999999999</v>
      </c>
      <c r="G6" s="745"/>
      <c r="H6" s="419"/>
      <c r="I6" s="732">
        <v>10.763999999999999</v>
      </c>
      <c r="J6" s="733"/>
    </row>
    <row r="7" spans="1:10" ht="26">
      <c r="A7" s="51"/>
      <c r="B7" s="547" t="s">
        <v>71</v>
      </c>
      <c r="C7" s="752" t="s">
        <v>72</v>
      </c>
      <c r="D7" s="753"/>
      <c r="E7" s="548"/>
      <c r="F7" s="548" t="s">
        <v>475</v>
      </c>
      <c r="G7" s="548" t="str">
        <f>+F7</f>
        <v>As on
 01/01/2026</v>
      </c>
      <c r="H7" s="415"/>
      <c r="I7" s="547" t="str">
        <f>F7</f>
        <v>As on
 01/01/2026</v>
      </c>
      <c r="J7" s="549" t="str">
        <f>I7</f>
        <v>As on
 01/01/2026</v>
      </c>
    </row>
    <row r="8" spans="1:10" ht="13">
      <c r="A8" s="51"/>
      <c r="B8" s="550"/>
      <c r="C8" s="551"/>
      <c r="D8" s="552"/>
      <c r="E8" s="553"/>
      <c r="F8" s="678" t="s">
        <v>73</v>
      </c>
      <c r="G8" s="712"/>
      <c r="H8" s="418"/>
      <c r="I8" s="713" t="s">
        <v>67</v>
      </c>
      <c r="J8" s="714"/>
    </row>
    <row r="9" spans="1:10" ht="13">
      <c r="A9" s="51"/>
      <c r="B9" s="713" t="s">
        <v>74</v>
      </c>
      <c r="C9" s="712"/>
      <c r="D9" s="679"/>
      <c r="E9" s="554"/>
      <c r="F9" s="376" t="s">
        <v>75</v>
      </c>
      <c r="G9" s="376" t="s">
        <v>76</v>
      </c>
      <c r="H9" s="418"/>
      <c r="I9" s="381" t="s">
        <v>75</v>
      </c>
      <c r="J9" s="248" t="s">
        <v>76</v>
      </c>
    </row>
    <row r="10" spans="1:10" ht="27" customHeight="1">
      <c r="A10" s="51"/>
      <c r="B10" s="555">
        <v>1</v>
      </c>
      <c r="C10" s="727" t="s">
        <v>77</v>
      </c>
      <c r="D10" s="686"/>
      <c r="E10" s="556"/>
      <c r="F10" s="738" t="s">
        <v>468</v>
      </c>
      <c r="G10" s="739"/>
      <c r="H10" s="418"/>
      <c r="I10" s="734" t="str">
        <f>+F10</f>
        <v>Chennai</v>
      </c>
      <c r="J10" s="735"/>
    </row>
    <row r="11" spans="1:10" ht="28.5" customHeight="1">
      <c r="A11" s="51"/>
      <c r="B11" s="162">
        <f>1+B10</f>
        <v>2</v>
      </c>
      <c r="C11" s="728" t="s">
        <v>78</v>
      </c>
      <c r="D11" s="729"/>
      <c r="E11" s="50"/>
      <c r="F11" s="738"/>
      <c r="G11" s="739"/>
      <c r="H11" s="418"/>
      <c r="I11" s="736">
        <f>+F11</f>
        <v>0</v>
      </c>
      <c r="J11" s="737"/>
    </row>
    <row r="12" spans="1:10" ht="27.75" customHeight="1">
      <c r="A12" s="51"/>
      <c r="B12" s="162">
        <f>1+B11</f>
        <v>3</v>
      </c>
      <c r="C12" s="672" t="s">
        <v>79</v>
      </c>
      <c r="D12" s="671"/>
      <c r="E12" s="557"/>
      <c r="F12" s="740"/>
      <c r="G12" s="741"/>
      <c r="H12" s="418"/>
      <c r="I12" s="754">
        <f>+F12</f>
        <v>0</v>
      </c>
      <c r="J12" s="755"/>
    </row>
    <row r="13" spans="1:10" ht="15.9" customHeight="1">
      <c r="A13" s="51"/>
      <c r="B13" s="162">
        <f t="shared" ref="B13:B31" si="0">1+B12</f>
        <v>4</v>
      </c>
      <c r="C13" s="672" t="s">
        <v>80</v>
      </c>
      <c r="D13" s="671"/>
      <c r="E13" s="50"/>
      <c r="F13" s="743"/>
      <c r="G13" s="741"/>
      <c r="H13" s="418"/>
      <c r="I13" s="754"/>
      <c r="J13" s="755"/>
    </row>
    <row r="14" spans="1:10" ht="48" customHeight="1">
      <c r="A14" s="51"/>
      <c r="B14" s="162">
        <f t="shared" si="0"/>
        <v>5</v>
      </c>
      <c r="C14" s="730" t="s">
        <v>81</v>
      </c>
      <c r="D14" s="731"/>
      <c r="E14" s="539"/>
      <c r="F14" s="740" t="s">
        <v>469</v>
      </c>
      <c r="G14" s="742"/>
      <c r="H14" s="418"/>
      <c r="I14" s="754" t="str">
        <f>+F14</f>
        <v>6th floor</v>
      </c>
      <c r="J14" s="755"/>
    </row>
    <row r="15" spans="1:10" ht="51.75" customHeight="1">
      <c r="A15" s="51"/>
      <c r="B15" s="162">
        <f t="shared" si="0"/>
        <v>6</v>
      </c>
      <c r="C15" s="672" t="s">
        <v>82</v>
      </c>
      <c r="D15" s="671"/>
      <c r="E15" s="58"/>
      <c r="F15" s="678"/>
      <c r="G15" s="712"/>
      <c r="H15" s="418"/>
      <c r="I15" s="713">
        <f>+F15</f>
        <v>0</v>
      </c>
      <c r="J15" s="714"/>
    </row>
    <row r="16" spans="1:10" ht="15.9" customHeight="1">
      <c r="A16" s="51"/>
      <c r="B16" s="162">
        <f t="shared" si="0"/>
        <v>7</v>
      </c>
      <c r="C16" s="672" t="s">
        <v>83</v>
      </c>
      <c r="D16" s="671"/>
      <c r="E16" s="58"/>
      <c r="F16" s="743"/>
      <c r="G16" s="741"/>
      <c r="H16" s="418"/>
      <c r="I16" s="754"/>
      <c r="J16" s="755"/>
    </row>
    <row r="17" spans="1:10" ht="15.9" customHeight="1">
      <c r="A17" s="51"/>
      <c r="B17" s="162">
        <f t="shared" si="0"/>
        <v>8</v>
      </c>
      <c r="C17" s="672" t="s">
        <v>84</v>
      </c>
      <c r="D17" s="671"/>
      <c r="E17" s="58"/>
      <c r="F17" s="740" t="s">
        <v>85</v>
      </c>
      <c r="G17" s="741"/>
      <c r="H17" s="418"/>
      <c r="I17" s="754" t="str">
        <f>+F17</f>
        <v>Warm Shell</v>
      </c>
      <c r="J17" s="755"/>
    </row>
    <row r="18" spans="1:10" ht="48" customHeight="1">
      <c r="A18" s="51"/>
      <c r="B18" s="162">
        <f t="shared" si="0"/>
        <v>9</v>
      </c>
      <c r="C18" s="672" t="s">
        <v>86</v>
      </c>
      <c r="D18" s="671"/>
      <c r="E18" s="163"/>
      <c r="F18" s="678">
        <f>F15</f>
        <v>0</v>
      </c>
      <c r="G18" s="712"/>
      <c r="H18" s="418"/>
      <c r="I18" s="713">
        <f>+F18</f>
        <v>0</v>
      </c>
      <c r="J18" s="714"/>
    </row>
    <row r="19" spans="1:10" ht="15.9" customHeight="1">
      <c r="A19" s="51"/>
      <c r="B19" s="162">
        <f t="shared" si="0"/>
        <v>10</v>
      </c>
      <c r="C19" s="672" t="s">
        <v>87</v>
      </c>
      <c r="D19" s="671"/>
      <c r="E19" s="163"/>
      <c r="F19" s="743"/>
      <c r="G19" s="741"/>
      <c r="H19" s="418"/>
      <c r="I19" s="754"/>
      <c r="J19" s="755"/>
    </row>
    <row r="20" spans="1:10" ht="15.9" customHeight="1">
      <c r="A20" s="51"/>
      <c r="B20" s="162">
        <f t="shared" si="0"/>
        <v>11</v>
      </c>
      <c r="C20" s="670" t="s">
        <v>88</v>
      </c>
      <c r="D20" s="671"/>
      <c r="E20" s="559"/>
      <c r="F20" s="56"/>
      <c r="G20" s="388"/>
      <c r="H20" s="418"/>
      <c r="I20" s="133">
        <f>+F20/J5</f>
        <v>0</v>
      </c>
      <c r="J20" s="57">
        <f>+G20/J5</f>
        <v>0</v>
      </c>
    </row>
    <row r="21" spans="1:10" ht="15.9" customHeight="1">
      <c r="A21" s="51"/>
      <c r="B21" s="162">
        <f t="shared" si="0"/>
        <v>12</v>
      </c>
      <c r="C21" s="672" t="s">
        <v>89</v>
      </c>
      <c r="D21" s="671"/>
      <c r="E21" s="559"/>
      <c r="F21" s="56">
        <f>Main!B3</f>
        <v>9515</v>
      </c>
      <c r="G21" s="388">
        <f>F21/F6</f>
        <v>883.96506874767749</v>
      </c>
      <c r="H21" s="418"/>
      <c r="I21" s="133">
        <f>+F21</f>
        <v>9515</v>
      </c>
      <c r="J21" s="57">
        <f>I21/I6</f>
        <v>883.96506874767749</v>
      </c>
    </row>
    <row r="22" spans="1:10" ht="15.9" customHeight="1">
      <c r="A22" s="560"/>
      <c r="B22" s="162">
        <f t="shared" si="0"/>
        <v>13</v>
      </c>
      <c r="C22" s="670" t="s">
        <v>90</v>
      </c>
      <c r="D22" s="671"/>
      <c r="E22" s="559"/>
      <c r="F22" s="56">
        <v>0</v>
      </c>
      <c r="G22" s="387">
        <v>0</v>
      </c>
      <c r="H22" s="418"/>
      <c r="I22" s="133">
        <f>+F22</f>
        <v>0</v>
      </c>
      <c r="J22" s="57">
        <f>I22/I6</f>
        <v>0</v>
      </c>
    </row>
    <row r="23" spans="1:10" ht="15.9" customHeight="1">
      <c r="A23" s="51"/>
      <c r="B23" s="162">
        <f t="shared" si="0"/>
        <v>14</v>
      </c>
      <c r="C23" s="672" t="s">
        <v>91</v>
      </c>
      <c r="D23" s="671"/>
      <c r="E23" s="559"/>
      <c r="F23" s="56">
        <f>+F21+F22</f>
        <v>9515</v>
      </c>
      <c r="G23" s="388">
        <f>+G21+G22</f>
        <v>883.96506874767749</v>
      </c>
      <c r="H23" s="418"/>
      <c r="I23" s="133">
        <f>+I21+I22</f>
        <v>9515</v>
      </c>
      <c r="J23" s="57">
        <f>+J21+J22</f>
        <v>883.96506874767749</v>
      </c>
    </row>
    <row r="24" spans="1:10" ht="15.9" customHeight="1">
      <c r="A24" s="561"/>
      <c r="B24" s="162">
        <f t="shared" si="0"/>
        <v>15</v>
      </c>
      <c r="C24" s="672" t="s">
        <v>92</v>
      </c>
      <c r="D24" s="671"/>
      <c r="E24" s="59"/>
      <c r="F24" s="56"/>
      <c r="G24" s="388">
        <f>F24</f>
        <v>0</v>
      </c>
      <c r="H24" s="418"/>
      <c r="I24" s="133">
        <f>+F24</f>
        <v>0</v>
      </c>
      <c r="J24" s="57">
        <f>I24</f>
        <v>0</v>
      </c>
    </row>
    <row r="25" spans="1:10" ht="15.9" customHeight="1">
      <c r="A25" s="561"/>
      <c r="B25" s="162">
        <f t="shared" si="0"/>
        <v>16</v>
      </c>
      <c r="C25" s="672" t="s">
        <v>93</v>
      </c>
      <c r="D25" s="671"/>
      <c r="E25" s="59"/>
      <c r="F25" s="56">
        <v>0</v>
      </c>
      <c r="G25" s="388">
        <f>+G23*G26</f>
        <v>0</v>
      </c>
      <c r="H25" s="418"/>
      <c r="I25" s="133">
        <f>+F25</f>
        <v>0</v>
      </c>
      <c r="J25" s="57">
        <f>+G25</f>
        <v>0</v>
      </c>
    </row>
    <row r="26" spans="1:10" ht="15.9" customHeight="1">
      <c r="A26" s="51"/>
      <c r="B26" s="162">
        <f t="shared" si="0"/>
        <v>17</v>
      </c>
      <c r="C26" s="672" t="s">
        <v>94</v>
      </c>
      <c r="D26" s="671"/>
      <c r="E26" s="60"/>
      <c r="F26" s="61">
        <f>F25/F23</f>
        <v>0</v>
      </c>
      <c r="G26" s="199">
        <f>+F26</f>
        <v>0</v>
      </c>
      <c r="H26" s="418"/>
      <c r="I26" s="134">
        <f>+I25/I23</f>
        <v>0</v>
      </c>
      <c r="J26" s="62">
        <f>+I26</f>
        <v>0</v>
      </c>
    </row>
    <row r="27" spans="1:10" ht="15.9" customHeight="1">
      <c r="A27" s="51"/>
      <c r="B27" s="162">
        <f t="shared" si="0"/>
        <v>18</v>
      </c>
      <c r="C27" s="670" t="s">
        <v>95</v>
      </c>
      <c r="D27" s="671"/>
      <c r="E27" s="58"/>
      <c r="F27" s="293">
        <v>72</v>
      </c>
      <c r="G27" s="293">
        <f>+F27</f>
        <v>72</v>
      </c>
      <c r="H27" s="418"/>
      <c r="I27" s="293">
        <f>+F27</f>
        <v>72</v>
      </c>
      <c r="J27" s="293">
        <f>+I27</f>
        <v>72</v>
      </c>
    </row>
    <row r="28" spans="1:10" ht="15.9" customHeight="1">
      <c r="A28" s="51"/>
      <c r="B28" s="162">
        <f t="shared" si="0"/>
        <v>19</v>
      </c>
      <c r="C28" s="670" t="s">
        <v>96</v>
      </c>
      <c r="D28" s="671"/>
      <c r="E28" s="58"/>
      <c r="F28" s="293">
        <f>'CAPEX and PM'!E3</f>
        <v>72</v>
      </c>
      <c r="G28" s="293">
        <f>+F28</f>
        <v>72</v>
      </c>
      <c r="H28" s="418"/>
      <c r="I28" s="293">
        <f>+F28</f>
        <v>72</v>
      </c>
      <c r="J28" s="293">
        <f>+I28</f>
        <v>72</v>
      </c>
    </row>
    <row r="29" spans="1:10" ht="15.9" customHeight="1">
      <c r="A29" s="51"/>
      <c r="B29" s="162">
        <f t="shared" si="0"/>
        <v>20</v>
      </c>
      <c r="C29" s="670" t="s">
        <v>97</v>
      </c>
      <c r="D29" s="671"/>
      <c r="E29" s="64"/>
      <c r="F29" s="64">
        <f>Main!B12</f>
        <v>0.105</v>
      </c>
      <c r="G29" s="200">
        <f>SUM(F29)</f>
        <v>0.105</v>
      </c>
      <c r="H29" s="418"/>
      <c r="I29" s="135">
        <f>+F29</f>
        <v>0.105</v>
      </c>
      <c r="J29" s="65">
        <f>SUM(I29)</f>
        <v>0.105</v>
      </c>
    </row>
    <row r="30" spans="1:10" ht="15.9" customHeight="1">
      <c r="A30" s="51"/>
      <c r="B30" s="162">
        <f t="shared" si="0"/>
        <v>21</v>
      </c>
      <c r="C30" s="670" t="s">
        <v>98</v>
      </c>
      <c r="D30" s="671"/>
      <c r="E30" s="64"/>
      <c r="F30" s="60">
        <f>Main!B13</f>
        <v>7.1099999999999997E-2</v>
      </c>
      <c r="G30" s="201">
        <f>F30</f>
        <v>7.1099999999999997E-2</v>
      </c>
      <c r="H30" s="418"/>
      <c r="I30" s="184">
        <f>F30</f>
        <v>7.1099999999999997E-2</v>
      </c>
      <c r="J30" s="183">
        <f>I30</f>
        <v>7.1099999999999997E-2</v>
      </c>
    </row>
    <row r="31" spans="1:10" ht="15.9" customHeight="1">
      <c r="A31" s="51"/>
      <c r="B31" s="162">
        <f t="shared" si="0"/>
        <v>22</v>
      </c>
      <c r="C31" s="672" t="s">
        <v>99</v>
      </c>
      <c r="D31" s="671"/>
      <c r="E31" s="58"/>
      <c r="F31" s="56">
        <v>0</v>
      </c>
      <c r="G31" s="388">
        <f>F31</f>
        <v>0</v>
      </c>
      <c r="H31" s="418"/>
      <c r="I31" s="133">
        <f>+F31/J5</f>
        <v>0</v>
      </c>
      <c r="J31" s="57">
        <f>+G31/J5</f>
        <v>0</v>
      </c>
    </row>
    <row r="32" spans="1:10" ht="15.9" customHeight="1">
      <c r="A32" s="51"/>
      <c r="B32" s="756" t="s">
        <v>100</v>
      </c>
      <c r="C32" s="757"/>
      <c r="D32" s="758"/>
      <c r="E32" s="562"/>
      <c r="F32" s="376" t="s">
        <v>75</v>
      </c>
      <c r="G32" s="376" t="s">
        <v>76</v>
      </c>
      <c r="H32" s="418"/>
      <c r="I32" s="381" t="s">
        <v>75</v>
      </c>
      <c r="J32" s="248" t="s">
        <v>76</v>
      </c>
    </row>
    <row r="33" spans="1:10" ht="15.9" customHeight="1">
      <c r="A33" s="51"/>
      <c r="B33" s="162">
        <v>1</v>
      </c>
      <c r="C33" s="670" t="s">
        <v>101</v>
      </c>
      <c r="D33" s="671"/>
      <c r="E33" s="59"/>
      <c r="F33" s="56">
        <f>Main!B9/(Main!B3*Main!B7)</f>
        <v>10</v>
      </c>
      <c r="G33" s="204">
        <f>+F33</f>
        <v>10</v>
      </c>
      <c r="H33" s="418"/>
      <c r="I33" s="138">
        <f>+F33/$J$5</f>
        <v>9.5219958103218441E-2</v>
      </c>
      <c r="J33" s="72">
        <f>+I33*$I$6</f>
        <v>1.0249476290230433</v>
      </c>
    </row>
    <row r="34" spans="1:10" ht="15.9" customHeight="1">
      <c r="A34" s="51"/>
      <c r="B34" s="162">
        <f>1+B33</f>
        <v>2</v>
      </c>
      <c r="C34" s="670" t="s">
        <v>102</v>
      </c>
      <c r="D34" s="671"/>
      <c r="E34" s="59"/>
      <c r="F34" s="56">
        <v>0</v>
      </c>
      <c r="G34" s="388">
        <f>+F34</f>
        <v>0</v>
      </c>
      <c r="H34" s="418"/>
      <c r="I34" s="133">
        <v>0</v>
      </c>
      <c r="J34" s="57">
        <f>+I34</f>
        <v>0</v>
      </c>
    </row>
    <row r="35" spans="1:10" ht="15.9" customHeight="1">
      <c r="A35" s="51"/>
      <c r="B35" s="162">
        <f t="shared" ref="B35:B48" si="1">1+B34</f>
        <v>3</v>
      </c>
      <c r="C35" s="670" t="s">
        <v>103</v>
      </c>
      <c r="D35" s="671"/>
      <c r="E35" s="59"/>
      <c r="F35" s="56">
        <v>0</v>
      </c>
      <c r="G35" s="388">
        <f>F35</f>
        <v>0</v>
      </c>
      <c r="H35" s="418"/>
      <c r="I35" s="133">
        <f>F35/J5</f>
        <v>0</v>
      </c>
      <c r="J35" s="57">
        <f>I35</f>
        <v>0</v>
      </c>
    </row>
    <row r="36" spans="1:10" ht="15.9" customHeight="1">
      <c r="A36" s="51"/>
      <c r="B36" s="162">
        <f t="shared" si="1"/>
        <v>4</v>
      </c>
      <c r="C36" s="672" t="s">
        <v>104</v>
      </c>
      <c r="D36" s="671"/>
      <c r="E36" s="563"/>
      <c r="F36" s="68">
        <v>0</v>
      </c>
      <c r="G36" s="203">
        <v>0</v>
      </c>
      <c r="H36" s="418"/>
      <c r="I36" s="137">
        <v>0</v>
      </c>
      <c r="J36" s="69">
        <v>0</v>
      </c>
    </row>
    <row r="37" spans="1:10" ht="15.9" customHeight="1">
      <c r="A37" s="51"/>
      <c r="B37" s="162">
        <f t="shared" si="1"/>
        <v>5</v>
      </c>
      <c r="C37" s="670" t="s">
        <v>105</v>
      </c>
      <c r="D37" s="671"/>
      <c r="E37" s="563"/>
      <c r="F37" s="70">
        <f>'Lease Rent'!H37</f>
        <v>120</v>
      </c>
      <c r="G37" s="388">
        <f>+F37*F6</f>
        <v>1291.6799999999998</v>
      </c>
      <c r="H37" s="418"/>
      <c r="I37" s="138">
        <f>+F37/$J$5</f>
        <v>1.1426394972386213</v>
      </c>
      <c r="J37" s="57">
        <f>+I37*$I$6</f>
        <v>12.29937154827652</v>
      </c>
    </row>
    <row r="38" spans="1:10" ht="15.9" customHeight="1">
      <c r="A38" s="51"/>
      <c r="B38" s="162">
        <f t="shared" si="1"/>
        <v>6</v>
      </c>
      <c r="C38" s="670" t="s">
        <v>106</v>
      </c>
      <c r="D38" s="671"/>
      <c r="E38" s="563"/>
      <c r="F38" s="70"/>
      <c r="G38" s="204">
        <f>F38*F3</f>
        <v>0</v>
      </c>
      <c r="H38" s="418"/>
      <c r="I38" s="138"/>
      <c r="J38" s="57"/>
    </row>
    <row r="39" spans="1:10" ht="15.9" customHeight="1">
      <c r="A39" s="51"/>
      <c r="B39" s="162">
        <f t="shared" si="1"/>
        <v>7</v>
      </c>
      <c r="C39" s="670" t="s">
        <v>107</v>
      </c>
      <c r="D39" s="671"/>
      <c r="E39" s="71"/>
      <c r="F39" s="70">
        <f>'Lease Rent'!J31</f>
        <v>15.48</v>
      </c>
      <c r="G39" s="204">
        <f>F39*F6</f>
        <v>166.62672000000001</v>
      </c>
      <c r="H39" s="418"/>
      <c r="I39" s="138">
        <f>+F39/$J$5</f>
        <v>0.14740049514378215</v>
      </c>
      <c r="J39" s="67">
        <f>+I39*$I$6</f>
        <v>1.5866189297276709</v>
      </c>
    </row>
    <row r="40" spans="1:10" ht="15.9" customHeight="1">
      <c r="A40" s="51"/>
      <c r="B40" s="162">
        <f t="shared" si="1"/>
        <v>8</v>
      </c>
      <c r="C40" s="670" t="s">
        <v>108</v>
      </c>
      <c r="D40" s="671"/>
      <c r="E40" s="563"/>
      <c r="F40" s="70">
        <f>F37</f>
        <v>120</v>
      </c>
      <c r="G40" s="388">
        <f>F40*F6</f>
        <v>1291.6799999999998</v>
      </c>
      <c r="H40" s="418"/>
      <c r="I40" s="138">
        <f>+F40/$J$5</f>
        <v>1.1426394972386213</v>
      </c>
      <c r="J40" s="57">
        <f>+I40*$I$6</f>
        <v>12.29937154827652</v>
      </c>
    </row>
    <row r="41" spans="1:10" ht="15.9" customHeight="1">
      <c r="A41" s="51"/>
      <c r="B41" s="162">
        <f t="shared" si="1"/>
        <v>9</v>
      </c>
      <c r="C41" s="670" t="s">
        <v>109</v>
      </c>
      <c r="D41" s="671"/>
      <c r="E41" s="563"/>
      <c r="F41" s="70">
        <v>0</v>
      </c>
      <c r="G41" s="204">
        <f>F41*F6</f>
        <v>0</v>
      </c>
      <c r="H41" s="418"/>
      <c r="I41" s="138">
        <f>+F41/$J$5</f>
        <v>0</v>
      </c>
      <c r="J41" s="57">
        <f>+I41*$I$6</f>
        <v>0</v>
      </c>
    </row>
    <row r="42" spans="1:10" ht="15.9" customHeight="1">
      <c r="A42" s="51"/>
      <c r="B42" s="162">
        <f t="shared" si="1"/>
        <v>10</v>
      </c>
      <c r="C42" s="670" t="s">
        <v>110</v>
      </c>
      <c r="D42" s="671"/>
      <c r="E42" s="58"/>
      <c r="F42" s="114">
        <f>F39</f>
        <v>15.48</v>
      </c>
      <c r="G42" s="204">
        <f>F42*F6</f>
        <v>166.62672000000001</v>
      </c>
      <c r="H42" s="418"/>
      <c r="I42" s="138">
        <f>+F42/$J$5</f>
        <v>0.14740049514378215</v>
      </c>
      <c r="J42" s="72">
        <f>I42*I6</f>
        <v>1.5866189297276709</v>
      </c>
    </row>
    <row r="43" spans="1:10" ht="15.9" customHeight="1">
      <c r="A43" s="51"/>
      <c r="B43" s="162">
        <f t="shared" si="1"/>
        <v>11</v>
      </c>
      <c r="C43" s="672" t="s">
        <v>111</v>
      </c>
      <c r="D43" s="671"/>
      <c r="E43" s="59"/>
      <c r="F43" s="109">
        <v>0</v>
      </c>
      <c r="G43" s="388">
        <f>+F43</f>
        <v>0</v>
      </c>
      <c r="H43" s="418"/>
      <c r="I43" s="144">
        <f>+F43</f>
        <v>0</v>
      </c>
      <c r="J43" s="57">
        <f>+I43</f>
        <v>0</v>
      </c>
    </row>
    <row r="44" spans="1:10" ht="15.9" customHeight="1">
      <c r="A44" s="51"/>
      <c r="B44" s="162">
        <f t="shared" si="1"/>
        <v>12</v>
      </c>
      <c r="C44" s="672" t="s">
        <v>112</v>
      </c>
      <c r="D44" s="671"/>
      <c r="E44" s="73"/>
      <c r="F44" s="68">
        <v>0</v>
      </c>
      <c r="G44" s="203">
        <f>F44</f>
        <v>0</v>
      </c>
      <c r="H44" s="418"/>
      <c r="I44" s="137">
        <f>+F44</f>
        <v>0</v>
      </c>
      <c r="J44" s="69">
        <f>I44</f>
        <v>0</v>
      </c>
    </row>
    <row r="45" spans="1:10" ht="15.9" customHeight="1">
      <c r="A45" s="561"/>
      <c r="B45" s="162">
        <f t="shared" si="1"/>
        <v>13</v>
      </c>
      <c r="C45" s="672" t="s">
        <v>113</v>
      </c>
      <c r="D45" s="671"/>
      <c r="E45" s="59"/>
      <c r="F45" s="56">
        <f>'Lease Rent'!C22</f>
        <v>0</v>
      </c>
      <c r="G45" s="388">
        <f>F45</f>
        <v>0</v>
      </c>
      <c r="H45" s="418"/>
      <c r="I45" s="138">
        <f>+F45/$J$5</f>
        <v>0</v>
      </c>
      <c r="J45" s="69">
        <f>I45</f>
        <v>0</v>
      </c>
    </row>
    <row r="46" spans="1:10" ht="15.9" customHeight="1">
      <c r="A46" s="561"/>
      <c r="B46" s="162">
        <f t="shared" si="1"/>
        <v>14</v>
      </c>
      <c r="C46" s="670" t="s">
        <v>114</v>
      </c>
      <c r="D46" s="671"/>
      <c r="E46" s="59"/>
      <c r="F46" s="109">
        <v>0</v>
      </c>
      <c r="G46" s="388">
        <f>+F46</f>
        <v>0</v>
      </c>
      <c r="H46" s="418"/>
      <c r="I46" s="133"/>
      <c r="J46" s="57">
        <f>+I46</f>
        <v>0</v>
      </c>
    </row>
    <row r="47" spans="1:10" ht="15.9" customHeight="1">
      <c r="A47" s="561"/>
      <c r="B47" s="162">
        <f t="shared" si="1"/>
        <v>15</v>
      </c>
      <c r="C47" s="672" t="s">
        <v>112</v>
      </c>
      <c r="D47" s="671"/>
      <c r="E47" s="59"/>
      <c r="F47" s="56">
        <f>'Lease Rent'!D23</f>
        <v>0</v>
      </c>
      <c r="G47" s="388"/>
      <c r="H47" s="418"/>
      <c r="I47" s="133"/>
      <c r="J47" s="57"/>
    </row>
    <row r="48" spans="1:10" ht="15.9" customHeight="1">
      <c r="A48" s="561"/>
      <c r="B48" s="162">
        <f t="shared" si="1"/>
        <v>16</v>
      </c>
      <c r="C48" s="672" t="s">
        <v>113</v>
      </c>
      <c r="D48" s="671"/>
      <c r="E48" s="59"/>
      <c r="F48" s="56">
        <f>'Lease Rent'!C23</f>
        <v>0</v>
      </c>
      <c r="G48" s="388"/>
      <c r="H48" s="418"/>
      <c r="I48" s="133"/>
      <c r="J48" s="57"/>
    </row>
    <row r="49" spans="1:18" ht="28.5" customHeight="1">
      <c r="A49" s="51"/>
      <c r="B49" s="717">
        <f>1+B48</f>
        <v>17</v>
      </c>
      <c r="C49" s="670" t="s">
        <v>115</v>
      </c>
      <c r="D49" s="671"/>
      <c r="E49" s="73"/>
      <c r="F49" s="761" t="str">
        <f>Main!B14</f>
        <v>15% every 3 years</v>
      </c>
      <c r="G49" s="762"/>
      <c r="H49" s="418"/>
      <c r="I49" s="754" t="str">
        <f>+F49</f>
        <v>15% every 3 years</v>
      </c>
      <c r="J49" s="755"/>
    </row>
    <row r="50" spans="1:18" ht="15.9" customHeight="1">
      <c r="A50" s="51"/>
      <c r="B50" s="718"/>
      <c r="C50" s="670" t="s">
        <v>116</v>
      </c>
      <c r="D50" s="671"/>
      <c r="E50" s="73"/>
      <c r="F50" s="761" t="str">
        <f>Main!B15</f>
        <v>5% every years</v>
      </c>
      <c r="G50" s="762"/>
      <c r="H50" s="418"/>
      <c r="I50" s="759" t="str">
        <f t="shared" ref="I50:I57" si="2">F50</f>
        <v>5% every years</v>
      </c>
      <c r="J50" s="760"/>
    </row>
    <row r="51" spans="1:18" ht="15.9" customHeight="1">
      <c r="A51" s="51"/>
      <c r="B51" s="162">
        <f>1+B49</f>
        <v>18</v>
      </c>
      <c r="C51" s="672" t="s">
        <v>117</v>
      </c>
      <c r="D51" s="671"/>
      <c r="E51" s="73"/>
      <c r="F51" s="708">
        <f>'Lease Rent'!B31</f>
        <v>46023</v>
      </c>
      <c r="G51" s="709"/>
      <c r="H51" s="418"/>
      <c r="I51" s="710">
        <f t="shared" si="2"/>
        <v>46023</v>
      </c>
      <c r="J51" s="711"/>
    </row>
    <row r="52" spans="1:18" ht="15.9" customHeight="1">
      <c r="A52" s="51"/>
      <c r="B52" s="162">
        <f t="shared" ref="B52:B58" si="3">1+B51</f>
        <v>19</v>
      </c>
      <c r="C52" s="670" t="s">
        <v>118</v>
      </c>
      <c r="D52" s="671"/>
      <c r="E52" s="73"/>
      <c r="F52" s="708">
        <f>'Lease Rent'!C102</f>
        <v>48213</v>
      </c>
      <c r="G52" s="709"/>
      <c r="H52" s="418"/>
      <c r="I52" s="710">
        <f>F52</f>
        <v>48213</v>
      </c>
      <c r="J52" s="711"/>
    </row>
    <row r="53" spans="1:18" ht="15.9" customHeight="1">
      <c r="A53" s="51"/>
      <c r="B53" s="162">
        <f t="shared" si="3"/>
        <v>20</v>
      </c>
      <c r="C53" s="670" t="s">
        <v>119</v>
      </c>
      <c r="D53" s="680"/>
      <c r="E53" s="73"/>
      <c r="F53" s="708">
        <f>F51</f>
        <v>46023</v>
      </c>
      <c r="G53" s="709"/>
      <c r="H53" s="418"/>
      <c r="I53" s="710">
        <f t="shared" si="2"/>
        <v>46023</v>
      </c>
      <c r="J53" s="711"/>
    </row>
    <row r="54" spans="1:18" ht="15.9" customHeight="1">
      <c r="A54" s="51"/>
      <c r="B54" s="162">
        <f t="shared" si="3"/>
        <v>21</v>
      </c>
      <c r="C54" s="670" t="s">
        <v>120</v>
      </c>
      <c r="D54" s="680"/>
      <c r="E54" s="73"/>
      <c r="F54" s="678">
        <v>0</v>
      </c>
      <c r="G54" s="712"/>
      <c r="H54" s="418"/>
      <c r="I54" s="713">
        <f>+F54</f>
        <v>0</v>
      </c>
      <c r="J54" s="714"/>
    </row>
    <row r="55" spans="1:18" ht="15.9" customHeight="1">
      <c r="A55" s="51"/>
      <c r="B55" s="162">
        <f t="shared" si="3"/>
        <v>22</v>
      </c>
      <c r="C55" s="672" t="s">
        <v>121</v>
      </c>
      <c r="D55" s="671"/>
      <c r="E55" s="58"/>
      <c r="F55" s="56">
        <f>(F52-F51)/365*12</f>
        <v>72</v>
      </c>
      <c r="G55" s="388">
        <f>F55</f>
        <v>72</v>
      </c>
      <c r="H55" s="418"/>
      <c r="I55" s="133">
        <f t="shared" si="2"/>
        <v>72</v>
      </c>
      <c r="J55" s="57">
        <f>I55</f>
        <v>72</v>
      </c>
      <c r="R55" s="612"/>
    </row>
    <row r="56" spans="1:18" ht="15.9" customHeight="1">
      <c r="A56" s="51"/>
      <c r="B56" s="162">
        <f t="shared" si="3"/>
        <v>23</v>
      </c>
      <c r="C56" s="672" t="s">
        <v>122</v>
      </c>
      <c r="D56" s="671"/>
      <c r="E56" s="71"/>
      <c r="F56" s="56">
        <v>0</v>
      </c>
      <c r="G56" s="388">
        <f>F56</f>
        <v>0</v>
      </c>
      <c r="H56" s="418"/>
      <c r="I56" s="133">
        <f t="shared" si="2"/>
        <v>0</v>
      </c>
      <c r="J56" s="57">
        <f>I56</f>
        <v>0</v>
      </c>
      <c r="R56" s="612"/>
    </row>
    <row r="57" spans="1:18" ht="15.9" customHeight="1">
      <c r="A57" s="51"/>
      <c r="B57" s="162">
        <f t="shared" si="3"/>
        <v>24</v>
      </c>
      <c r="C57" s="672" t="s">
        <v>123</v>
      </c>
      <c r="D57" s="671"/>
      <c r="E57" s="71"/>
      <c r="F57" s="302" t="s">
        <v>68</v>
      </c>
      <c r="G57" s="388" t="str">
        <f>+F57</f>
        <v xml:space="preserve"> </v>
      </c>
      <c r="H57" s="418"/>
      <c r="I57" s="133" t="str">
        <f t="shared" si="2"/>
        <v xml:space="preserve"> </v>
      </c>
      <c r="J57" s="57" t="str">
        <f>+I57</f>
        <v xml:space="preserve"> </v>
      </c>
      <c r="R57" s="612"/>
    </row>
    <row r="58" spans="1:18" ht="15.9" customHeight="1">
      <c r="A58" s="51"/>
      <c r="B58" s="162">
        <f t="shared" si="3"/>
        <v>25</v>
      </c>
      <c r="C58" s="672" t="s">
        <v>124</v>
      </c>
      <c r="D58" s="671"/>
      <c r="E58" s="71"/>
      <c r="F58" s="56"/>
      <c r="G58" s="388"/>
      <c r="H58" s="418"/>
      <c r="I58" s="133"/>
      <c r="J58" s="57"/>
      <c r="R58" s="612"/>
    </row>
    <row r="59" spans="1:18" ht="15.9" customHeight="1">
      <c r="A59" s="51"/>
      <c r="B59" s="381"/>
      <c r="C59" s="74"/>
      <c r="D59" s="74"/>
      <c r="E59" s="58"/>
      <c r="F59" s="678" t="s">
        <v>73</v>
      </c>
      <c r="G59" s="712"/>
      <c r="H59" s="418"/>
      <c r="I59" s="713" t="s">
        <v>67</v>
      </c>
      <c r="J59" s="714"/>
    </row>
    <row r="60" spans="1:18" ht="15.9" customHeight="1">
      <c r="A60" s="51"/>
      <c r="B60" s="715" t="s">
        <v>125</v>
      </c>
      <c r="C60" s="716"/>
      <c r="D60" s="716"/>
      <c r="E60" s="562"/>
      <c r="F60" s="376" t="s">
        <v>75</v>
      </c>
      <c r="G60" s="376" t="s">
        <v>76</v>
      </c>
      <c r="H60" s="418"/>
      <c r="I60" s="381" t="s">
        <v>75</v>
      </c>
      <c r="J60" s="248" t="s">
        <v>76</v>
      </c>
    </row>
    <row r="61" spans="1:18" ht="15.9" customHeight="1">
      <c r="A61" s="560"/>
      <c r="B61" s="162">
        <v>1</v>
      </c>
      <c r="C61" s="670" t="s">
        <v>126</v>
      </c>
      <c r="D61" s="671"/>
      <c r="E61" s="564"/>
      <c r="F61" s="70">
        <f>C221/F21/F27</f>
        <v>129.25</v>
      </c>
      <c r="G61" s="388">
        <f>+F61*F6</f>
        <v>1391.2469999999998</v>
      </c>
      <c r="H61" s="418"/>
      <c r="I61" s="138">
        <f>+F61/$J$5</f>
        <v>1.2307179584840984</v>
      </c>
      <c r="J61" s="57">
        <f>+I61*$I$6</f>
        <v>13.247448105122833</v>
      </c>
    </row>
    <row r="62" spans="1:18" ht="15.9" customHeight="1">
      <c r="A62" s="560"/>
      <c r="B62" s="162">
        <f>1+B61</f>
        <v>2</v>
      </c>
      <c r="C62" s="670" t="s">
        <v>127</v>
      </c>
      <c r="D62" s="671"/>
      <c r="E62" s="564"/>
      <c r="F62" s="70">
        <v>0</v>
      </c>
      <c r="G62" s="388">
        <v>0</v>
      </c>
      <c r="H62" s="418"/>
      <c r="I62" s="138">
        <f>+F62/$J$5</f>
        <v>0</v>
      </c>
      <c r="J62" s="57">
        <f>G62/J5</f>
        <v>0</v>
      </c>
    </row>
    <row r="63" spans="1:18" ht="15.9" customHeight="1">
      <c r="A63" s="565"/>
      <c r="B63" s="162">
        <f t="shared" ref="B63:B84" si="4">1+B62</f>
        <v>3</v>
      </c>
      <c r="C63" s="673" t="s">
        <v>128</v>
      </c>
      <c r="D63" s="674"/>
      <c r="E63" s="75"/>
      <c r="F63" s="76">
        <f>F61+F62</f>
        <v>129.25</v>
      </c>
      <c r="G63" s="206">
        <f>+G61+G62</f>
        <v>1391.2469999999998</v>
      </c>
      <c r="H63" s="418"/>
      <c r="I63" s="139">
        <f>I61+I62</f>
        <v>1.2307179584840984</v>
      </c>
      <c r="J63" s="55">
        <f>+J61+J62</f>
        <v>13.247448105122833</v>
      </c>
    </row>
    <row r="64" spans="1:18" ht="15.9" customHeight="1">
      <c r="A64" s="77"/>
      <c r="B64" s="162">
        <f t="shared" si="4"/>
        <v>4</v>
      </c>
      <c r="C64" s="670" t="s">
        <v>493</v>
      </c>
      <c r="D64" s="671"/>
      <c r="E64" s="56"/>
      <c r="F64" s="54">
        <f>F63*F21</f>
        <v>1229813.75</v>
      </c>
      <c r="G64" s="385">
        <f>+F64</f>
        <v>1229813.75</v>
      </c>
      <c r="H64" s="418"/>
      <c r="I64" s="132">
        <f>+F64/$J$5</f>
        <v>11710.281374976195</v>
      </c>
      <c r="J64" s="55">
        <f>+I64</f>
        <v>11710.281374976195</v>
      </c>
    </row>
    <row r="65" spans="1:10" ht="15.9" customHeight="1">
      <c r="A65" s="77"/>
      <c r="B65" s="162">
        <f t="shared" si="4"/>
        <v>5</v>
      </c>
      <c r="C65" s="670" t="s">
        <v>129</v>
      </c>
      <c r="D65" s="671"/>
      <c r="E65" s="56"/>
      <c r="F65" s="70">
        <f>(I221/F21/F27)*(1+L1)</f>
        <v>17.548935056250006</v>
      </c>
      <c r="G65" s="388">
        <f>+F65*F6</f>
        <v>188.89673694547506</v>
      </c>
      <c r="H65" s="418"/>
      <c r="I65" s="138">
        <f>+F65/J5</f>
        <v>0.16710088608122267</v>
      </c>
      <c r="J65" s="72">
        <f>+I65*$I$6</f>
        <v>1.7986739377782808</v>
      </c>
    </row>
    <row r="66" spans="1:10" ht="15.9" customHeight="1">
      <c r="A66" s="566"/>
      <c r="B66" s="162">
        <f t="shared" si="4"/>
        <v>6</v>
      </c>
      <c r="C66" s="672" t="s">
        <v>494</v>
      </c>
      <c r="D66" s="671"/>
      <c r="E66" s="71"/>
      <c r="F66" s="54">
        <f>+F65*F21*(1+L1)</f>
        <v>166978.11706021879</v>
      </c>
      <c r="G66" s="54">
        <f>+G65*G21*1.01</f>
        <v>168647.89823082101</v>
      </c>
      <c r="H66" s="418"/>
      <c r="I66" s="132">
        <f>+F66/$J$5</f>
        <v>1589.9649310628338</v>
      </c>
      <c r="J66" s="55">
        <f>+I66</f>
        <v>1589.9649310628338</v>
      </c>
    </row>
    <row r="67" spans="1:10" ht="15.9" customHeight="1">
      <c r="A67" s="51"/>
      <c r="B67" s="162">
        <f t="shared" si="4"/>
        <v>7</v>
      </c>
      <c r="C67" s="672" t="s">
        <v>495</v>
      </c>
      <c r="D67" s="671"/>
      <c r="E67" s="59"/>
      <c r="F67" s="56">
        <f>(+G221/F27)*(1+L1)</f>
        <v>0</v>
      </c>
      <c r="G67" s="388">
        <f>+F67</f>
        <v>0</v>
      </c>
      <c r="H67" s="418"/>
      <c r="I67" s="133">
        <f t="shared" ref="I67:I83" si="5">+F67/$J$5</f>
        <v>0</v>
      </c>
      <c r="J67" s="57">
        <f>G67/J5</f>
        <v>0</v>
      </c>
    </row>
    <row r="68" spans="1:10" ht="15.9" customHeight="1">
      <c r="A68" s="77"/>
      <c r="B68" s="162">
        <f t="shared" si="4"/>
        <v>8</v>
      </c>
      <c r="C68" s="672" t="s">
        <v>130</v>
      </c>
      <c r="D68" s="671"/>
      <c r="E68" s="56"/>
      <c r="F68" s="56">
        <v>11418000</v>
      </c>
      <c r="G68" s="388">
        <f>F68</f>
        <v>11418000</v>
      </c>
      <c r="H68" s="418"/>
      <c r="I68" s="138">
        <f t="shared" si="5"/>
        <v>108722.14816225482</v>
      </c>
      <c r="J68" s="57">
        <f>G68/J5</f>
        <v>108722.14816225482</v>
      </c>
    </row>
    <row r="69" spans="1:10" ht="13">
      <c r="A69" s="77"/>
      <c r="B69" s="162">
        <f t="shared" si="4"/>
        <v>9</v>
      </c>
      <c r="C69" s="672" t="s">
        <v>131</v>
      </c>
      <c r="D69" s="671"/>
      <c r="E69" s="56"/>
      <c r="F69" s="56">
        <v>0</v>
      </c>
      <c r="G69" s="388">
        <f>F69</f>
        <v>0</v>
      </c>
      <c r="H69" s="418"/>
      <c r="I69" s="138">
        <f t="shared" si="5"/>
        <v>0</v>
      </c>
      <c r="J69" s="57">
        <f>+G69/J5</f>
        <v>0</v>
      </c>
    </row>
    <row r="70" spans="1:10" ht="21.75" customHeight="1">
      <c r="A70" s="77"/>
      <c r="B70" s="162">
        <f t="shared" si="4"/>
        <v>10</v>
      </c>
      <c r="C70" s="670" t="s">
        <v>132</v>
      </c>
      <c r="D70" s="671"/>
      <c r="E70" s="56"/>
      <c r="F70" s="56">
        <v>500000</v>
      </c>
      <c r="G70" s="388">
        <f>+F70</f>
        <v>500000</v>
      </c>
      <c r="H70" s="418"/>
      <c r="I70" s="138">
        <f t="shared" si="5"/>
        <v>4760.9979051609216</v>
      </c>
      <c r="J70" s="57">
        <f t="shared" ref="J70:J82" si="6">+I70*$I$6</f>
        <v>51247.381451152156</v>
      </c>
    </row>
    <row r="71" spans="1:10" ht="13">
      <c r="A71" s="77"/>
      <c r="B71" s="162">
        <f t="shared" si="4"/>
        <v>11</v>
      </c>
      <c r="C71" s="672" t="s">
        <v>133</v>
      </c>
      <c r="D71" s="671"/>
      <c r="E71" s="56"/>
      <c r="F71" s="54">
        <v>0</v>
      </c>
      <c r="G71" s="385"/>
      <c r="H71" s="418"/>
      <c r="I71" s="138">
        <f t="shared" si="5"/>
        <v>0</v>
      </c>
      <c r="J71" s="57">
        <f t="shared" si="6"/>
        <v>0</v>
      </c>
    </row>
    <row r="72" spans="1:10" ht="15.9" customHeight="1">
      <c r="A72" s="51"/>
      <c r="B72" s="162">
        <f t="shared" si="4"/>
        <v>12</v>
      </c>
      <c r="C72" s="672" t="s">
        <v>134</v>
      </c>
      <c r="D72" s="671"/>
      <c r="E72" s="56"/>
      <c r="F72" s="54">
        <f>F39*F23*F34</f>
        <v>0</v>
      </c>
      <c r="G72" s="205">
        <f>F72</f>
        <v>0</v>
      </c>
      <c r="H72" s="418"/>
      <c r="I72" s="138">
        <f t="shared" si="5"/>
        <v>0</v>
      </c>
      <c r="J72" s="57">
        <f t="shared" si="6"/>
        <v>0</v>
      </c>
    </row>
    <row r="73" spans="1:10" ht="15.9" customHeight="1">
      <c r="A73" s="51"/>
      <c r="B73" s="162">
        <f t="shared" si="4"/>
        <v>13</v>
      </c>
      <c r="C73" s="672" t="s">
        <v>135</v>
      </c>
      <c r="D73" s="671"/>
      <c r="E73" s="56"/>
      <c r="F73" s="56">
        <v>0</v>
      </c>
      <c r="G73" s="203">
        <f>+F73</f>
        <v>0</v>
      </c>
      <c r="H73" s="418"/>
      <c r="I73" s="138">
        <f t="shared" si="5"/>
        <v>0</v>
      </c>
      <c r="J73" s="57">
        <f t="shared" si="6"/>
        <v>0</v>
      </c>
    </row>
    <row r="74" spans="1:10" ht="15.9" customHeight="1">
      <c r="A74" s="51"/>
      <c r="B74" s="162">
        <f t="shared" si="4"/>
        <v>14</v>
      </c>
      <c r="C74" s="670" t="s">
        <v>136</v>
      </c>
      <c r="D74" s="671"/>
      <c r="E74" s="563"/>
      <c r="F74" s="68">
        <f>+F36*F64</f>
        <v>0</v>
      </c>
      <c r="G74" s="203">
        <f>G36*G64</f>
        <v>0</v>
      </c>
      <c r="H74" s="418"/>
      <c r="I74" s="138">
        <f t="shared" si="5"/>
        <v>0</v>
      </c>
      <c r="J74" s="57">
        <f t="shared" si="6"/>
        <v>0</v>
      </c>
    </row>
    <row r="75" spans="1:10" ht="15.9" customHeight="1">
      <c r="A75" s="51"/>
      <c r="B75" s="162">
        <f t="shared" si="4"/>
        <v>15</v>
      </c>
      <c r="C75" s="537" t="s">
        <v>137</v>
      </c>
      <c r="D75" s="538"/>
      <c r="E75" s="563"/>
      <c r="F75" s="356">
        <f>F120</f>
        <v>0</v>
      </c>
      <c r="G75" s="520">
        <v>0</v>
      </c>
      <c r="H75" s="418"/>
      <c r="I75" s="138">
        <f>+F75/J5</f>
        <v>0</v>
      </c>
      <c r="J75" s="57">
        <f t="shared" si="6"/>
        <v>0</v>
      </c>
    </row>
    <row r="76" spans="1:10" ht="15.9" customHeight="1">
      <c r="A76" s="51"/>
      <c r="B76" s="162">
        <f t="shared" si="4"/>
        <v>16</v>
      </c>
      <c r="C76" s="670" t="s">
        <v>138</v>
      </c>
      <c r="D76" s="671"/>
      <c r="E76" s="59"/>
      <c r="F76" s="56">
        <f>+F78/F23</f>
        <v>1471.3610089332633</v>
      </c>
      <c r="G76" s="203">
        <f>+G78/G23</f>
        <v>15837.729900157645</v>
      </c>
      <c r="H76" s="418"/>
      <c r="I76" s="138">
        <f t="shared" si="5"/>
        <v>14.010293362533455</v>
      </c>
      <c r="J76" s="57">
        <f t="shared" si="6"/>
        <v>150.80679775431011</v>
      </c>
    </row>
    <row r="77" spans="1:10" ht="15.9" customHeight="1">
      <c r="A77" s="51"/>
      <c r="B77" s="162">
        <f t="shared" si="4"/>
        <v>17</v>
      </c>
      <c r="C77" s="670" t="s">
        <v>139</v>
      </c>
      <c r="D77" s="671"/>
      <c r="E77" s="71"/>
      <c r="F77" s="51"/>
      <c r="G77" s="558"/>
      <c r="H77" s="418"/>
      <c r="I77" s="138">
        <f t="shared" si="5"/>
        <v>0</v>
      </c>
      <c r="J77" s="57">
        <f t="shared" si="6"/>
        <v>0</v>
      </c>
    </row>
    <row r="78" spans="1:10" ht="15.9" customHeight="1">
      <c r="A78" s="51"/>
      <c r="B78" s="162">
        <f t="shared" si="4"/>
        <v>18</v>
      </c>
      <c r="C78" s="670" t="s">
        <v>140</v>
      </c>
      <c r="D78" s="671"/>
      <c r="E78" s="71"/>
      <c r="F78" s="56">
        <f>'CAPEX and PM'!B6</f>
        <v>14000000</v>
      </c>
      <c r="G78" s="388">
        <f>F78</f>
        <v>14000000</v>
      </c>
      <c r="H78" s="418"/>
      <c r="I78" s="133">
        <f t="shared" si="5"/>
        <v>133307.94134450582</v>
      </c>
      <c r="J78" s="57">
        <f>+G78/J5</f>
        <v>133307.94134450582</v>
      </c>
    </row>
    <row r="79" spans="1:10" ht="15.9" customHeight="1">
      <c r="A79" s="51"/>
      <c r="B79" s="162">
        <f t="shared" si="4"/>
        <v>19</v>
      </c>
      <c r="C79" s="670" t="s">
        <v>141</v>
      </c>
      <c r="D79" s="671"/>
      <c r="E79" s="71"/>
      <c r="F79" s="56">
        <f>'CAPEX and PM'!B37</f>
        <v>43000000</v>
      </c>
      <c r="G79" s="388">
        <f>+F79</f>
        <v>43000000</v>
      </c>
      <c r="H79" s="418"/>
      <c r="I79" s="138">
        <f t="shared" si="5"/>
        <v>409445.81984383927</v>
      </c>
      <c r="J79" s="57">
        <f t="shared" si="6"/>
        <v>4407274.8047990855</v>
      </c>
    </row>
    <row r="80" spans="1:10" ht="15.9" customHeight="1">
      <c r="A80" s="51"/>
      <c r="B80" s="162">
        <f t="shared" si="4"/>
        <v>20</v>
      </c>
      <c r="C80" s="670" t="s">
        <v>142</v>
      </c>
      <c r="D80" s="671"/>
      <c r="E80" s="71"/>
      <c r="F80" s="56">
        <f>+'CAPEX and PM'!B95</f>
        <v>2500000</v>
      </c>
      <c r="G80" s="388">
        <f>F80</f>
        <v>2500000</v>
      </c>
      <c r="H80" s="418"/>
      <c r="I80" s="138">
        <f t="shared" si="5"/>
        <v>23804.989525804609</v>
      </c>
      <c r="J80" s="57">
        <f t="shared" si="6"/>
        <v>256236.9072557608</v>
      </c>
    </row>
    <row r="81" spans="1:24" ht="15.9" customHeight="1">
      <c r="A81" s="51"/>
      <c r="B81" s="162">
        <f t="shared" si="4"/>
        <v>21</v>
      </c>
      <c r="C81" s="670" t="s">
        <v>143</v>
      </c>
      <c r="D81" s="671"/>
      <c r="E81" s="71"/>
      <c r="F81" s="56"/>
      <c r="G81" s="388"/>
      <c r="H81" s="418"/>
      <c r="I81" s="138">
        <f t="shared" si="5"/>
        <v>0</v>
      </c>
      <c r="J81" s="57">
        <f t="shared" si="6"/>
        <v>0</v>
      </c>
    </row>
    <row r="82" spans="1:24" ht="15.9" customHeight="1">
      <c r="A82" s="51"/>
      <c r="B82" s="162">
        <f t="shared" si="4"/>
        <v>22</v>
      </c>
      <c r="C82" s="670" t="s">
        <v>144</v>
      </c>
      <c r="D82" s="680"/>
      <c r="E82" s="71"/>
      <c r="F82" s="56"/>
      <c r="G82" s="388"/>
      <c r="H82" s="418"/>
      <c r="I82" s="138">
        <f t="shared" si="5"/>
        <v>0</v>
      </c>
      <c r="J82" s="57">
        <f t="shared" si="6"/>
        <v>0</v>
      </c>
    </row>
    <row r="83" spans="1:24" ht="15.9" customHeight="1">
      <c r="A83" s="51"/>
      <c r="B83" s="162">
        <f t="shared" si="4"/>
        <v>23</v>
      </c>
      <c r="C83" s="670" t="s">
        <v>145</v>
      </c>
      <c r="D83" s="671"/>
      <c r="E83" s="59"/>
      <c r="F83" s="56">
        <f>+G208</f>
        <v>512254.33034775488</v>
      </c>
      <c r="G83" s="388">
        <f>+F83</f>
        <v>512254.33034775488</v>
      </c>
      <c r="H83" s="418"/>
      <c r="I83" s="133">
        <f t="shared" si="5"/>
        <v>4877.6835873905438</v>
      </c>
      <c r="J83" s="57">
        <f>G83/J5</f>
        <v>4877.6835873905438</v>
      </c>
    </row>
    <row r="84" spans="1:24" ht="22.5" customHeight="1">
      <c r="A84" s="51"/>
      <c r="B84" s="162">
        <f t="shared" si="4"/>
        <v>24</v>
      </c>
      <c r="C84" s="670" t="s">
        <v>496</v>
      </c>
      <c r="D84" s="671"/>
      <c r="E84" s="563"/>
      <c r="F84" s="56">
        <f>+F31</f>
        <v>0</v>
      </c>
      <c r="G84" s="388">
        <f>+F84</f>
        <v>0</v>
      </c>
      <c r="H84" s="418"/>
      <c r="I84" s="133">
        <v>4</v>
      </c>
      <c r="J84" s="57">
        <f>G84/J5</f>
        <v>0</v>
      </c>
    </row>
    <row r="85" spans="1:24" ht="15.9" customHeight="1">
      <c r="A85" s="51"/>
      <c r="B85" s="79"/>
      <c r="C85" s="51"/>
      <c r="D85" s="51"/>
      <c r="E85" s="80"/>
      <c r="F85" s="51"/>
      <c r="G85" s="51"/>
      <c r="H85" s="418"/>
      <c r="I85" s="94"/>
      <c r="J85" s="81"/>
    </row>
    <row r="86" spans="1:24" ht="15.9" customHeight="1">
      <c r="A86" s="51"/>
      <c r="B86" s="692" t="s">
        <v>146</v>
      </c>
      <c r="C86" s="693"/>
      <c r="D86" s="694"/>
      <c r="E86" s="389"/>
      <c r="F86" s="161" t="s">
        <v>75</v>
      </c>
      <c r="G86" s="161" t="s">
        <v>76</v>
      </c>
      <c r="H86" s="418"/>
      <c r="I86" s="374" t="s">
        <v>75</v>
      </c>
      <c r="J86" s="53" t="s">
        <v>76</v>
      </c>
    </row>
    <row r="87" spans="1:24" ht="15.9" customHeight="1">
      <c r="A87" s="77"/>
      <c r="B87" s="162">
        <v>1</v>
      </c>
      <c r="C87" s="670" t="s">
        <v>147</v>
      </c>
      <c r="D87" s="671"/>
      <c r="E87" s="71"/>
      <c r="F87" s="70">
        <f>+F63</f>
        <v>129.25</v>
      </c>
      <c r="G87" s="204">
        <f>+G63</f>
        <v>1391.2469999999998</v>
      </c>
      <c r="H87" s="418"/>
      <c r="I87" s="138">
        <f>+F87/J5</f>
        <v>1.2307179584840984</v>
      </c>
      <c r="J87" s="72">
        <f>G87/J5</f>
        <v>13.247448105122833</v>
      </c>
      <c r="S87" s="414"/>
      <c r="T87" s="414"/>
      <c r="X87" s="420"/>
    </row>
    <row r="88" spans="1:24" ht="15.9" customHeight="1">
      <c r="A88" s="51"/>
      <c r="B88" s="162">
        <f>1+B87</f>
        <v>2</v>
      </c>
      <c r="C88" s="672" t="s">
        <v>148</v>
      </c>
      <c r="D88" s="671"/>
      <c r="E88" s="73"/>
      <c r="F88" s="56">
        <v>0</v>
      </c>
      <c r="G88" s="388">
        <v>0</v>
      </c>
      <c r="H88" s="418"/>
      <c r="I88" s="133">
        <v>0</v>
      </c>
      <c r="J88" s="57">
        <v>0</v>
      </c>
      <c r="T88" s="414"/>
    </row>
    <row r="89" spans="1:24" ht="15.9" customHeight="1">
      <c r="A89" s="51"/>
      <c r="B89" s="162">
        <f t="shared" ref="B89:B95" si="7">+B88+1</f>
        <v>3</v>
      </c>
      <c r="C89" s="672" t="s">
        <v>149</v>
      </c>
      <c r="D89" s="671"/>
      <c r="E89" s="73"/>
      <c r="F89" s="70">
        <f>(F67/F23)</f>
        <v>0</v>
      </c>
      <c r="G89" s="204">
        <f>+F89*F6</f>
        <v>0</v>
      </c>
      <c r="H89" s="418"/>
      <c r="I89" s="138">
        <f>+F89/J5</f>
        <v>0</v>
      </c>
      <c r="J89" s="72">
        <f>+I89*I6</f>
        <v>0</v>
      </c>
      <c r="S89" s="414"/>
      <c r="T89" s="414"/>
    </row>
    <row r="90" spans="1:24" ht="15.9" customHeight="1">
      <c r="A90" s="51"/>
      <c r="B90" s="162">
        <f t="shared" si="7"/>
        <v>4</v>
      </c>
      <c r="C90" s="672" t="s">
        <v>150</v>
      </c>
      <c r="D90" s="671"/>
      <c r="E90" s="73"/>
      <c r="F90" s="66">
        <f>'Security Deposit'!C17</f>
        <v>10.729900157645822</v>
      </c>
      <c r="G90" s="202">
        <f>F90*F6</f>
        <v>115.49664529689963</v>
      </c>
      <c r="H90" s="418"/>
      <c r="I90" s="138">
        <f>F90/$J$5</f>
        <v>0.10217006434627521</v>
      </c>
      <c r="J90" s="72">
        <f>I90*I6</f>
        <v>1.0997585726233063</v>
      </c>
      <c r="S90" s="414"/>
      <c r="T90" s="414"/>
    </row>
    <row r="91" spans="1:24" ht="15.9" customHeight="1">
      <c r="A91" s="51"/>
      <c r="B91" s="162">
        <f t="shared" si="7"/>
        <v>5</v>
      </c>
      <c r="C91" s="672" t="s">
        <v>324</v>
      </c>
      <c r="D91" s="671"/>
      <c r="E91" s="73"/>
      <c r="F91" s="202">
        <f>+F65</f>
        <v>17.548935056250006</v>
      </c>
      <c r="G91" s="388">
        <f>+F91*$F$6</f>
        <v>188.89673694547506</v>
      </c>
      <c r="H91" s="418"/>
      <c r="I91" s="138">
        <f>F91/$J$5</f>
        <v>0.16710088608122267</v>
      </c>
      <c r="J91" s="72">
        <f>I91*I6</f>
        <v>1.7986739377782808</v>
      </c>
      <c r="S91" s="414"/>
      <c r="T91" s="414"/>
    </row>
    <row r="92" spans="1:24" ht="15.9" customHeight="1">
      <c r="A92" s="165"/>
      <c r="B92" s="162">
        <f>+B90+1</f>
        <v>5</v>
      </c>
      <c r="C92" s="672" t="s">
        <v>151</v>
      </c>
      <c r="D92" s="671"/>
      <c r="E92" s="73"/>
      <c r="F92" s="66">
        <f>(+F84/F21/F27)</f>
        <v>0</v>
      </c>
      <c r="G92" s="202">
        <f>(+G84/G21/G27)</f>
        <v>0</v>
      </c>
      <c r="H92" s="418"/>
      <c r="I92" s="138">
        <f>F92/$J$5</f>
        <v>0</v>
      </c>
      <c r="J92" s="72">
        <f>+I92*$I$6</f>
        <v>0</v>
      </c>
      <c r="T92" s="414"/>
    </row>
    <row r="93" spans="1:24" ht="15.9" customHeight="1">
      <c r="A93" s="51"/>
      <c r="B93" s="162">
        <f t="shared" si="7"/>
        <v>6</v>
      </c>
      <c r="C93" s="672" t="s">
        <v>152</v>
      </c>
      <c r="D93" s="671"/>
      <c r="E93" s="73"/>
      <c r="F93" s="66">
        <f>F83/F21/F27</f>
        <v>0.74772921461399378</v>
      </c>
      <c r="G93" s="202">
        <f>G83/G21/G27</f>
        <v>8.0485572661050284</v>
      </c>
      <c r="H93" s="418"/>
      <c r="I93" s="138">
        <f>+F93/J5</f>
        <v>7.1198744488096917E-3</v>
      </c>
      <c r="J93" s="72">
        <f>+I93*$I$6</f>
        <v>7.6638328566987518E-2</v>
      </c>
      <c r="S93" s="414"/>
      <c r="T93" s="414"/>
    </row>
    <row r="94" spans="1:24" ht="15.9" customHeight="1">
      <c r="A94" s="51"/>
      <c r="B94" s="162">
        <f t="shared" si="7"/>
        <v>7</v>
      </c>
      <c r="C94" s="670" t="s">
        <v>153</v>
      </c>
      <c r="D94" s="671"/>
      <c r="E94" s="71"/>
      <c r="F94" s="66">
        <f>+G94/F6</f>
        <v>20.625132066972007</v>
      </c>
      <c r="G94" s="202">
        <f>(+SUM(G87:G93)+G104)*7%</f>
        <v>222.00892156888668</v>
      </c>
      <c r="H94" s="418"/>
      <c r="I94" s="138">
        <f>+F94/J5</f>
        <v>0.19639242112904218</v>
      </c>
      <c r="J94" s="67">
        <f>I94*I6</f>
        <v>2.1139680210330098</v>
      </c>
      <c r="S94" s="414"/>
      <c r="T94" s="414"/>
    </row>
    <row r="95" spans="1:24" ht="15.9" customHeight="1">
      <c r="A95" s="51"/>
      <c r="B95" s="162">
        <f t="shared" si="7"/>
        <v>8</v>
      </c>
      <c r="C95" s="673" t="s">
        <v>69</v>
      </c>
      <c r="D95" s="674"/>
      <c r="E95" s="78"/>
      <c r="F95" s="213">
        <f>SUM(F87:F94)</f>
        <v>178.90169649548184</v>
      </c>
      <c r="G95" s="54">
        <f>SUM(G87:G94)</f>
        <v>1925.6978610773665</v>
      </c>
      <c r="H95" s="424"/>
      <c r="I95" s="191">
        <f>SUM(I87:I94)</f>
        <v>1.7035012044894482</v>
      </c>
      <c r="J95" s="192">
        <f>SUM(J87:J94)</f>
        <v>18.336486965124415</v>
      </c>
      <c r="S95" s="414"/>
      <c r="T95" s="414"/>
    </row>
    <row r="96" spans="1:24" ht="15.9" customHeight="1">
      <c r="A96" s="51"/>
      <c r="B96" s="381"/>
      <c r="C96" s="712"/>
      <c r="D96" s="712"/>
      <c r="E96" s="84"/>
      <c r="F96" s="85"/>
      <c r="G96" s="85"/>
      <c r="H96" s="418"/>
      <c r="I96" s="140"/>
      <c r="J96" s="86"/>
    </row>
    <row r="97" spans="1:26" ht="15.9" customHeight="1">
      <c r="A97" s="51"/>
      <c r="B97" s="675" t="s">
        <v>154</v>
      </c>
      <c r="C97" s="676"/>
      <c r="D97" s="676"/>
      <c r="E97" s="87"/>
      <c r="F97" s="161" t="s">
        <v>75</v>
      </c>
      <c r="G97" s="161" t="s">
        <v>76</v>
      </c>
      <c r="H97" s="418"/>
      <c r="I97" s="374" t="s">
        <v>75</v>
      </c>
      <c r="J97" s="53" t="s">
        <v>76</v>
      </c>
      <c r="W97" s="432"/>
    </row>
    <row r="98" spans="1:26" ht="15.9" customHeight="1">
      <c r="A98" s="51"/>
      <c r="B98" s="162">
        <v>1</v>
      </c>
      <c r="C98" s="672" t="str">
        <f>+C77</f>
        <v>Siemens Standard Fitout (Existing)</v>
      </c>
      <c r="D98" s="671"/>
      <c r="E98" s="88"/>
      <c r="F98" s="66">
        <v>0</v>
      </c>
      <c r="G98" s="204">
        <f>+F98*F6</f>
        <v>0</v>
      </c>
      <c r="H98" s="418"/>
      <c r="I98" s="133">
        <v>0</v>
      </c>
      <c r="J98" s="57">
        <f>+I98*I6</f>
        <v>0</v>
      </c>
      <c r="Z98" s="527"/>
    </row>
    <row r="99" spans="1:26" ht="15.9" customHeight="1">
      <c r="A99" s="51"/>
      <c r="B99" s="162">
        <f t="shared" ref="B99:B104" si="8">+B98+1</f>
        <v>2</v>
      </c>
      <c r="C99" s="672" t="str">
        <f>+C78</f>
        <v>Siemens Standard Fitout (New)</v>
      </c>
      <c r="D99" s="671"/>
      <c r="E99" s="71"/>
      <c r="F99" s="66">
        <f>'CAPEX and PM'!B29</f>
        <v>57.834863568245076</v>
      </c>
      <c r="G99" s="204">
        <f>+F99*F6</f>
        <v>622.53447144859001</v>
      </c>
      <c r="H99" s="418"/>
      <c r="I99" s="138">
        <f>+F99/$J$5</f>
        <v>0.55070332858736504</v>
      </c>
      <c r="J99" s="72">
        <f>+I99*$I$6</f>
        <v>5.9277706289143968</v>
      </c>
      <c r="S99" s="414"/>
      <c r="Z99" s="420"/>
    </row>
    <row r="100" spans="1:26" ht="15.9" customHeight="1">
      <c r="A100" s="51"/>
      <c r="B100" s="162">
        <f t="shared" si="8"/>
        <v>3</v>
      </c>
      <c r="C100" s="672" t="str">
        <f>+C79</f>
        <v>Capex over the period of lease period</v>
      </c>
      <c r="D100" s="671"/>
      <c r="E100" s="71"/>
      <c r="F100" s="66">
        <f>'CAPEX and PM'!B89</f>
        <v>73.736884743387648</v>
      </c>
      <c r="G100" s="204">
        <f>+F100*F6</f>
        <v>793.70382737782461</v>
      </c>
      <c r="H100" s="418"/>
      <c r="I100" s="138">
        <f>+F100/$J$5</f>
        <v>0.70212230759272187</v>
      </c>
      <c r="J100" s="72">
        <f>+I100*$I$6</f>
        <v>7.5576445189280577</v>
      </c>
      <c r="T100" s="414"/>
      <c r="W100" s="432"/>
    </row>
    <row r="101" spans="1:26" ht="15.9" customHeight="1">
      <c r="A101" s="51"/>
      <c r="B101" s="162">
        <f t="shared" si="8"/>
        <v>4</v>
      </c>
      <c r="C101" s="672" t="str">
        <f>+C80</f>
        <v>PM cost over the period of lease period</v>
      </c>
      <c r="D101" s="671"/>
      <c r="E101" s="71"/>
      <c r="F101" s="66">
        <f>+'CAPEX and PM'!B96</f>
        <v>3.6492088515209904</v>
      </c>
      <c r="G101" s="204">
        <f>+F101*F6</f>
        <v>39.280084077771939</v>
      </c>
      <c r="H101" s="418"/>
      <c r="I101" s="138">
        <f>+F101/$J$5</f>
        <v>3.4747751395172256E-2</v>
      </c>
      <c r="J101" s="72">
        <f>+I101*$I$6</f>
        <v>0.37402479601763416</v>
      </c>
      <c r="S101" s="414"/>
      <c r="T101" s="414"/>
    </row>
    <row r="102" spans="1:26" ht="15.9" customHeight="1">
      <c r="A102" s="51"/>
      <c r="B102" s="162">
        <f t="shared" si="8"/>
        <v>5</v>
      </c>
      <c r="C102" s="672" t="str">
        <f>+C81</f>
        <v>Asset Retirement Obligation ( Removal &amp; Restoration Obligation)</v>
      </c>
      <c r="D102" s="671"/>
      <c r="E102" s="71"/>
      <c r="F102" s="66">
        <f>'Security Deposit'!D25</f>
        <v>1.1472222222222224</v>
      </c>
      <c r="G102" s="204">
        <f>F102*10.764</f>
        <v>12.348700000000001</v>
      </c>
      <c r="H102" s="418"/>
      <c r="I102" s="136">
        <f>+F102/J5</f>
        <v>1.0923845193508117E-2</v>
      </c>
      <c r="J102" s="67">
        <f>+G102/J5</f>
        <v>0.11758426966292136</v>
      </c>
      <c r="S102" s="414"/>
      <c r="T102" s="414"/>
      <c r="V102" s="432"/>
      <c r="W102" s="536"/>
      <c r="Z102" s="527"/>
    </row>
    <row r="103" spans="1:26" ht="15.9" customHeight="1">
      <c r="A103" s="51"/>
      <c r="B103" s="162">
        <f t="shared" si="8"/>
        <v>6</v>
      </c>
      <c r="C103" s="670" t="s">
        <v>155</v>
      </c>
      <c r="D103" s="671"/>
      <c r="E103" s="73"/>
      <c r="F103" s="66">
        <f>+F82/F21/F28</f>
        <v>0</v>
      </c>
      <c r="G103" s="204">
        <f>+F103*F6</f>
        <v>0</v>
      </c>
      <c r="H103" s="418"/>
      <c r="I103" s="138">
        <f>+F103/J5</f>
        <v>0</v>
      </c>
      <c r="J103" s="72">
        <f>+I103*I6</f>
        <v>0</v>
      </c>
      <c r="U103" s="526"/>
      <c r="Z103" s="420"/>
    </row>
    <row r="104" spans="1:26" ht="15.9" customHeight="1">
      <c r="A104" s="51"/>
      <c r="B104" s="162">
        <f t="shared" si="8"/>
        <v>7</v>
      </c>
      <c r="C104" s="673" t="s">
        <v>156</v>
      </c>
      <c r="D104" s="674"/>
      <c r="E104" s="78"/>
      <c r="F104" s="54">
        <f>SUM(F98:F103)</f>
        <v>136.36817938537592</v>
      </c>
      <c r="G104" s="54">
        <f>SUM(G98:G103)</f>
        <v>1467.8670829041866</v>
      </c>
      <c r="H104" s="418"/>
      <c r="I104" s="139">
        <f>SUM(I98:I103)</f>
        <v>1.2984972327687672</v>
      </c>
      <c r="J104" s="139">
        <f>SUM(J98:J103)</f>
        <v>13.977024213523011</v>
      </c>
      <c r="S104" s="414"/>
      <c r="T104" s="414"/>
    </row>
    <row r="105" spans="1:26" ht="15.9" customHeight="1">
      <c r="A105" s="51"/>
      <c r="B105" s="381"/>
      <c r="C105" s="83"/>
      <c r="D105" s="83"/>
      <c r="E105" s="84"/>
      <c r="F105" s="386"/>
      <c r="G105" s="386"/>
      <c r="H105" s="418"/>
      <c r="I105" s="383"/>
      <c r="J105" s="384"/>
      <c r="S105" s="529"/>
    </row>
    <row r="106" spans="1:26" ht="15.9" customHeight="1">
      <c r="A106" s="51"/>
      <c r="B106" s="764" t="s">
        <v>157</v>
      </c>
      <c r="C106" s="687"/>
      <c r="D106" s="687"/>
      <c r="E106" s="87"/>
      <c r="F106" s="161" t="s">
        <v>75</v>
      </c>
      <c r="G106" s="161" t="s">
        <v>76</v>
      </c>
      <c r="H106" s="418"/>
      <c r="I106" s="374" t="s">
        <v>75</v>
      </c>
      <c r="J106" s="53" t="s">
        <v>76</v>
      </c>
    </row>
    <row r="107" spans="1:26" ht="15.9" customHeight="1">
      <c r="A107" s="51"/>
      <c r="B107" s="162">
        <v>1</v>
      </c>
      <c r="C107" s="670" t="s">
        <v>69</v>
      </c>
      <c r="D107" s="671"/>
      <c r="E107" s="71"/>
      <c r="F107" s="56">
        <f>+F95</f>
        <v>178.90169649548184</v>
      </c>
      <c r="G107" s="56">
        <f>+G95</f>
        <v>1925.6978610773665</v>
      </c>
      <c r="H107" s="418"/>
      <c r="I107" s="136">
        <f>+I95</f>
        <v>1.7035012044894482</v>
      </c>
      <c r="J107" s="72">
        <f>+J95</f>
        <v>18.336486965124415</v>
      </c>
      <c r="S107" s="414"/>
      <c r="T107" s="414"/>
    </row>
    <row r="108" spans="1:26" ht="15.9" customHeight="1">
      <c r="A108" s="51"/>
      <c r="B108" s="162">
        <f>+B107+1</f>
        <v>2</v>
      </c>
      <c r="C108" s="670" t="s">
        <v>156</v>
      </c>
      <c r="D108" s="680"/>
      <c r="E108" s="71"/>
      <c r="F108" s="56">
        <f>+F104</f>
        <v>136.36817938537592</v>
      </c>
      <c r="G108" s="388">
        <f>+G104</f>
        <v>1467.8670829041866</v>
      </c>
      <c r="H108" s="418"/>
      <c r="I108" s="136">
        <f>+I104</f>
        <v>1.2984972327687672</v>
      </c>
      <c r="J108" s="72">
        <f>+J104</f>
        <v>13.977024213523011</v>
      </c>
      <c r="S108" s="414"/>
      <c r="W108" s="525"/>
    </row>
    <row r="109" spans="1:26" ht="15.9" customHeight="1">
      <c r="A109" s="77"/>
      <c r="B109" s="162">
        <f>+B108+1</f>
        <v>3</v>
      </c>
      <c r="C109" s="673" t="s">
        <v>158</v>
      </c>
      <c r="D109" s="674"/>
      <c r="E109" s="78"/>
      <c r="F109" s="54">
        <f>SUM(F107:F108)</f>
        <v>315.26987588085774</v>
      </c>
      <c r="G109" s="54">
        <f>SUM(G107:G108)</f>
        <v>3393.5649439815534</v>
      </c>
      <c r="H109" s="418"/>
      <c r="I109" s="191">
        <f>SUM(I107:I108)</f>
        <v>3.0019984372582154</v>
      </c>
      <c r="J109" s="82">
        <f>SUM(J107:J108)</f>
        <v>32.313511178647424</v>
      </c>
      <c r="S109" s="414"/>
      <c r="T109" s="414"/>
      <c r="U109" s="414"/>
      <c r="V109" s="420"/>
      <c r="W109" s="420"/>
      <c r="X109" s="420"/>
      <c r="Y109" s="414"/>
    </row>
    <row r="110" spans="1:26" ht="15.9" customHeight="1">
      <c r="A110" s="51"/>
      <c r="B110" s="675" t="s">
        <v>159</v>
      </c>
      <c r="C110" s="676"/>
      <c r="D110" s="676"/>
      <c r="E110" s="89"/>
      <c r="F110" s="161" t="s">
        <v>75</v>
      </c>
      <c r="G110" s="161" t="s">
        <v>76</v>
      </c>
      <c r="H110" s="418"/>
      <c r="I110" s="374" t="s">
        <v>75</v>
      </c>
      <c r="J110" s="53" t="s">
        <v>76</v>
      </c>
      <c r="U110" s="420"/>
    </row>
    <row r="111" spans="1:26" ht="15.9" customHeight="1">
      <c r="A111" s="51"/>
      <c r="B111" s="249">
        <v>1</v>
      </c>
      <c r="C111" s="670" t="s">
        <v>160</v>
      </c>
      <c r="D111" s="680"/>
      <c r="E111" s="83"/>
      <c r="F111" s="376"/>
      <c r="G111" s="376"/>
      <c r="H111" s="418"/>
      <c r="I111" s="381"/>
      <c r="J111" s="248"/>
    </row>
    <row r="112" spans="1:26" ht="15.9" customHeight="1">
      <c r="A112" s="51"/>
      <c r="B112" s="162">
        <f t="shared" ref="B112:B120" si="9">1+B111</f>
        <v>2</v>
      </c>
      <c r="C112" s="670" t="s">
        <v>161</v>
      </c>
      <c r="D112" s="680"/>
      <c r="E112" s="83"/>
      <c r="F112" s="376"/>
      <c r="G112" s="376"/>
      <c r="H112" s="418"/>
      <c r="I112" s="381"/>
      <c r="J112" s="248"/>
      <c r="X112" s="414"/>
      <c r="Y112" s="422"/>
    </row>
    <row r="113" spans="1:26" ht="15.9" customHeight="1">
      <c r="A113" s="51"/>
      <c r="B113" s="162">
        <f t="shared" si="9"/>
        <v>3</v>
      </c>
      <c r="C113" s="670" t="s">
        <v>162</v>
      </c>
      <c r="D113" s="680"/>
      <c r="E113" s="83"/>
      <c r="F113" s="388">
        <f>+F65*0</f>
        <v>0</v>
      </c>
      <c r="G113" s="207">
        <f>+F113*$F$6</f>
        <v>0</v>
      </c>
      <c r="H113" s="418"/>
      <c r="I113" s="156">
        <f>+F113/$J$5</f>
        <v>0</v>
      </c>
      <c r="J113" s="198">
        <f>+I113*$F$6</f>
        <v>0</v>
      </c>
      <c r="X113" s="414"/>
      <c r="Y113" s="414"/>
    </row>
    <row r="114" spans="1:26" ht="15.9" customHeight="1">
      <c r="A114" s="51"/>
      <c r="B114" s="162">
        <f t="shared" si="9"/>
        <v>4</v>
      </c>
      <c r="C114" s="670" t="s">
        <v>163</v>
      </c>
      <c r="D114" s="680"/>
      <c r="E114" s="83"/>
      <c r="F114" s="376"/>
      <c r="G114" s="376"/>
      <c r="H114" s="418"/>
      <c r="I114" s="381"/>
      <c r="J114" s="248"/>
    </row>
    <row r="115" spans="1:26" ht="15.9" customHeight="1">
      <c r="A115" s="51"/>
      <c r="B115" s="162">
        <f t="shared" si="9"/>
        <v>5</v>
      </c>
      <c r="C115" s="670" t="s">
        <v>164</v>
      </c>
      <c r="D115" s="680"/>
      <c r="E115" s="83"/>
      <c r="F115" s="376"/>
      <c r="G115" s="376"/>
      <c r="H115" s="418"/>
      <c r="I115" s="381"/>
      <c r="J115" s="248"/>
    </row>
    <row r="116" spans="1:26" ht="15.9" customHeight="1">
      <c r="A116" s="51"/>
      <c r="B116" s="162">
        <f t="shared" si="9"/>
        <v>6</v>
      </c>
      <c r="C116" s="670" t="s">
        <v>165</v>
      </c>
      <c r="D116" s="680"/>
      <c r="E116" s="83"/>
      <c r="F116" s="376"/>
      <c r="G116" s="376"/>
      <c r="H116" s="418"/>
      <c r="I116" s="381"/>
      <c r="J116" s="248"/>
    </row>
    <row r="117" spans="1:26" ht="15.9" customHeight="1">
      <c r="A117" s="51"/>
      <c r="B117" s="162">
        <f t="shared" si="9"/>
        <v>7</v>
      </c>
      <c r="C117" s="670" t="s">
        <v>166</v>
      </c>
      <c r="D117" s="680"/>
      <c r="E117" s="83"/>
      <c r="F117" s="376"/>
      <c r="G117" s="376"/>
      <c r="H117" s="418"/>
      <c r="I117" s="381"/>
      <c r="J117" s="248"/>
    </row>
    <row r="118" spans="1:26" ht="15.9" customHeight="1">
      <c r="A118" s="51"/>
      <c r="B118" s="162">
        <f t="shared" si="9"/>
        <v>8</v>
      </c>
      <c r="C118" s="670" t="s">
        <v>167</v>
      </c>
      <c r="D118" s="671"/>
      <c r="E118" s="252"/>
      <c r="F118" s="360"/>
      <c r="G118" s="207">
        <v>654</v>
      </c>
      <c r="H118" s="418"/>
      <c r="I118" s="156">
        <f>+F118/$J$5</f>
        <v>0</v>
      </c>
      <c r="J118" s="131">
        <f>+I118*I6</f>
        <v>0</v>
      </c>
      <c r="T118" s="423"/>
    </row>
    <row r="119" spans="1:26" ht="15.9" customHeight="1">
      <c r="A119" s="51"/>
      <c r="B119" s="162">
        <f t="shared" si="9"/>
        <v>9</v>
      </c>
      <c r="C119" s="670" t="s">
        <v>168</v>
      </c>
      <c r="D119" s="680"/>
      <c r="E119" s="252"/>
      <c r="F119" s="90"/>
      <c r="G119" s="90">
        <f>G118*7%</f>
        <v>45.78</v>
      </c>
      <c r="H119" s="418"/>
      <c r="I119" s="156">
        <f>+F119/$J$5</f>
        <v>0</v>
      </c>
      <c r="J119" s="131">
        <f>+I119*I6</f>
        <v>0</v>
      </c>
    </row>
    <row r="120" spans="1:26" ht="15.9" customHeight="1">
      <c r="A120" s="77"/>
      <c r="B120" s="162">
        <f t="shared" si="9"/>
        <v>10</v>
      </c>
      <c r="C120" s="673" t="s">
        <v>169</v>
      </c>
      <c r="D120" s="674"/>
      <c r="E120" s="253"/>
      <c r="F120" s="54">
        <f>SUM(F111:F119)</f>
        <v>0</v>
      </c>
      <c r="G120" s="385">
        <f>SUM(G111:G119)</f>
        <v>699.78</v>
      </c>
      <c r="H120" s="418"/>
      <c r="I120" s="191">
        <f>SUM(I111:I119)</f>
        <v>0</v>
      </c>
      <c r="J120" s="82">
        <f>G120/$J$5</f>
        <v>6.6633022281470193</v>
      </c>
      <c r="S120" s="414"/>
      <c r="T120" s="414"/>
      <c r="U120" s="414"/>
    </row>
    <row r="121" spans="1:26" ht="15.9" customHeight="1">
      <c r="A121" s="77"/>
      <c r="B121" s="162"/>
      <c r="C121" s="678"/>
      <c r="D121" s="679"/>
      <c r="E121" s="78"/>
      <c r="F121" s="54"/>
      <c r="G121" s="385"/>
      <c r="H121" s="418"/>
      <c r="I121" s="191"/>
      <c r="J121" s="82"/>
      <c r="U121" s="421"/>
      <c r="X121" s="420"/>
      <c r="Y121" s="420"/>
      <c r="Z121" s="420"/>
    </row>
    <row r="122" spans="1:26" ht="15.9" customHeight="1">
      <c r="A122" s="77"/>
      <c r="B122" s="675" t="s">
        <v>170</v>
      </c>
      <c r="C122" s="676"/>
      <c r="D122" s="676"/>
      <c r="E122" s="89"/>
      <c r="F122" s="161" t="s">
        <v>75</v>
      </c>
      <c r="G122" s="161" t="s">
        <v>76</v>
      </c>
      <c r="H122" s="418"/>
      <c r="I122" s="374" t="s">
        <v>75</v>
      </c>
      <c r="J122" s="53" t="s">
        <v>76</v>
      </c>
      <c r="T122" s="420"/>
      <c r="U122" s="420"/>
    </row>
    <row r="123" spans="1:26" ht="15.9" customHeight="1">
      <c r="A123" s="77"/>
      <c r="B123" s="251">
        <v>1</v>
      </c>
      <c r="C123" s="670" t="s">
        <v>171</v>
      </c>
      <c r="D123" s="680"/>
      <c r="E123" s="78"/>
      <c r="F123" s="54"/>
      <c r="G123" s="385"/>
      <c r="H123" s="418"/>
      <c r="I123" s="191"/>
      <c r="J123" s="82"/>
    </row>
    <row r="124" spans="1:26" ht="15.9" customHeight="1">
      <c r="A124" s="77"/>
      <c r="B124" s="162">
        <v>2</v>
      </c>
      <c r="C124" s="673" t="s">
        <v>172</v>
      </c>
      <c r="D124" s="674"/>
      <c r="E124" s="78"/>
      <c r="F124" s="54">
        <f>SUM(F123)</f>
        <v>0</v>
      </c>
      <c r="G124" s="385">
        <f>SUM(G123)</f>
        <v>0</v>
      </c>
      <c r="H124" s="418"/>
      <c r="I124" s="191">
        <f>SUM(I123)</f>
        <v>0</v>
      </c>
      <c r="J124" s="82">
        <f>SUM(J123)</f>
        <v>0</v>
      </c>
    </row>
    <row r="125" spans="1:26" ht="15.9" customHeight="1">
      <c r="A125" s="77"/>
      <c r="B125" s="162"/>
      <c r="C125" s="678"/>
      <c r="D125" s="679"/>
      <c r="E125" s="63"/>
      <c r="F125" s="54"/>
      <c r="G125" s="385"/>
      <c r="H125" s="418"/>
      <c r="I125" s="132"/>
      <c r="J125" s="55"/>
    </row>
    <row r="126" spans="1:26" ht="15.9" customHeight="1">
      <c r="A126" s="77"/>
      <c r="B126" s="675" t="s">
        <v>173</v>
      </c>
      <c r="C126" s="676"/>
      <c r="D126" s="676"/>
      <c r="E126" s="89"/>
      <c r="F126" s="161" t="s">
        <v>75</v>
      </c>
      <c r="G126" s="161" t="s">
        <v>76</v>
      </c>
      <c r="H126" s="418"/>
      <c r="I126" s="374" t="s">
        <v>75</v>
      </c>
      <c r="J126" s="53" t="s">
        <v>76</v>
      </c>
    </row>
    <row r="127" spans="1:26" ht="15.9" customHeight="1">
      <c r="A127" s="77"/>
      <c r="B127" s="249">
        <v>1</v>
      </c>
      <c r="C127" s="670" t="s">
        <v>174</v>
      </c>
      <c r="D127" s="680"/>
      <c r="E127" s="250"/>
      <c r="F127" s="385"/>
      <c r="G127" s="385"/>
      <c r="H127" s="418"/>
      <c r="I127" s="383"/>
      <c r="J127" s="55"/>
    </row>
    <row r="128" spans="1:26" ht="15.9" customHeight="1">
      <c r="A128" s="77"/>
      <c r="B128" s="251">
        <f>1+B127</f>
        <v>2</v>
      </c>
      <c r="C128" s="670" t="s">
        <v>175</v>
      </c>
      <c r="D128" s="680"/>
      <c r="E128" s="250"/>
      <c r="F128" s="385"/>
      <c r="G128" s="385"/>
      <c r="H128" s="418"/>
      <c r="I128" s="383"/>
      <c r="J128" s="55"/>
    </row>
    <row r="129" spans="1:20" ht="15.9" customHeight="1">
      <c r="A129" s="77"/>
      <c r="B129" s="251">
        <f>1+B128</f>
        <v>3</v>
      </c>
      <c r="C129" s="670" t="s">
        <v>176</v>
      </c>
      <c r="D129" s="680"/>
      <c r="E129" s="250"/>
      <c r="F129" s="385"/>
      <c r="G129" s="385"/>
      <c r="H129" s="418"/>
      <c r="I129" s="383"/>
      <c r="J129" s="55"/>
    </row>
    <row r="130" spans="1:20" ht="15.9" customHeight="1">
      <c r="A130" s="77"/>
      <c r="B130" s="251">
        <f>1+B129</f>
        <v>4</v>
      </c>
      <c r="C130" s="670" t="s">
        <v>177</v>
      </c>
      <c r="D130" s="680"/>
      <c r="E130" s="250"/>
      <c r="F130" s="385"/>
      <c r="G130" s="385"/>
      <c r="H130" s="418"/>
      <c r="I130" s="383"/>
      <c r="J130" s="55"/>
    </row>
    <row r="131" spans="1:20" ht="15.9" customHeight="1">
      <c r="A131" s="77"/>
      <c r="B131" s="251">
        <f>1+B130</f>
        <v>5</v>
      </c>
      <c r="C131" s="670" t="s">
        <v>178</v>
      </c>
      <c r="D131" s="680"/>
      <c r="E131" s="250"/>
      <c r="F131" s="385"/>
      <c r="G131" s="385"/>
      <c r="H131" s="418"/>
      <c r="I131" s="383"/>
      <c r="J131" s="55"/>
    </row>
    <row r="132" spans="1:20" ht="15.9" customHeight="1">
      <c r="A132" s="77"/>
      <c r="B132" s="251">
        <f>1+B131</f>
        <v>6</v>
      </c>
      <c r="C132" s="670" t="s">
        <v>179</v>
      </c>
      <c r="D132" s="680"/>
      <c r="E132" s="250"/>
      <c r="F132" s="385"/>
      <c r="G132" s="385"/>
      <c r="H132" s="418"/>
      <c r="I132" s="383"/>
      <c r="J132" s="55"/>
    </row>
    <row r="133" spans="1:20" ht="15.9" customHeight="1">
      <c r="A133" s="77"/>
      <c r="B133" s="381">
        <v>7</v>
      </c>
      <c r="C133" s="673" t="s">
        <v>180</v>
      </c>
      <c r="D133" s="674"/>
      <c r="E133" s="250"/>
      <c r="F133" s="385">
        <f>SUM(F127:F132)</f>
        <v>0</v>
      </c>
      <c r="G133" s="385">
        <f>SUM(G127:G132)</f>
        <v>0</v>
      </c>
      <c r="H133" s="418"/>
      <c r="I133" s="383">
        <f>SUM(I127:I132)</f>
        <v>0</v>
      </c>
      <c r="J133" s="55">
        <f>SUM(J127:J132)</f>
        <v>0</v>
      </c>
    </row>
    <row r="134" spans="1:20" ht="15.9" customHeight="1">
      <c r="A134" s="77"/>
      <c r="B134" s="162"/>
      <c r="C134" s="712"/>
      <c r="D134" s="679"/>
      <c r="E134" s="250"/>
      <c r="F134" s="385"/>
      <c r="G134" s="385"/>
      <c r="H134" s="418"/>
      <c r="I134" s="383"/>
      <c r="J134" s="55"/>
    </row>
    <row r="135" spans="1:20" ht="15.9" customHeight="1">
      <c r="A135" s="51"/>
      <c r="B135" s="675" t="s">
        <v>181</v>
      </c>
      <c r="C135" s="676"/>
      <c r="D135" s="676"/>
      <c r="E135" s="89"/>
      <c r="F135" s="161" t="s">
        <v>75</v>
      </c>
      <c r="G135" s="161" t="s">
        <v>76</v>
      </c>
      <c r="H135" s="418"/>
      <c r="I135" s="374" t="s">
        <v>75</v>
      </c>
      <c r="J135" s="53" t="s">
        <v>76</v>
      </c>
    </row>
    <row r="136" spans="1:20" ht="15.9" customHeight="1">
      <c r="A136" s="77"/>
      <c r="B136" s="162">
        <v>1</v>
      </c>
      <c r="C136" s="673" t="s">
        <v>182</v>
      </c>
      <c r="D136" s="674"/>
      <c r="E136" s="78"/>
      <c r="F136" s="54">
        <f>F120+F109+F124+F133</f>
        <v>315.26987588085774</v>
      </c>
      <c r="G136" s="385">
        <f>G120+G109+G124+G133</f>
        <v>4093.3449439815531</v>
      </c>
      <c r="H136" s="418"/>
      <c r="I136" s="191">
        <f>I120+I109+I124+I133</f>
        <v>3.0019984372582154</v>
      </c>
      <c r="J136" s="192">
        <f>J120+J109+J124+J133</f>
        <v>38.976813406794442</v>
      </c>
      <c r="S136" s="422"/>
      <c r="T136" s="420"/>
    </row>
    <row r="137" spans="1:20" ht="15.9" customHeight="1">
      <c r="A137" s="77"/>
      <c r="B137" s="162"/>
      <c r="C137" s="678"/>
      <c r="D137" s="679"/>
      <c r="E137" s="78"/>
      <c r="F137" s="54"/>
      <c r="G137" s="385"/>
      <c r="H137" s="418"/>
      <c r="I137" s="132"/>
      <c r="J137" s="55"/>
    </row>
    <row r="138" spans="1:20" ht="15.9" customHeight="1">
      <c r="A138" s="77"/>
      <c r="B138" s="381"/>
      <c r="C138" s="380"/>
      <c r="D138" s="377"/>
      <c r="E138" s="167"/>
      <c r="F138" s="678" t="s">
        <v>73</v>
      </c>
      <c r="G138" s="712"/>
      <c r="H138" s="418"/>
      <c r="I138" s="713" t="s">
        <v>67</v>
      </c>
      <c r="J138" s="714"/>
    </row>
    <row r="139" spans="1:20" ht="15.9" hidden="1" customHeight="1">
      <c r="A139" s="51"/>
      <c r="B139" s="675" t="s">
        <v>183</v>
      </c>
      <c r="C139" s="676"/>
      <c r="D139" s="677"/>
      <c r="E139" s="161"/>
      <c r="F139" s="161" t="s">
        <v>75</v>
      </c>
      <c r="G139" s="161" t="s">
        <v>76</v>
      </c>
      <c r="H139" s="418"/>
      <c r="I139" s="374" t="s">
        <v>75</v>
      </c>
      <c r="J139" s="53" t="s">
        <v>76</v>
      </c>
    </row>
    <row r="140" spans="1:20" ht="15.9" hidden="1" customHeight="1">
      <c r="A140" s="51"/>
      <c r="B140" s="91"/>
      <c r="C140" s="681"/>
      <c r="D140" s="682"/>
      <c r="E140" s="163"/>
      <c r="F140" s="54"/>
      <c r="G140" s="385"/>
      <c r="H140" s="418"/>
      <c r="I140" s="132"/>
      <c r="J140" s="55"/>
    </row>
    <row r="141" spans="1:20" ht="15.9" hidden="1" customHeight="1">
      <c r="A141" s="51"/>
      <c r="B141" s="91"/>
      <c r="C141" s="670" t="s">
        <v>184</v>
      </c>
      <c r="D141" s="671"/>
      <c r="E141" s="58"/>
      <c r="F141" s="243">
        <f>F21</f>
        <v>9515</v>
      </c>
      <c r="G141" s="244">
        <f>F141/F6</f>
        <v>883.96506874767749</v>
      </c>
      <c r="H141" s="426"/>
      <c r="I141" s="241">
        <f>I21</f>
        <v>9515</v>
      </c>
      <c r="J141" s="242">
        <f>I141/I6</f>
        <v>883.96506874767749</v>
      </c>
    </row>
    <row r="142" spans="1:20" ht="15.9" hidden="1" customHeight="1">
      <c r="A142" s="51"/>
      <c r="B142" s="91"/>
      <c r="C142" s="672" t="s">
        <v>185</v>
      </c>
      <c r="D142" s="671"/>
      <c r="E142" s="59"/>
      <c r="F142" s="56">
        <f>F24</f>
        <v>0</v>
      </c>
      <c r="G142" s="388">
        <f>G24</f>
        <v>0</v>
      </c>
      <c r="H142" s="418"/>
      <c r="I142" s="133">
        <f>I24</f>
        <v>0</v>
      </c>
      <c r="J142" s="57">
        <f>J24</f>
        <v>0</v>
      </c>
    </row>
    <row r="143" spans="1:20" ht="15.9" hidden="1" customHeight="1">
      <c r="A143" s="51"/>
      <c r="B143" s="91"/>
      <c r="C143" s="672" t="s">
        <v>186</v>
      </c>
      <c r="D143" s="671"/>
      <c r="E143" s="73"/>
      <c r="F143" s="56" t="e">
        <f>+#REF!</f>
        <v>#REF!</v>
      </c>
      <c r="G143" s="388" t="e">
        <f>+#REF!</f>
        <v>#REF!</v>
      </c>
      <c r="H143" s="418"/>
      <c r="I143" s="241" t="e">
        <f>+#REF!</f>
        <v>#REF!</v>
      </c>
      <c r="J143" s="242" t="e">
        <f>+#REF!</f>
        <v>#REF!</v>
      </c>
    </row>
    <row r="144" spans="1:20" ht="15.9" hidden="1" customHeight="1">
      <c r="A144" s="51"/>
      <c r="B144" s="91"/>
      <c r="C144" s="670" t="s">
        <v>187</v>
      </c>
      <c r="D144" s="671"/>
      <c r="E144" s="73"/>
      <c r="F144" s="56">
        <f>F109</f>
        <v>315.26987588085774</v>
      </c>
      <c r="G144" s="388">
        <f>+G109</f>
        <v>3393.5649439815534</v>
      </c>
      <c r="H144" s="418"/>
      <c r="I144" s="133">
        <f>I109</f>
        <v>3.0019984372582154</v>
      </c>
      <c r="J144" s="72">
        <f>+J109</f>
        <v>32.313511178647424</v>
      </c>
    </row>
    <row r="145" spans="1:10" ht="15.9" hidden="1" customHeight="1">
      <c r="A145" s="51"/>
      <c r="B145" s="91"/>
      <c r="C145" s="700" t="s">
        <v>188</v>
      </c>
      <c r="D145" s="701"/>
      <c r="E145" s="92"/>
      <c r="F145" s="93">
        <f>F120</f>
        <v>0</v>
      </c>
      <c r="G145" s="208">
        <f>G120</f>
        <v>699.78</v>
      </c>
      <c r="H145" s="418"/>
      <c r="I145" s="141">
        <f>I120</f>
        <v>0</v>
      </c>
      <c r="J145" s="130">
        <f>J120</f>
        <v>6.6633022281470193</v>
      </c>
    </row>
    <row r="146" spans="1:10" ht="15.9" hidden="1" customHeight="1">
      <c r="A146" s="77"/>
      <c r="B146" s="162"/>
      <c r="C146" s="673" t="s">
        <v>189</v>
      </c>
      <c r="D146" s="674"/>
      <c r="E146" s="78"/>
      <c r="F146" s="245" t="e">
        <f>F136*#REF!</f>
        <v>#REF!</v>
      </c>
      <c r="G146" s="246" t="e">
        <f>G136*#REF!</f>
        <v>#REF!</v>
      </c>
      <c r="H146" s="418"/>
      <c r="I146" s="132" t="e">
        <f>I136*#REF!</f>
        <v>#REF!</v>
      </c>
      <c r="J146" s="55" t="e">
        <f>J136*#REF!</f>
        <v>#REF!</v>
      </c>
    </row>
    <row r="147" spans="1:10" ht="15.9" customHeight="1">
      <c r="A147" s="51"/>
      <c r="B147" s="94"/>
      <c r="C147" s="95"/>
      <c r="D147" s="51"/>
      <c r="E147" s="96"/>
      <c r="F147" s="97"/>
      <c r="G147" s="97"/>
      <c r="H147" s="418"/>
      <c r="I147" s="142"/>
      <c r="J147" s="98"/>
    </row>
    <row r="148" spans="1:10" ht="15.9" customHeight="1">
      <c r="A148" s="77"/>
      <c r="B148" s="675" t="s">
        <v>190</v>
      </c>
      <c r="C148" s="676"/>
      <c r="D148" s="677"/>
      <c r="E148" s="379"/>
      <c r="F148" s="379" t="s">
        <v>191</v>
      </c>
      <c r="G148" s="161" t="s">
        <v>191</v>
      </c>
      <c r="H148" s="418"/>
      <c r="I148" s="382" t="s">
        <v>67</v>
      </c>
      <c r="J148" s="53" t="s">
        <v>67</v>
      </c>
    </row>
    <row r="149" spans="1:10" ht="15.9" customHeight="1">
      <c r="A149" s="51"/>
      <c r="B149" s="99"/>
      <c r="C149" s="681"/>
      <c r="D149" s="682"/>
      <c r="E149" s="100"/>
      <c r="F149" s="101"/>
      <c r="G149" s="209"/>
      <c r="H149" s="418"/>
      <c r="I149" s="143"/>
      <c r="J149" s="102"/>
    </row>
    <row r="150" spans="1:10" ht="15.9" customHeight="1">
      <c r="A150" s="51"/>
      <c r="B150" s="99"/>
      <c r="C150" s="672" t="s">
        <v>192</v>
      </c>
      <c r="D150" s="671"/>
      <c r="E150" s="100"/>
      <c r="F150" s="101">
        <f>(+F64/(1+L1))*115%</f>
        <v>1414285.8125</v>
      </c>
      <c r="G150" s="101">
        <f>+F150</f>
        <v>1414285.8125</v>
      </c>
      <c r="H150" s="418"/>
      <c r="I150" s="143">
        <f>F150/$J$5</f>
        <v>13466.823581222625</v>
      </c>
      <c r="J150" s="102">
        <f>+I150</f>
        <v>13466.823581222625</v>
      </c>
    </row>
    <row r="151" spans="1:10" ht="15.9" customHeight="1">
      <c r="A151" s="51"/>
      <c r="B151" s="99"/>
      <c r="C151" s="672" t="s">
        <v>193</v>
      </c>
      <c r="D151" s="671"/>
      <c r="E151" s="100"/>
      <c r="F151" s="101">
        <v>0</v>
      </c>
      <c r="G151" s="209">
        <v>0</v>
      </c>
      <c r="H151" s="418"/>
      <c r="I151" s="143">
        <v>0</v>
      </c>
      <c r="J151" s="102">
        <v>0</v>
      </c>
    </row>
    <row r="152" spans="1:10" ht="15.9" customHeight="1">
      <c r="A152" s="51"/>
      <c r="B152" s="99"/>
      <c r="C152" s="672" t="s">
        <v>194</v>
      </c>
      <c r="D152" s="671"/>
      <c r="E152" s="100"/>
      <c r="F152" s="101">
        <f>(+F66/(1+L1))*115%</f>
        <v>192024.8346192516</v>
      </c>
      <c r="G152" s="209">
        <f>+F152</f>
        <v>192024.8346192516</v>
      </c>
      <c r="H152" s="418"/>
      <c r="I152" s="143">
        <f>F152/$J$5</f>
        <v>1828.4596707222588</v>
      </c>
      <c r="J152" s="102">
        <f>+I152</f>
        <v>1828.4596707222588</v>
      </c>
    </row>
    <row r="153" spans="1:10" ht="15.9" customHeight="1">
      <c r="A153" s="51"/>
      <c r="B153" s="99"/>
      <c r="C153" s="672" t="s">
        <v>195</v>
      </c>
      <c r="D153" s="671"/>
      <c r="E153" s="100"/>
      <c r="F153" s="101">
        <f>(+F67/(1+L1))*115%</f>
        <v>0</v>
      </c>
      <c r="G153" s="209">
        <f>+F153</f>
        <v>0</v>
      </c>
      <c r="H153" s="418"/>
      <c r="I153" s="143">
        <f>F153/J5</f>
        <v>0</v>
      </c>
      <c r="J153" s="102">
        <f>G153/J5</f>
        <v>0</v>
      </c>
    </row>
    <row r="154" spans="1:10" ht="15.9" customHeight="1">
      <c r="A154" s="51"/>
      <c r="B154" s="99"/>
      <c r="C154" s="670" t="s">
        <v>196</v>
      </c>
      <c r="D154" s="671"/>
      <c r="E154" s="103"/>
      <c r="F154" s="104">
        <f>SUM(F150:F153)</f>
        <v>1606310.6471192515</v>
      </c>
      <c r="G154" s="210">
        <f>SUM(G150:G153)</f>
        <v>1606310.6471192515</v>
      </c>
      <c r="H154" s="418"/>
      <c r="I154" s="523">
        <f>SUM(I150:I153)</f>
        <v>15295.283251944884</v>
      </c>
      <c r="J154" s="524">
        <f>SUM(J150:J153)</f>
        <v>15295.283251944884</v>
      </c>
    </row>
    <row r="155" spans="1:10" ht="15.9" customHeight="1">
      <c r="A155" s="51"/>
      <c r="B155" s="99"/>
      <c r="C155" s="670" t="s">
        <v>197</v>
      </c>
      <c r="D155" s="671"/>
      <c r="E155" s="105"/>
      <c r="F155" s="101">
        <f>+F154*12</f>
        <v>19275727.765431017</v>
      </c>
      <c r="G155" s="209">
        <f>+G154*12</f>
        <v>19275727.765431017</v>
      </c>
      <c r="H155" s="418"/>
      <c r="I155" s="143">
        <f>+I154*12</f>
        <v>183543.3990233386</v>
      </c>
      <c r="J155" s="102">
        <f>+J154*12</f>
        <v>183543.3990233386</v>
      </c>
    </row>
    <row r="156" spans="1:10" ht="15.9" customHeight="1">
      <c r="A156" s="51"/>
      <c r="B156" s="99"/>
      <c r="C156" s="681"/>
      <c r="D156" s="682"/>
      <c r="E156" s="105"/>
      <c r="F156" s="101"/>
      <c r="G156" s="209"/>
      <c r="H156" s="418"/>
      <c r="I156" s="143"/>
      <c r="J156" s="102"/>
    </row>
    <row r="157" spans="1:10" ht="15.9" customHeight="1">
      <c r="A157" s="51"/>
      <c r="B157" s="675" t="s">
        <v>198</v>
      </c>
      <c r="C157" s="676"/>
      <c r="D157" s="677"/>
      <c r="E157" s="375"/>
      <c r="F157" s="379" t="s">
        <v>191</v>
      </c>
      <c r="G157" s="161" t="s">
        <v>191</v>
      </c>
      <c r="H157" s="418"/>
      <c r="I157" s="382" t="s">
        <v>67</v>
      </c>
      <c r="J157" s="53" t="s">
        <v>67</v>
      </c>
    </row>
    <row r="158" spans="1:10" ht="15.9" customHeight="1">
      <c r="A158" s="51"/>
      <c r="B158" s="99"/>
      <c r="C158" s="681"/>
      <c r="D158" s="682"/>
      <c r="E158" s="105"/>
      <c r="F158" s="101"/>
      <c r="G158" s="209"/>
      <c r="H158" s="418"/>
      <c r="I158" s="143"/>
      <c r="J158" s="102"/>
    </row>
    <row r="159" spans="1:10" ht="15.9" customHeight="1">
      <c r="A159" s="51"/>
      <c r="B159" s="99"/>
      <c r="C159" s="698" t="s">
        <v>199</v>
      </c>
      <c r="D159" s="699"/>
      <c r="E159" s="105"/>
      <c r="F159" s="101">
        <f t="shared" ref="F159:G161" si="10">+F78</f>
        <v>14000000</v>
      </c>
      <c r="G159" s="209">
        <f t="shared" si="10"/>
        <v>14000000</v>
      </c>
      <c r="H159" s="233"/>
      <c r="I159" s="143">
        <f t="shared" ref="I159:J161" si="11">+I78</f>
        <v>133307.94134450582</v>
      </c>
      <c r="J159" s="102">
        <f t="shared" si="11"/>
        <v>133307.94134450582</v>
      </c>
    </row>
    <row r="160" spans="1:10" ht="15.9" customHeight="1">
      <c r="A160" s="51"/>
      <c r="B160" s="99"/>
      <c r="C160" s="670" t="s">
        <v>200</v>
      </c>
      <c r="D160" s="680"/>
      <c r="E160" s="105"/>
      <c r="F160" s="101">
        <f t="shared" si="10"/>
        <v>43000000</v>
      </c>
      <c r="G160" s="209">
        <f t="shared" si="10"/>
        <v>43000000</v>
      </c>
      <c r="H160" s="233"/>
      <c r="I160" s="143">
        <f t="shared" si="11"/>
        <v>409445.81984383927</v>
      </c>
      <c r="J160" s="102">
        <f t="shared" si="11"/>
        <v>4407274.8047990855</v>
      </c>
    </row>
    <row r="161" spans="1:22" ht="15.9" customHeight="1">
      <c r="A161" s="51"/>
      <c r="B161" s="99"/>
      <c r="C161" s="670" t="s">
        <v>201</v>
      </c>
      <c r="D161" s="680"/>
      <c r="E161" s="105"/>
      <c r="F161" s="101">
        <f t="shared" si="10"/>
        <v>2500000</v>
      </c>
      <c r="G161" s="209">
        <f t="shared" si="10"/>
        <v>2500000</v>
      </c>
      <c r="H161" s="233"/>
      <c r="I161" s="143">
        <f t="shared" si="11"/>
        <v>23804.989525804609</v>
      </c>
      <c r="J161" s="102">
        <f t="shared" si="11"/>
        <v>256236.9072557608</v>
      </c>
    </row>
    <row r="162" spans="1:22" ht="15.9" customHeight="1">
      <c r="A162" s="51"/>
      <c r="B162" s="99"/>
      <c r="C162" s="673" t="s">
        <v>29</v>
      </c>
      <c r="D162" s="674"/>
      <c r="E162" s="105"/>
      <c r="F162" s="237">
        <f>SUM(F159:F161)</f>
        <v>59500000</v>
      </c>
      <c r="G162" s="237">
        <f>SUM(G159:G161)</f>
        <v>59500000</v>
      </c>
      <c r="H162" s="238"/>
      <c r="I162" s="239">
        <f>SUM(I159:I161)</f>
        <v>566558.75071414968</v>
      </c>
      <c r="J162" s="110">
        <f>SUM(J159:J161)</f>
        <v>4796819.653399352</v>
      </c>
    </row>
    <row r="163" spans="1:22" ht="15.9" customHeight="1">
      <c r="A163" s="51"/>
      <c r="B163" s="99"/>
      <c r="C163" s="681"/>
      <c r="D163" s="682"/>
      <c r="E163" s="105"/>
      <c r="F163" s="101"/>
      <c r="G163" s="209"/>
      <c r="H163" s="418"/>
      <c r="I163" s="143"/>
      <c r="J163" s="102"/>
    </row>
    <row r="164" spans="1:22" ht="15.9" customHeight="1">
      <c r="A164" s="106"/>
      <c r="B164" s="692" t="s">
        <v>202</v>
      </c>
      <c r="C164" s="693"/>
      <c r="D164" s="694"/>
      <c r="E164" s="763"/>
      <c r="F164" s="161" t="s">
        <v>75</v>
      </c>
      <c r="G164" s="161" t="s">
        <v>76</v>
      </c>
      <c r="H164" s="418"/>
      <c r="I164" s="374" t="s">
        <v>75</v>
      </c>
      <c r="J164" s="53" t="s">
        <v>76</v>
      </c>
    </row>
    <row r="165" spans="1:22" ht="15.9" customHeight="1">
      <c r="A165" s="106"/>
      <c r="B165" s="695"/>
      <c r="C165" s="696"/>
      <c r="D165" s="697"/>
      <c r="E165" s="685"/>
      <c r="F165" s="161" t="s">
        <v>73</v>
      </c>
      <c r="G165" s="161" t="s">
        <v>73</v>
      </c>
      <c r="H165" s="418"/>
      <c r="I165" s="374" t="s">
        <v>67</v>
      </c>
      <c r="J165" s="53" t="s">
        <v>67</v>
      </c>
    </row>
    <row r="166" spans="1:22" ht="15.9" customHeight="1">
      <c r="A166" s="107"/>
      <c r="B166" s="99"/>
      <c r="C166" s="681"/>
      <c r="D166" s="682"/>
      <c r="E166" s="59"/>
      <c r="F166" s="56"/>
      <c r="G166" s="388"/>
      <c r="H166" s="418"/>
      <c r="I166" s="133"/>
      <c r="J166" s="57"/>
    </row>
    <row r="167" spans="1:22" ht="15.9" customHeight="1">
      <c r="A167" s="107"/>
      <c r="B167" s="99"/>
      <c r="C167" s="683" t="str">
        <f>+C107</f>
        <v>Net Rent I</v>
      </c>
      <c r="D167" s="684"/>
      <c r="E167" s="59"/>
      <c r="F167" s="56">
        <f>+F107</f>
        <v>178.90169649548184</v>
      </c>
      <c r="G167" s="388">
        <f>+G107</f>
        <v>1925.6978610773665</v>
      </c>
      <c r="H167" s="418"/>
      <c r="I167" s="136">
        <f>+I107</f>
        <v>1.7035012044894482</v>
      </c>
      <c r="J167" s="67">
        <f>+J107</f>
        <v>18.336486965124415</v>
      </c>
      <c r="T167" s="423"/>
    </row>
    <row r="168" spans="1:22" ht="15.9" customHeight="1">
      <c r="A168" s="107"/>
      <c r="B168" s="99"/>
      <c r="C168" s="683" t="str">
        <f>+C108</f>
        <v>Net Rent II</v>
      </c>
      <c r="D168" s="684"/>
      <c r="E168" s="59"/>
      <c r="F168" s="56">
        <f>+F108</f>
        <v>136.36817938537592</v>
      </c>
      <c r="G168" s="388">
        <f>+G108</f>
        <v>1467.8670829041866</v>
      </c>
      <c r="H168" s="418"/>
      <c r="I168" s="136">
        <f>+I108</f>
        <v>1.2984972327687672</v>
      </c>
      <c r="J168" s="67">
        <f>+J108</f>
        <v>13.977024213523011</v>
      </c>
      <c r="T168" s="423"/>
    </row>
    <row r="169" spans="1:22" ht="15.9" customHeight="1">
      <c r="A169" s="107"/>
      <c r="B169" s="147"/>
      <c r="C169" s="688" t="s">
        <v>203</v>
      </c>
      <c r="D169" s="689"/>
      <c r="E169" s="148"/>
      <c r="F169" s="149">
        <f>SUM(F167:F168)</f>
        <v>315.26987588085774</v>
      </c>
      <c r="G169" s="211">
        <f>SUM(G167:G168)</f>
        <v>3393.5649439815534</v>
      </c>
      <c r="H169" s="212"/>
      <c r="I169" s="234">
        <f>SUM(I167:I168)</f>
        <v>3.0019984372582154</v>
      </c>
      <c r="J169" s="214">
        <f>SUM(J167:J168)</f>
        <v>32.313511178647424</v>
      </c>
      <c r="T169" s="423"/>
      <c r="V169" s="423"/>
    </row>
    <row r="170" spans="1:22" ht="15.9" customHeight="1">
      <c r="A170" s="107"/>
      <c r="B170" s="162"/>
      <c r="C170" s="690"/>
      <c r="D170" s="691"/>
      <c r="E170" s="75"/>
      <c r="F170" s="54"/>
      <c r="G170" s="385"/>
      <c r="H170" s="279"/>
      <c r="I170" s="191"/>
      <c r="J170" s="192"/>
      <c r="U170" s="423"/>
      <c r="V170" s="414"/>
    </row>
    <row r="171" spans="1:22" ht="15.9" customHeight="1">
      <c r="A171" s="107"/>
      <c r="B171" s="99"/>
      <c r="C171" s="683" t="str">
        <f>+C120</f>
        <v xml:space="preserve">OpEx I </v>
      </c>
      <c r="D171" s="684"/>
      <c r="E171" s="59"/>
      <c r="F171" s="56">
        <f>+F120</f>
        <v>0</v>
      </c>
      <c r="G171" s="56">
        <f>+G120</f>
        <v>699.78</v>
      </c>
      <c r="H171" s="418"/>
      <c r="I171" s="136">
        <f>F171/J5</f>
        <v>0</v>
      </c>
      <c r="J171" s="67">
        <f>G171/J5</f>
        <v>6.6633022281470193</v>
      </c>
      <c r="T171" s="423"/>
    </row>
    <row r="172" spans="1:22" ht="15.9" customHeight="1">
      <c r="A172" s="107"/>
      <c r="B172" s="99"/>
      <c r="C172" s="683" t="str">
        <f>+C124</f>
        <v xml:space="preserve">OpEx II </v>
      </c>
      <c r="D172" s="684"/>
      <c r="E172" s="59"/>
      <c r="F172" s="56">
        <f>+F124</f>
        <v>0</v>
      </c>
      <c r="G172" s="388">
        <f>+G124</f>
        <v>0</v>
      </c>
      <c r="H172" s="418"/>
      <c r="I172" s="136">
        <f>+I124</f>
        <v>0</v>
      </c>
      <c r="J172" s="67">
        <f>+J124</f>
        <v>0</v>
      </c>
    </row>
    <row r="173" spans="1:22" ht="15.9" customHeight="1">
      <c r="A173" s="107"/>
      <c r="B173" s="150"/>
      <c r="C173" s="688" t="s">
        <v>204</v>
      </c>
      <c r="D173" s="689"/>
      <c r="E173" s="151"/>
      <c r="F173" s="152">
        <f>SUM(F171:F172)</f>
        <v>0</v>
      </c>
      <c r="G173" s="278">
        <f>SUM(G171:G172)</f>
        <v>699.78</v>
      </c>
      <c r="H173" s="428"/>
      <c r="I173" s="153">
        <f>SUM(I171:I172)</f>
        <v>0</v>
      </c>
      <c r="J173" s="247">
        <f>SUM(J171:J172)</f>
        <v>6.6633022281470193</v>
      </c>
    </row>
    <row r="174" spans="1:22" ht="15.9" customHeight="1">
      <c r="A174" s="107"/>
      <c r="B174" s="99"/>
      <c r="C174" s="145"/>
      <c r="D174" s="146"/>
      <c r="E174" s="274"/>
      <c r="F174" s="275"/>
      <c r="G174" s="280"/>
      <c r="H174" s="429"/>
      <c r="I174" s="276"/>
      <c r="J174" s="277"/>
    </row>
    <row r="175" spans="1:22" ht="15.9" customHeight="1">
      <c r="A175" s="107"/>
      <c r="B175" s="99"/>
      <c r="C175" s="683" t="str">
        <f>+C133</f>
        <v xml:space="preserve">Services </v>
      </c>
      <c r="D175" s="684"/>
      <c r="E175" s="59"/>
      <c r="F175" s="56">
        <f>+F133</f>
        <v>0</v>
      </c>
      <c r="G175" s="388">
        <f>+G133</f>
        <v>0</v>
      </c>
      <c r="H175" s="418"/>
      <c r="I175" s="136">
        <f>+I133</f>
        <v>0</v>
      </c>
      <c r="J175" s="67">
        <f>+J133</f>
        <v>0</v>
      </c>
    </row>
    <row r="176" spans="1:22" ht="15.9" customHeight="1">
      <c r="A176" s="107"/>
      <c r="B176" s="150"/>
      <c r="C176" s="688" t="s">
        <v>205</v>
      </c>
      <c r="D176" s="689"/>
      <c r="E176" s="151"/>
      <c r="F176" s="152">
        <f>SUM(F175)</f>
        <v>0</v>
      </c>
      <c r="G176" s="278">
        <f>SUM(G175)</f>
        <v>0</v>
      </c>
      <c r="H176" s="428"/>
      <c r="I176" s="153">
        <f>SUM(I175)</f>
        <v>0</v>
      </c>
      <c r="J176" s="247">
        <f>SUM(J175)</f>
        <v>0</v>
      </c>
    </row>
    <row r="177" spans="1:19" ht="15.9" customHeight="1">
      <c r="A177" s="107"/>
      <c r="B177" s="99"/>
      <c r="C177" s="681"/>
      <c r="D177" s="682"/>
      <c r="E177" s="59"/>
      <c r="F177" s="56"/>
      <c r="G177" s="388"/>
      <c r="H177" s="418"/>
      <c r="I177" s="138"/>
      <c r="J177" s="72"/>
    </row>
    <row r="178" spans="1:19" ht="15.9" customHeight="1">
      <c r="A178" s="107"/>
      <c r="B178" s="150"/>
      <c r="C178" s="688" t="s">
        <v>206</v>
      </c>
      <c r="D178" s="689"/>
      <c r="E178" s="154"/>
      <c r="F178" s="149">
        <f>+F169+F173+F176</f>
        <v>315.26987588085774</v>
      </c>
      <c r="G178" s="211">
        <f>+G169+G173+G176</f>
        <v>4093.3449439815531</v>
      </c>
      <c r="H178" s="430"/>
      <c r="I178" s="234">
        <f>+I169+I173+I176</f>
        <v>3.0019984372582154</v>
      </c>
      <c r="J178" s="214">
        <f>+J169+J173+J176</f>
        <v>38.976813406794442</v>
      </c>
      <c r="S178" s="422"/>
    </row>
    <row r="179" spans="1:19" ht="15.9" customHeight="1">
      <c r="A179" s="107"/>
      <c r="B179" s="99"/>
      <c r="C179" s="145"/>
      <c r="D179" s="146"/>
      <c r="E179" s="59"/>
      <c r="F179" s="56"/>
      <c r="G179" s="388"/>
      <c r="H179" s="418"/>
      <c r="I179" s="133"/>
      <c r="J179" s="57"/>
    </row>
    <row r="180" spans="1:19" ht="15.9" customHeight="1">
      <c r="A180" s="107"/>
      <c r="B180" s="675" t="s">
        <v>207</v>
      </c>
      <c r="C180" s="676"/>
      <c r="D180" s="677"/>
      <c r="E180" s="379"/>
      <c r="F180" s="379" t="s">
        <v>191</v>
      </c>
      <c r="G180" s="161" t="s">
        <v>191</v>
      </c>
      <c r="H180" s="418"/>
      <c r="I180" s="382" t="s">
        <v>67</v>
      </c>
      <c r="J180" s="53" t="s">
        <v>67</v>
      </c>
    </row>
    <row r="181" spans="1:19" ht="15.9" customHeight="1">
      <c r="A181" s="107"/>
      <c r="B181" s="99"/>
      <c r="C181" s="681"/>
      <c r="D181" s="682"/>
      <c r="E181" s="59"/>
      <c r="F181" s="56"/>
      <c r="G181" s="388"/>
      <c r="H181" s="418"/>
      <c r="I181" s="133"/>
      <c r="J181" s="57"/>
    </row>
    <row r="182" spans="1:19" ht="15.9" customHeight="1">
      <c r="A182" s="107"/>
      <c r="B182" s="99"/>
      <c r="C182" s="672" t="s">
        <v>208</v>
      </c>
      <c r="D182" s="671"/>
      <c r="E182" s="100"/>
      <c r="F182" s="101"/>
      <c r="G182" s="209">
        <f>+G169*G21</f>
        <v>2999792.8690063623</v>
      </c>
      <c r="H182" s="418"/>
      <c r="I182" s="143"/>
      <c r="J182" s="102">
        <f>+G182/$J$5</f>
        <v>28564.015130511925</v>
      </c>
    </row>
    <row r="183" spans="1:19" ht="15.9" customHeight="1">
      <c r="A183" s="107"/>
      <c r="B183" s="99"/>
      <c r="C183" s="670" t="s">
        <v>209</v>
      </c>
      <c r="D183" s="671"/>
      <c r="E183" s="100"/>
      <c r="F183" s="101"/>
      <c r="G183" s="209">
        <f>+G173*G21</f>
        <v>618581.07580824976</v>
      </c>
      <c r="H183" s="418"/>
      <c r="I183" s="143"/>
      <c r="J183" s="102">
        <f>+G183/$J$5</f>
        <v>5890.1264121905333</v>
      </c>
    </row>
    <row r="184" spans="1:19" ht="15.9" customHeight="1">
      <c r="A184" s="107"/>
      <c r="B184" s="99"/>
      <c r="C184" s="670" t="s">
        <v>210</v>
      </c>
      <c r="D184" s="680"/>
      <c r="E184" s="100"/>
      <c r="F184" s="101"/>
      <c r="G184" s="209">
        <f>+G176*G21</f>
        <v>0</v>
      </c>
      <c r="H184" s="418"/>
      <c r="I184" s="143"/>
      <c r="J184" s="102"/>
    </row>
    <row r="185" spans="1:19" ht="15.9" customHeight="1">
      <c r="A185" s="107"/>
      <c r="B185" s="99"/>
      <c r="C185" s="670" t="s">
        <v>211</v>
      </c>
      <c r="D185" s="671"/>
      <c r="E185" s="100"/>
      <c r="F185" s="101"/>
      <c r="G185" s="209">
        <f>SUM(G182:G184)</f>
        <v>3618373.9448146122</v>
      </c>
      <c r="H185" s="418"/>
      <c r="I185" s="143"/>
      <c r="J185" s="102">
        <f>SUM(J182:J184)</f>
        <v>34454.141542702462</v>
      </c>
    </row>
    <row r="186" spans="1:19" ht="15.9" customHeight="1">
      <c r="A186" s="107"/>
      <c r="B186" s="99"/>
      <c r="C186" s="670" t="s">
        <v>212</v>
      </c>
      <c r="D186" s="671"/>
      <c r="E186" s="100"/>
      <c r="F186" s="101"/>
      <c r="G186" s="209">
        <f>+G185*12</f>
        <v>43420487.33777535</v>
      </c>
      <c r="H186" s="418"/>
      <c r="I186" s="143"/>
      <c r="J186" s="102">
        <f>+J185*12</f>
        <v>413449.69851242955</v>
      </c>
    </row>
    <row r="187" spans="1:19" ht="15.9" customHeight="1" thickBot="1">
      <c r="A187" s="107"/>
      <c r="B187" s="79"/>
      <c r="C187" s="51"/>
      <c r="D187" s="51"/>
      <c r="E187" s="108"/>
      <c r="F187" s="109"/>
      <c r="G187" s="109"/>
      <c r="H187" s="419"/>
      <c r="I187" s="235"/>
      <c r="J187" s="236"/>
    </row>
    <row r="188" spans="1:19" ht="15.9" customHeight="1" thickBot="1">
      <c r="A188" s="107"/>
      <c r="B188" s="705" t="s">
        <v>213</v>
      </c>
      <c r="C188" s="706"/>
      <c r="D188" s="706"/>
      <c r="E188" s="706"/>
      <c r="F188" s="706"/>
      <c r="G188" s="706"/>
      <c r="H188" s="706"/>
      <c r="I188" s="706"/>
      <c r="J188" s="707"/>
    </row>
    <row r="189" spans="1:19" ht="15.9" customHeight="1">
      <c r="A189" s="51"/>
      <c r="B189" s="164"/>
      <c r="C189" s="685" t="s">
        <v>214</v>
      </c>
      <c r="D189" s="685"/>
      <c r="E189" s="378"/>
      <c r="F189" s="378" t="s">
        <v>191</v>
      </c>
      <c r="G189" s="168" t="s">
        <v>191</v>
      </c>
      <c r="H189" s="702"/>
      <c r="I189" s="229" t="s">
        <v>67</v>
      </c>
      <c r="J189" s="230" t="s">
        <v>67</v>
      </c>
    </row>
    <row r="190" spans="1:19" ht="15.9" customHeight="1">
      <c r="A190" s="51"/>
      <c r="B190" s="162"/>
      <c r="C190" s="672" t="s">
        <v>215</v>
      </c>
      <c r="D190" s="671"/>
      <c r="E190" s="163"/>
      <c r="F190" s="163"/>
      <c r="G190" s="102">
        <f>+G20</f>
        <v>0</v>
      </c>
      <c r="H190" s="703"/>
      <c r="I190" s="162"/>
      <c r="J190" s="102">
        <f>+G190/J5</f>
        <v>0</v>
      </c>
    </row>
    <row r="191" spans="1:19" ht="15.9" customHeight="1">
      <c r="A191" s="51"/>
      <c r="B191" s="162"/>
      <c r="C191" s="672" t="s">
        <v>216</v>
      </c>
      <c r="D191" s="671"/>
      <c r="E191" s="163"/>
      <c r="F191" s="163"/>
      <c r="G191" s="102">
        <f>+G190*G23</f>
        <v>0</v>
      </c>
      <c r="H191" s="703"/>
      <c r="I191" s="162"/>
      <c r="J191" s="102">
        <f>+J190*J23</f>
        <v>0</v>
      </c>
    </row>
    <row r="192" spans="1:19" ht="15.9" customHeight="1">
      <c r="A192" s="51"/>
      <c r="B192" s="162"/>
      <c r="C192" s="686" t="s">
        <v>217</v>
      </c>
      <c r="D192" s="686"/>
      <c r="E192" s="163"/>
      <c r="F192" s="163"/>
      <c r="G192" s="102">
        <f>+G191*25%</f>
        <v>0</v>
      </c>
      <c r="H192" s="703"/>
      <c r="I192" s="162"/>
      <c r="J192" s="102">
        <f>+J191*25%</f>
        <v>0</v>
      </c>
    </row>
    <row r="193" spans="1:20" ht="15.9" customHeight="1">
      <c r="A193" s="51"/>
      <c r="B193" s="162"/>
      <c r="C193" s="670" t="s">
        <v>218</v>
      </c>
      <c r="D193" s="671"/>
      <c r="E193" s="163"/>
      <c r="F193" s="163"/>
      <c r="G193" s="102">
        <f>+G192*1%</f>
        <v>0</v>
      </c>
      <c r="H193" s="703"/>
      <c r="I193" s="162"/>
      <c r="J193" s="102">
        <f>G193/J5</f>
        <v>0</v>
      </c>
    </row>
    <row r="194" spans="1:20" ht="15.9" customHeight="1">
      <c r="A194" s="51"/>
      <c r="B194" s="162"/>
      <c r="C194" s="670" t="s">
        <v>219</v>
      </c>
      <c r="D194" s="671"/>
      <c r="E194" s="163"/>
      <c r="F194" s="163"/>
      <c r="G194" s="102">
        <f>G193*0.5</f>
        <v>0</v>
      </c>
      <c r="H194" s="703"/>
      <c r="I194" s="162"/>
      <c r="J194" s="102">
        <f>G194/J5</f>
        <v>0</v>
      </c>
    </row>
    <row r="195" spans="1:20" ht="15.9" customHeight="1" thickBot="1">
      <c r="A195" s="51"/>
      <c r="B195" s="162"/>
      <c r="C195" s="686" t="s">
        <v>220</v>
      </c>
      <c r="D195" s="686"/>
      <c r="E195" s="163"/>
      <c r="F195" s="163"/>
      <c r="G195" s="110">
        <f>G83</f>
        <v>512254.33034775488</v>
      </c>
      <c r="H195" s="703"/>
      <c r="I195" s="162"/>
      <c r="J195" s="110">
        <f>+J193+J194</f>
        <v>0</v>
      </c>
    </row>
    <row r="196" spans="1:20" ht="15.9" customHeight="1">
      <c r="A196" s="166"/>
      <c r="B196" s="382"/>
      <c r="C196" s="687"/>
      <c r="D196" s="687"/>
      <c r="E196" s="379"/>
      <c r="F196" s="379" t="s">
        <v>191</v>
      </c>
      <c r="G196" s="53" t="s">
        <v>191</v>
      </c>
      <c r="H196" s="703"/>
      <c r="I196" s="229" t="s">
        <v>67</v>
      </c>
      <c r="J196" s="230" t="s">
        <v>67</v>
      </c>
    </row>
    <row r="197" spans="1:20" ht="15.9" customHeight="1">
      <c r="A197" s="74"/>
      <c r="B197" s="99"/>
      <c r="C197" s="672" t="s">
        <v>221</v>
      </c>
      <c r="D197" s="671"/>
      <c r="E197" s="58"/>
      <c r="F197" s="50"/>
      <c r="G197" s="102">
        <f>+G55</f>
        <v>72</v>
      </c>
      <c r="H197" s="703"/>
      <c r="I197" s="91"/>
      <c r="J197" s="102">
        <f>+J55</f>
        <v>72</v>
      </c>
    </row>
    <row r="198" spans="1:20" ht="15.9" customHeight="1">
      <c r="A198" s="74"/>
      <c r="B198" s="99"/>
      <c r="C198" s="672" t="s">
        <v>222</v>
      </c>
      <c r="D198" s="671"/>
      <c r="E198" s="58"/>
      <c r="F198" s="50"/>
      <c r="G198" s="102">
        <f>F141</f>
        <v>9515</v>
      </c>
      <c r="H198" s="703"/>
      <c r="I198" s="91"/>
      <c r="J198" s="102">
        <f>I141</f>
        <v>9515</v>
      </c>
    </row>
    <row r="199" spans="1:20" ht="15.9" customHeight="1">
      <c r="A199" s="120"/>
      <c r="B199" s="99"/>
      <c r="C199" s="672" t="s">
        <v>223</v>
      </c>
      <c r="D199" s="671"/>
      <c r="E199" s="58"/>
      <c r="F199" s="50"/>
      <c r="G199" s="111">
        <f>+F61</f>
        <v>129.25</v>
      </c>
      <c r="H199" s="703"/>
      <c r="I199" s="91"/>
      <c r="J199" s="111">
        <f>+I61</f>
        <v>1.2307179584840984</v>
      </c>
    </row>
    <row r="200" spans="1:20" ht="15.9" customHeight="1">
      <c r="A200" s="74"/>
      <c r="B200" s="99"/>
      <c r="C200" s="672" t="s">
        <v>223</v>
      </c>
      <c r="D200" s="671"/>
      <c r="E200" s="58"/>
      <c r="F200" s="50"/>
      <c r="G200" s="102">
        <f>(G198*G199*G197)</f>
        <v>88546590</v>
      </c>
      <c r="H200" s="703"/>
      <c r="I200" s="91"/>
      <c r="J200" s="102">
        <f>+G200/$J$5</f>
        <v>843140.2589982861</v>
      </c>
    </row>
    <row r="201" spans="1:20" ht="15.9" customHeight="1">
      <c r="A201" s="74"/>
      <c r="B201" s="99"/>
      <c r="C201" s="672" t="s">
        <v>224</v>
      </c>
      <c r="D201" s="671"/>
      <c r="E201" s="58"/>
      <c r="F201" s="50"/>
      <c r="G201" s="102">
        <f>G200/G197*12</f>
        <v>14757765</v>
      </c>
      <c r="H201" s="703"/>
      <c r="I201" s="91"/>
      <c r="J201" s="102">
        <f>+G201/$J$5</f>
        <v>140523.37649971436</v>
      </c>
    </row>
    <row r="202" spans="1:20" ht="15.9" customHeight="1">
      <c r="A202" s="74"/>
      <c r="B202" s="99"/>
      <c r="C202" s="672" t="s">
        <v>225</v>
      </c>
      <c r="D202" s="671"/>
      <c r="E202" s="58"/>
      <c r="F202" s="50"/>
      <c r="G202" s="102">
        <f>(+G221*115%)/5</f>
        <v>0</v>
      </c>
      <c r="H202" s="703"/>
      <c r="I202" s="91"/>
      <c r="J202" s="102">
        <f>+G202/$J$5</f>
        <v>0</v>
      </c>
    </row>
    <row r="203" spans="1:20" ht="15.9" customHeight="1">
      <c r="A203" s="74"/>
      <c r="B203" s="99"/>
      <c r="C203" s="672" t="s">
        <v>226</v>
      </c>
      <c r="D203" s="671"/>
      <c r="E203" s="58"/>
      <c r="F203" s="50"/>
      <c r="G203" s="102">
        <f>(+I221*115%)/5</f>
        <v>2765157.6185172233</v>
      </c>
      <c r="H203" s="703"/>
      <c r="I203" s="91"/>
      <c r="J203" s="102">
        <f>+G203/$J$5</f>
        <v>26329.819258400526</v>
      </c>
    </row>
    <row r="204" spans="1:20" ht="15.9" customHeight="1">
      <c r="A204" s="74"/>
      <c r="B204" s="99"/>
      <c r="C204" s="672" t="s">
        <v>36</v>
      </c>
      <c r="D204" s="671"/>
      <c r="E204" s="58"/>
      <c r="F204" s="50"/>
      <c r="G204" s="102">
        <f>+G68</f>
        <v>11418000</v>
      </c>
      <c r="H204" s="703"/>
      <c r="I204" s="91"/>
      <c r="J204" s="102">
        <f>+G204/$J$5</f>
        <v>108722.14816225482</v>
      </c>
    </row>
    <row r="205" spans="1:20" ht="15.9" customHeight="1">
      <c r="A205" s="74"/>
      <c r="B205" s="99"/>
      <c r="C205" s="670" t="s">
        <v>227</v>
      </c>
      <c r="D205" s="671"/>
      <c r="E205" s="58"/>
      <c r="F205" s="50"/>
      <c r="G205" s="102">
        <f>(G201+G202+G203+G204)*1.18</f>
        <v>34150288.689850323</v>
      </c>
      <c r="H205" s="703"/>
      <c r="I205" s="91"/>
      <c r="J205" s="102">
        <f>+J201+J202+J203+J204</f>
        <v>275575.34392036969</v>
      </c>
    </row>
    <row r="206" spans="1:20" ht="15.9" customHeight="1">
      <c r="A206" s="74"/>
      <c r="B206" s="99"/>
      <c r="C206" s="670" t="s">
        <v>228</v>
      </c>
      <c r="D206" s="671"/>
      <c r="E206" s="58"/>
      <c r="F206" s="50"/>
      <c r="G206" s="102">
        <f>G205*1%</f>
        <v>341502.88689850323</v>
      </c>
      <c r="H206" s="703"/>
      <c r="I206" s="91"/>
      <c r="J206" s="102">
        <f>J205*1%</f>
        <v>2755.7534392036969</v>
      </c>
    </row>
    <row r="207" spans="1:20" ht="15.9" customHeight="1">
      <c r="A207" s="74"/>
      <c r="B207" s="99"/>
      <c r="C207" s="672" t="s">
        <v>229</v>
      </c>
      <c r="D207" s="671"/>
      <c r="E207" s="58"/>
      <c r="F207" s="50"/>
      <c r="G207" s="102">
        <f>G205*0.5%</f>
        <v>170751.44344925162</v>
      </c>
      <c r="H207" s="703"/>
      <c r="I207" s="91"/>
      <c r="J207" s="102">
        <f>J205*0.5%</f>
        <v>1377.8767196018484</v>
      </c>
    </row>
    <row r="208" spans="1:20" ht="15.9" customHeight="1">
      <c r="A208" s="74"/>
      <c r="B208" s="99"/>
      <c r="C208" s="673" t="s">
        <v>220</v>
      </c>
      <c r="D208" s="674"/>
      <c r="E208" s="58"/>
      <c r="F208" s="50"/>
      <c r="G208" s="102">
        <f>G206+G207</f>
        <v>512254.33034775488</v>
      </c>
      <c r="H208" s="703"/>
      <c r="I208" s="91"/>
      <c r="J208" s="102">
        <v>0</v>
      </c>
      <c r="T208" s="421"/>
    </row>
    <row r="209" spans="1:24" ht="15.9" customHeight="1">
      <c r="A209" s="51"/>
      <c r="B209" s="79"/>
      <c r="C209" s="51"/>
      <c r="D209" s="51"/>
      <c r="E209" s="80"/>
      <c r="F209" s="51"/>
      <c r="G209" s="337"/>
      <c r="H209" s="703"/>
      <c r="I209" s="94"/>
      <c r="J209" s="81"/>
    </row>
    <row r="210" spans="1:24" ht="32.25" customHeight="1">
      <c r="A210" s="51"/>
      <c r="B210" s="374" t="s">
        <v>230</v>
      </c>
      <c r="C210" s="379" t="s">
        <v>231</v>
      </c>
      <c r="D210" s="382" t="s">
        <v>232</v>
      </c>
      <c r="E210" s="112"/>
      <c r="F210" s="53" t="s">
        <v>233</v>
      </c>
      <c r="G210" s="161" t="s">
        <v>234</v>
      </c>
      <c r="H210" s="703"/>
      <c r="I210" s="379" t="s">
        <v>235</v>
      </c>
      <c r="J210" s="53" t="s">
        <v>236</v>
      </c>
    </row>
    <row r="211" spans="1:24" ht="15.9" customHeight="1">
      <c r="A211" s="51"/>
      <c r="B211" s="99">
        <v>1</v>
      </c>
      <c r="C211" s="101">
        <f>'Lease Rent'!N39</f>
        <v>9134400</v>
      </c>
      <c r="D211" s="143"/>
      <c r="E211" s="58"/>
      <c r="F211" s="284">
        <v>0</v>
      </c>
      <c r="G211" s="101">
        <v>0</v>
      </c>
      <c r="H211" s="703"/>
      <c r="I211" s="101">
        <f>'Lease Rent'!O39</f>
        <v>1178337.5999999999</v>
      </c>
      <c r="J211" s="102"/>
      <c r="S211" s="421"/>
      <c r="T211" s="420"/>
      <c r="U211" s="421"/>
      <c r="V211" s="420"/>
    </row>
    <row r="212" spans="1:24" ht="15.9" customHeight="1">
      <c r="A212" s="51"/>
      <c r="B212" s="99">
        <v>2</v>
      </c>
      <c r="C212" s="101">
        <f>'Lease Rent'!N51</f>
        <v>13701600</v>
      </c>
      <c r="D212" s="281"/>
      <c r="E212" s="58"/>
      <c r="F212" s="284">
        <f>F211</f>
        <v>0</v>
      </c>
      <c r="G212" s="101">
        <v>0</v>
      </c>
      <c r="H212" s="703"/>
      <c r="I212" s="101">
        <f>'Lease Rent'!O51</f>
        <v>1826423.2800000005</v>
      </c>
      <c r="J212" s="102"/>
      <c r="S212" s="421"/>
      <c r="T212" s="420"/>
      <c r="U212" s="421"/>
    </row>
    <row r="213" spans="1:24" ht="15.9" customHeight="1">
      <c r="A213" s="51"/>
      <c r="B213" s="99">
        <v>3</v>
      </c>
      <c r="C213" s="101">
        <f>'Lease Rent'!N63</f>
        <v>13701600</v>
      </c>
      <c r="D213" s="281"/>
      <c r="E213" s="58"/>
      <c r="F213" s="284">
        <f>F212</f>
        <v>0</v>
      </c>
      <c r="G213" s="101">
        <v>0</v>
      </c>
      <c r="H213" s="703"/>
      <c r="I213" s="101">
        <f>'Lease Rent'!O63</f>
        <v>1917744.4440000001</v>
      </c>
      <c r="J213" s="102"/>
      <c r="S213" s="421"/>
      <c r="T213" s="420"/>
      <c r="U213" s="421"/>
    </row>
    <row r="214" spans="1:24" ht="15.9" customHeight="1">
      <c r="A214" s="51"/>
      <c r="B214" s="99">
        <v>4</v>
      </c>
      <c r="C214" s="101">
        <f>'Lease Rent'!N75</f>
        <v>15243030</v>
      </c>
      <c r="D214" s="281"/>
      <c r="E214" s="58"/>
      <c r="F214" s="284">
        <f>+F213*115%</f>
        <v>0</v>
      </c>
      <c r="G214" s="101">
        <v>0</v>
      </c>
      <c r="H214" s="703"/>
      <c r="I214" s="101">
        <f>'Lease Rent'!O75</f>
        <v>2013631.6662000006</v>
      </c>
      <c r="J214" s="102"/>
      <c r="S214" s="421"/>
      <c r="T214" s="420"/>
      <c r="U214" s="421"/>
    </row>
    <row r="215" spans="1:24" ht="15.9" customHeight="1">
      <c r="A215" s="51"/>
      <c r="B215" s="99">
        <v>5</v>
      </c>
      <c r="C215" s="101">
        <f>'Lease Rent'!N87</f>
        <v>15756840</v>
      </c>
      <c r="D215" s="281"/>
      <c r="E215" s="58"/>
      <c r="F215" s="284">
        <f>+F214</f>
        <v>0</v>
      </c>
      <c r="G215" s="101">
        <v>0</v>
      </c>
      <c r="H215" s="703"/>
      <c r="I215" s="101">
        <f>'Lease Rent'!O87</f>
        <v>2114313.2495100005</v>
      </c>
      <c r="J215" s="102"/>
      <c r="S215" s="421"/>
      <c r="T215" s="420"/>
      <c r="U215" s="421"/>
    </row>
    <row r="216" spans="1:24" ht="15.9" customHeight="1">
      <c r="A216" s="51"/>
      <c r="B216" s="115">
        <v>6</v>
      </c>
      <c r="C216" s="101">
        <f>'Lease Rent'!N99</f>
        <v>15756840</v>
      </c>
      <c r="D216" s="281"/>
      <c r="E216" s="117"/>
      <c r="F216" s="284">
        <f>+F215</f>
        <v>0</v>
      </c>
      <c r="G216" s="113"/>
      <c r="H216" s="703"/>
      <c r="I216" s="101">
        <f>'Lease Rent'!O99</f>
        <v>2220028.9119855007</v>
      </c>
      <c r="J216" s="102"/>
      <c r="T216" s="420"/>
      <c r="U216" s="421"/>
    </row>
    <row r="217" spans="1:24" ht="15.9" customHeight="1">
      <c r="A217" s="51"/>
      <c r="B217" s="115">
        <v>7</v>
      </c>
      <c r="C217" s="101">
        <f>'Lease Rent'!N103</f>
        <v>5252280</v>
      </c>
      <c r="D217" s="281"/>
      <c r="E217" s="117"/>
      <c r="F217" s="284">
        <f>+F216*115%</f>
        <v>0</v>
      </c>
      <c r="G217" s="113">
        <f>'Lease Rent'!R9</f>
        <v>0</v>
      </c>
      <c r="H217" s="703"/>
      <c r="I217" s="101">
        <f>'Lease Rent'!O103</f>
        <v>751945.27664025011</v>
      </c>
      <c r="J217" s="111"/>
    </row>
    <row r="218" spans="1:24" ht="15.9" customHeight="1">
      <c r="A218" s="51"/>
      <c r="B218" s="115">
        <v>8</v>
      </c>
      <c r="C218" s="101"/>
      <c r="D218" s="282"/>
      <c r="E218" s="117"/>
      <c r="F218" s="285">
        <f>F217</f>
        <v>0</v>
      </c>
      <c r="G218" s="113">
        <f>'Lease Rent'!R10</f>
        <v>0</v>
      </c>
      <c r="H218" s="703"/>
      <c r="I218" s="301"/>
      <c r="J218" s="111"/>
    </row>
    <row r="219" spans="1:24" ht="15.9" customHeight="1">
      <c r="A219" s="51"/>
      <c r="B219" s="115">
        <v>9</v>
      </c>
      <c r="C219" s="116"/>
      <c r="D219" s="282"/>
      <c r="E219" s="117"/>
      <c r="F219" s="285">
        <f>F218</f>
        <v>0</v>
      </c>
      <c r="G219" s="118"/>
      <c r="H219" s="703"/>
      <c r="I219" s="101"/>
      <c r="J219" s="111"/>
    </row>
    <row r="220" spans="1:24" ht="15.9" customHeight="1">
      <c r="A220" s="51"/>
      <c r="B220" s="115">
        <v>10</v>
      </c>
      <c r="C220" s="116"/>
      <c r="D220" s="231"/>
      <c r="E220" s="117"/>
      <c r="F220" s="232"/>
      <c r="G220" s="118"/>
      <c r="H220" s="703"/>
      <c r="I220" s="101"/>
      <c r="J220" s="111"/>
    </row>
    <row r="221" spans="1:24" ht="15.9" customHeight="1" thickBot="1">
      <c r="A221" s="51"/>
      <c r="B221" s="119" t="s">
        <v>29</v>
      </c>
      <c r="C221" s="283">
        <f>SUM(C211:C220)</f>
        <v>88546590</v>
      </c>
      <c r="D221" s="283"/>
      <c r="E221" s="52"/>
      <c r="F221" s="283">
        <f>+AVERAGE(F211:F220)</f>
        <v>0</v>
      </c>
      <c r="G221" s="283">
        <f>SUM(G211:G220)</f>
        <v>0</v>
      </c>
      <c r="H221" s="704"/>
      <c r="I221" s="283">
        <f>SUM(I211:I220)</f>
        <v>12022424.428335754</v>
      </c>
      <c r="J221" s="283">
        <f>SUM(J211:J220)</f>
        <v>0</v>
      </c>
      <c r="S221" s="422"/>
      <c r="X221" s="422"/>
    </row>
    <row r="222" spans="1:24">
      <c r="S222" s="420"/>
    </row>
    <row r="223" spans="1:24">
      <c r="C223" s="422"/>
      <c r="D223" s="414"/>
      <c r="G223" s="422"/>
      <c r="I223" s="422"/>
    </row>
    <row r="224" spans="1:24">
      <c r="C224" s="420"/>
      <c r="D224" s="420"/>
      <c r="F224" s="421"/>
      <c r="I224" s="421"/>
    </row>
    <row r="225" spans="3:10">
      <c r="C225" s="420"/>
      <c r="D225" s="427"/>
      <c r="I225" s="420"/>
      <c r="J225" s="427"/>
    </row>
    <row r="226" spans="3:10">
      <c r="C226" s="420"/>
      <c r="I226" s="420"/>
    </row>
    <row r="227" spans="3:10">
      <c r="C227" s="422"/>
      <c r="D227" s="420"/>
      <c r="I227" s="422"/>
      <c r="J227" s="420"/>
    </row>
    <row r="228" spans="3:10">
      <c r="C228" s="420"/>
    </row>
    <row r="229" spans="3:10">
      <c r="C229" s="420"/>
    </row>
    <row r="230" spans="3:10">
      <c r="C230" s="420"/>
    </row>
    <row r="231" spans="3:10">
      <c r="C231" s="420"/>
    </row>
    <row r="232" spans="3:10">
      <c r="C232" s="420"/>
      <c r="D232" s="420"/>
      <c r="F232" s="420"/>
      <c r="I232" s="420"/>
    </row>
    <row r="233" spans="3:10">
      <c r="I233" s="420"/>
    </row>
    <row r="234" spans="3:10">
      <c r="I234" s="420"/>
      <c r="J234" s="420"/>
    </row>
  </sheetData>
  <mergeCells count="238">
    <mergeCell ref="F138:G138"/>
    <mergeCell ref="I138:J138"/>
    <mergeCell ref="C129:D129"/>
    <mergeCell ref="C109:D109"/>
    <mergeCell ref="B110:D110"/>
    <mergeCell ref="C98:D98"/>
    <mergeCell ref="C99:D99"/>
    <mergeCell ref="C89:D89"/>
    <mergeCell ref="B97:D97"/>
    <mergeCell ref="C94:D94"/>
    <mergeCell ref="C95:D95"/>
    <mergeCell ref="C132:D132"/>
    <mergeCell ref="C116:D116"/>
    <mergeCell ref="C103:D103"/>
    <mergeCell ref="C108:D108"/>
    <mergeCell ref="C87:D87"/>
    <mergeCell ref="B135:D135"/>
    <mergeCell ref="C107:D107"/>
    <mergeCell ref="C78:D78"/>
    <mergeCell ref="B86:D86"/>
    <mergeCell ref="C79:D79"/>
    <mergeCell ref="C80:D80"/>
    <mergeCell ref="C120:D120"/>
    <mergeCell ref="C104:D104"/>
    <mergeCell ref="B106:D106"/>
    <mergeCell ref="C125:D125"/>
    <mergeCell ref="C118:D118"/>
    <mergeCell ref="C115:D115"/>
    <mergeCell ref="C91:D91"/>
    <mergeCell ref="F53:G53"/>
    <mergeCell ref="F49:G49"/>
    <mergeCell ref="F50:G50"/>
    <mergeCell ref="I54:J54"/>
    <mergeCell ref="F54:G54"/>
    <mergeCell ref="E164:E165"/>
    <mergeCell ref="C111:D111"/>
    <mergeCell ref="C112:D112"/>
    <mergeCell ref="C113:D113"/>
    <mergeCell ref="C128:D128"/>
    <mergeCell ref="C124:D124"/>
    <mergeCell ref="C119:D119"/>
    <mergeCell ref="C155:D155"/>
    <mergeCell ref="C130:D130"/>
    <mergeCell ref="C131:D131"/>
    <mergeCell ref="B157:D157"/>
    <mergeCell ref="C152:D152"/>
    <mergeCell ref="C153:D153"/>
    <mergeCell ref="C154:D154"/>
    <mergeCell ref="C146:D146"/>
    <mergeCell ref="C149:D149"/>
    <mergeCell ref="C136:D136"/>
    <mergeCell ref="C137:D137"/>
    <mergeCell ref="C134:D134"/>
    <mergeCell ref="I52:J52"/>
    <mergeCell ref="I18:J18"/>
    <mergeCell ref="I51:J51"/>
    <mergeCell ref="C37:D37"/>
    <mergeCell ref="C45:D45"/>
    <mergeCell ref="C31:D31"/>
    <mergeCell ref="B32:D32"/>
    <mergeCell ref="C30:D30"/>
    <mergeCell ref="C42:D42"/>
    <mergeCell ref="C39:D39"/>
    <mergeCell ref="C40:D40"/>
    <mergeCell ref="C41:D41"/>
    <mergeCell ref="C38:D38"/>
    <mergeCell ref="F19:G19"/>
    <mergeCell ref="I19:J19"/>
    <mergeCell ref="F18:G18"/>
    <mergeCell ref="I49:J49"/>
    <mergeCell ref="I50:J50"/>
    <mergeCell ref="F52:G52"/>
    <mergeCell ref="C43:D43"/>
    <mergeCell ref="C44:D44"/>
    <mergeCell ref="C33:D33"/>
    <mergeCell ref="C34:D34"/>
    <mergeCell ref="C49:D49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C21:D21"/>
    <mergeCell ref="C28:D28"/>
    <mergeCell ref="C29:D29"/>
    <mergeCell ref="C23:D23"/>
    <mergeCell ref="C24:D24"/>
    <mergeCell ref="C26:D26"/>
    <mergeCell ref="C27:D27"/>
    <mergeCell ref="C25:D25"/>
    <mergeCell ref="C18:D18"/>
    <mergeCell ref="C19:D19"/>
    <mergeCell ref="C20:D20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35:D35"/>
    <mergeCell ref="C36:D36"/>
    <mergeCell ref="C82:D82"/>
    <mergeCell ref="C63:D63"/>
    <mergeCell ref="C64:D64"/>
    <mergeCell ref="C55:D55"/>
    <mergeCell ref="C56:D56"/>
    <mergeCell ref="C76:D76"/>
    <mergeCell ref="C77:D77"/>
    <mergeCell ref="C69:D69"/>
    <mergeCell ref="C53:D53"/>
    <mergeCell ref="C54:D54"/>
    <mergeCell ref="C57:D57"/>
    <mergeCell ref="C65:D65"/>
    <mergeCell ref="C66:D66"/>
    <mergeCell ref="C67:D67"/>
    <mergeCell ref="C68:D68"/>
    <mergeCell ref="C61:D61"/>
    <mergeCell ref="C62:D62"/>
    <mergeCell ref="C58:D58"/>
    <mergeCell ref="B60:D60"/>
    <mergeCell ref="B49:B50"/>
    <mergeCell ref="H189:H221"/>
    <mergeCell ref="C160:D160"/>
    <mergeCell ref="C22:D22"/>
    <mergeCell ref="B188:J188"/>
    <mergeCell ref="C173:D173"/>
    <mergeCell ref="C177:D177"/>
    <mergeCell ref="C178:D178"/>
    <mergeCell ref="C181:D181"/>
    <mergeCell ref="C158:D158"/>
    <mergeCell ref="C199:D199"/>
    <mergeCell ref="C176:D176"/>
    <mergeCell ref="C150:D150"/>
    <mergeCell ref="C151:D151"/>
    <mergeCell ref="F51:G51"/>
    <mergeCell ref="I53:J53"/>
    <mergeCell ref="C96:D96"/>
    <mergeCell ref="F59:G59"/>
    <mergeCell ref="I59:J59"/>
    <mergeCell ref="B122:D122"/>
    <mergeCell ref="C144:D144"/>
    <mergeCell ref="C185:D185"/>
    <mergeCell ref="C114:D114"/>
    <mergeCell ref="C51:D51"/>
    <mergeCell ref="C52:D52"/>
    <mergeCell ref="C182:D182"/>
    <mergeCell ref="C186:D186"/>
    <mergeCell ref="C169:D169"/>
    <mergeCell ref="C117:D117"/>
    <mergeCell ref="C170:D170"/>
    <mergeCell ref="C184:D184"/>
    <mergeCell ref="C171:D171"/>
    <mergeCell ref="C141:D141"/>
    <mergeCell ref="C133:D133"/>
    <mergeCell ref="C123:D123"/>
    <mergeCell ref="C172:D172"/>
    <mergeCell ref="C168:D168"/>
    <mergeCell ref="B148:D148"/>
    <mergeCell ref="B164:D165"/>
    <mergeCell ref="B126:D126"/>
    <mergeCell ref="C159:D159"/>
    <mergeCell ref="C127:D127"/>
    <mergeCell ref="C156:D156"/>
    <mergeCell ref="C145:D145"/>
    <mergeCell ref="C140:D140"/>
    <mergeCell ref="C167:D167"/>
    <mergeCell ref="C183:D183"/>
    <mergeCell ref="C206:D206"/>
    <mergeCell ref="C207:D207"/>
    <mergeCell ref="C208:D208"/>
    <mergeCell ref="C46:D46"/>
    <mergeCell ref="C47:D47"/>
    <mergeCell ref="C48:D48"/>
    <mergeCell ref="C50:D50"/>
    <mergeCell ref="C175:D175"/>
    <mergeCell ref="C198:D198"/>
    <mergeCell ref="C143:D143"/>
    <mergeCell ref="C200:D200"/>
    <mergeCell ref="C201:D201"/>
    <mergeCell ref="C202:D202"/>
    <mergeCell ref="C203:D203"/>
    <mergeCell ref="C189:D189"/>
    <mergeCell ref="C192:D192"/>
    <mergeCell ref="C195:D195"/>
    <mergeCell ref="C196:D196"/>
    <mergeCell ref="C197:D197"/>
    <mergeCell ref="C70:D70"/>
    <mergeCell ref="C71:D71"/>
    <mergeCell ref="C72:D72"/>
    <mergeCell ref="C73:D73"/>
    <mergeCell ref="C74:D74"/>
    <mergeCell ref="C205:D205"/>
    <mergeCell ref="C204:D204"/>
    <mergeCell ref="C162:D162"/>
    <mergeCell ref="B139:D139"/>
    <mergeCell ref="C142:D142"/>
    <mergeCell ref="C121:D121"/>
    <mergeCell ref="C193:D193"/>
    <mergeCell ref="C194:D194"/>
    <mergeCell ref="C81:D81"/>
    <mergeCell ref="C100:D100"/>
    <mergeCell ref="C101:D101"/>
    <mergeCell ref="C92:D92"/>
    <mergeCell ref="C93:D93"/>
    <mergeCell ref="C88:D88"/>
    <mergeCell ref="C83:D83"/>
    <mergeCell ref="C84:D84"/>
    <mergeCell ref="C90:D90"/>
    <mergeCell ref="C190:D190"/>
    <mergeCell ref="C102:D102"/>
    <mergeCell ref="C161:D161"/>
    <mergeCell ref="C191:D191"/>
    <mergeCell ref="B180:D180"/>
    <mergeCell ref="C163:D163"/>
    <mergeCell ref="C166:D166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8" max="16383" man="1"/>
    <brk id="137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topLeftCell="I8" zoomScale="112" zoomScaleNormal="112" workbookViewId="0">
      <selection activeCell="M24" sqref="M24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649"/>
      <c r="B2" s="650"/>
      <c r="C2" s="650"/>
      <c r="D2" s="650"/>
      <c r="E2" s="650"/>
      <c r="F2" s="650"/>
      <c r="G2" s="650"/>
      <c r="H2" s="650"/>
      <c r="I2" s="650"/>
      <c r="J2" s="650"/>
      <c r="K2" s="650"/>
      <c r="L2" s="650"/>
      <c r="M2" s="650"/>
      <c r="N2" s="650"/>
      <c r="O2" s="650"/>
      <c r="P2" s="650"/>
      <c r="Q2" s="650"/>
      <c r="R2" s="650"/>
      <c r="S2" s="650"/>
      <c r="T2" s="650"/>
      <c r="U2" s="650"/>
      <c r="V2" s="650"/>
      <c r="W2" s="650"/>
      <c r="X2" s="650"/>
      <c r="Y2" s="650"/>
      <c r="Z2" s="650"/>
      <c r="AA2" s="651"/>
    </row>
    <row r="3" spans="1:27" ht="11.25" customHeight="1">
      <c r="A3" s="652"/>
      <c r="B3" s="653"/>
      <c r="C3" s="653"/>
      <c r="D3" s="653"/>
      <c r="E3" s="653"/>
      <c r="F3" s="653"/>
      <c r="G3" s="653"/>
      <c r="H3" s="653"/>
      <c r="I3" s="653"/>
      <c r="J3" s="653"/>
      <c r="K3" s="653"/>
      <c r="L3" s="653"/>
      <c r="M3" s="653"/>
      <c r="N3" s="653"/>
      <c r="O3" s="653"/>
      <c r="P3" s="653"/>
      <c r="Q3" s="653"/>
      <c r="R3" s="653"/>
      <c r="S3" s="653"/>
      <c r="T3" s="653"/>
      <c r="U3" s="653"/>
      <c r="V3" s="653"/>
      <c r="W3" s="653"/>
      <c r="X3" s="653"/>
      <c r="Y3" s="653"/>
      <c r="Z3" s="653"/>
      <c r="AA3" s="654"/>
    </row>
    <row r="4" spans="1:27" ht="12" customHeight="1" thickBot="1">
      <c r="A4" s="655"/>
      <c r="B4" s="656"/>
      <c r="C4" s="656"/>
      <c r="D4" s="656"/>
      <c r="E4" s="656"/>
      <c r="F4" s="656"/>
      <c r="G4" s="656"/>
      <c r="H4" s="656"/>
      <c r="I4" s="656"/>
      <c r="J4" s="656"/>
      <c r="K4" s="656"/>
      <c r="L4" s="656"/>
      <c r="M4" s="656"/>
      <c r="N4" s="656"/>
      <c r="O4" s="656"/>
      <c r="P4" s="656"/>
      <c r="Q4" s="656"/>
      <c r="R4" s="656"/>
      <c r="S4" s="656"/>
      <c r="T4" s="656"/>
      <c r="U4" s="656"/>
      <c r="V4" s="656"/>
      <c r="W4" s="656"/>
      <c r="X4" s="656"/>
      <c r="Y4" s="656"/>
      <c r="Z4" s="656"/>
      <c r="AA4" s="657"/>
    </row>
    <row r="5" spans="1:27" ht="12.75" customHeight="1">
      <c r="A5" s="649" t="s">
        <v>0</v>
      </c>
      <c r="B5" s="650"/>
      <c r="C5" s="650"/>
      <c r="D5" s="650"/>
      <c r="E5" s="650"/>
      <c r="F5" s="650"/>
      <c r="G5" s="650"/>
      <c r="H5" s="650"/>
      <c r="I5" s="650"/>
      <c r="J5" s="650"/>
      <c r="K5" s="650"/>
      <c r="L5" s="650"/>
      <c r="M5" s="650"/>
      <c r="N5" s="650"/>
      <c r="O5" s="650"/>
      <c r="P5" s="650"/>
      <c r="Q5" s="650"/>
      <c r="R5" s="650"/>
      <c r="S5" s="650"/>
      <c r="T5" s="650"/>
      <c r="U5" s="650"/>
      <c r="V5" s="650"/>
      <c r="W5" s="650"/>
      <c r="X5" s="650"/>
      <c r="Y5" s="650"/>
      <c r="Z5" s="650"/>
      <c r="AA5" s="651"/>
    </row>
    <row r="6" spans="1:27" ht="13.5" customHeight="1">
      <c r="A6" s="658"/>
      <c r="B6" s="659"/>
      <c r="C6" s="659"/>
      <c r="D6" s="659"/>
      <c r="E6" s="659"/>
      <c r="F6" s="659"/>
      <c r="G6" s="659"/>
      <c r="H6" s="659"/>
      <c r="I6" s="659"/>
      <c r="J6" s="659"/>
      <c r="K6" s="659"/>
      <c r="L6" s="659"/>
      <c r="M6" s="659"/>
      <c r="N6" s="659"/>
      <c r="O6" s="659"/>
      <c r="P6" s="659"/>
      <c r="Q6" s="659"/>
      <c r="R6" s="659"/>
      <c r="S6" s="659"/>
      <c r="T6" s="659"/>
      <c r="U6" s="659"/>
      <c r="V6" s="659"/>
      <c r="W6" s="659"/>
      <c r="X6" s="659"/>
      <c r="Y6" s="659"/>
      <c r="Z6" s="659"/>
      <c r="AA6" s="660"/>
    </row>
    <row r="7" spans="1:27" ht="13.5" customHeight="1" thickBot="1">
      <c r="A7" s="661" t="s">
        <v>339</v>
      </c>
      <c r="B7" s="662"/>
      <c r="C7" s="662"/>
      <c r="D7" s="662"/>
      <c r="E7" s="662"/>
      <c r="F7" s="662"/>
      <c r="G7" s="662"/>
      <c r="H7" s="662"/>
      <c r="I7" s="662"/>
      <c r="J7" s="662"/>
      <c r="K7" s="662"/>
      <c r="L7" s="662"/>
      <c r="M7" s="662"/>
      <c r="N7" s="662"/>
      <c r="O7" s="662"/>
      <c r="P7" s="663"/>
      <c r="Q7" s="663"/>
      <c r="R7" s="663"/>
      <c r="S7" s="663"/>
      <c r="T7" s="663"/>
      <c r="U7" s="663"/>
      <c r="V7" s="663"/>
      <c r="W7" s="663"/>
      <c r="X7" s="663"/>
      <c r="Y7" s="663"/>
      <c r="Z7" s="663"/>
      <c r="AA7" s="664"/>
    </row>
    <row r="8" spans="1:27" ht="12.75" customHeight="1" thickBot="1">
      <c r="A8" s="665" t="s">
        <v>1</v>
      </c>
      <c r="B8" s="666"/>
      <c r="C8" s="666"/>
      <c r="D8" s="666"/>
      <c r="E8" s="666"/>
      <c r="F8" s="666"/>
      <c r="G8" s="666"/>
      <c r="H8" s="666"/>
      <c r="I8" s="666"/>
      <c r="J8" s="666"/>
      <c r="K8" s="666"/>
      <c r="L8" s="666"/>
      <c r="M8" s="666"/>
      <c r="N8" s="667"/>
      <c r="O8" s="6"/>
      <c r="P8" s="665" t="s">
        <v>2</v>
      </c>
      <c r="Q8" s="666"/>
      <c r="R8" s="666"/>
      <c r="S8" s="666"/>
      <c r="T8" s="666"/>
      <c r="U8" s="666"/>
      <c r="V8" s="666"/>
      <c r="W8" s="666"/>
      <c r="X8" s="666"/>
      <c r="Y8" s="666"/>
      <c r="Z8" s="666"/>
      <c r="AA8" s="668"/>
    </row>
    <row r="9" spans="1:27" s="215" customFormat="1" ht="45.75" customHeight="1">
      <c r="A9" s="216">
        <f>+'Rent Calculation'!B1</f>
        <v>0</v>
      </c>
      <c r="B9" s="217" t="s">
        <v>3</v>
      </c>
      <c r="C9" s="217" t="s">
        <v>4</v>
      </c>
      <c r="D9" s="217" t="s">
        <v>5</v>
      </c>
      <c r="E9" s="217" t="s">
        <v>467</v>
      </c>
      <c r="F9" s="217" t="s">
        <v>6</v>
      </c>
      <c r="G9" s="217" t="s">
        <v>7</v>
      </c>
      <c r="H9" s="218" t="s">
        <v>8</v>
      </c>
      <c r="I9" s="217" t="s">
        <v>9</v>
      </c>
      <c r="J9" s="217" t="s">
        <v>10</v>
      </c>
      <c r="K9" s="217" t="s">
        <v>11</v>
      </c>
      <c r="L9" s="218" t="s">
        <v>12</v>
      </c>
      <c r="M9" s="217" t="s">
        <v>13</v>
      </c>
      <c r="N9" s="217" t="s">
        <v>14</v>
      </c>
      <c r="O9" s="219"/>
      <c r="P9" s="220" t="s">
        <v>15</v>
      </c>
      <c r="Q9" s="221">
        <f>+'Rent Calculation'!F29</f>
        <v>0.105</v>
      </c>
      <c r="R9" s="222"/>
      <c r="S9" s="220" t="s">
        <v>16</v>
      </c>
      <c r="T9" s="223">
        <f>'Rent Calculation'!J5</f>
        <v>105.02</v>
      </c>
      <c r="U9" s="224"/>
      <c r="V9" s="225"/>
      <c r="W9" s="225"/>
      <c r="X9" s="225"/>
      <c r="Y9" s="225"/>
      <c r="Z9" s="225"/>
      <c r="AA9" s="226"/>
    </row>
    <row r="10" spans="1:27">
      <c r="A10" s="7" t="s">
        <v>17</v>
      </c>
      <c r="B10" s="8">
        <f>+'Rent Calculation'!F40</f>
        <v>120</v>
      </c>
      <c r="C10" s="8"/>
      <c r="D10" s="8">
        <f>(+'Rent Calculation'!F211*114.5%)/'Rent Calculation'!F21/12</f>
        <v>0</v>
      </c>
      <c r="E10" s="8">
        <f>+((+'Rent Calculation'!F44*'Rent Calculation'!F45)/'Rent Calculation'!F23)</f>
        <v>0</v>
      </c>
      <c r="F10" s="8">
        <f>+'Rent Calculation'!F42</f>
        <v>15.48</v>
      </c>
      <c r="G10" s="8">
        <f t="shared" ref="G10:G15" si="0">SUM(B10:F10)</f>
        <v>135.47999999999999</v>
      </c>
      <c r="H10" s="10"/>
      <c r="I10" s="10"/>
      <c r="J10" s="10"/>
      <c r="K10" s="10"/>
      <c r="L10" s="10"/>
      <c r="M10" s="10"/>
      <c r="N10" s="10"/>
      <c r="P10" s="1"/>
      <c r="Q10" s="1"/>
      <c r="R10" s="1"/>
      <c r="S10" s="1"/>
      <c r="U10" s="4"/>
      <c r="V10" s="11"/>
      <c r="W10" s="11"/>
      <c r="X10" s="11"/>
      <c r="Y10" s="11"/>
      <c r="Z10" s="11"/>
      <c r="AA10" s="12"/>
    </row>
    <row r="11" spans="1:27" ht="10.5">
      <c r="A11" s="7" t="s">
        <v>18</v>
      </c>
      <c r="B11" s="9">
        <f>+B10*'Rent Calculation'!F21</f>
        <v>1141800</v>
      </c>
      <c r="C11" s="9"/>
      <c r="D11" s="9">
        <f>+D10*'Rent Calculation'!F21</f>
        <v>0</v>
      </c>
      <c r="E11" s="9">
        <f>+E10*'Rent Calculation'!F21</f>
        <v>0</v>
      </c>
      <c r="F11" s="9">
        <f>F10*'Rent Calculation'!F21</f>
        <v>147292.20000000001</v>
      </c>
      <c r="G11" s="9">
        <f t="shared" si="0"/>
        <v>1289092.2</v>
      </c>
      <c r="H11" s="5"/>
      <c r="I11" s="5"/>
      <c r="J11" s="5"/>
      <c r="K11" s="5"/>
      <c r="L11" s="5"/>
      <c r="M11" s="5"/>
      <c r="N11" s="5"/>
      <c r="P11" s="10"/>
      <c r="Q11" s="13" t="s">
        <v>19</v>
      </c>
      <c r="R11" s="13" t="s">
        <v>20</v>
      </c>
      <c r="S11" s="13" t="s">
        <v>21</v>
      </c>
      <c r="T11" s="13" t="s">
        <v>22</v>
      </c>
      <c r="U11" s="13" t="s">
        <v>23</v>
      </c>
      <c r="V11" s="13" t="s">
        <v>24</v>
      </c>
      <c r="W11" s="13" t="s">
        <v>25</v>
      </c>
      <c r="X11" s="15" t="s">
        <v>26</v>
      </c>
      <c r="Y11" s="15" t="s">
        <v>27</v>
      </c>
      <c r="Z11" s="15" t="s">
        <v>28</v>
      </c>
      <c r="AA11" s="14" t="s">
        <v>29</v>
      </c>
    </row>
    <row r="12" spans="1:27" ht="10.5">
      <c r="A12" s="7" t="s">
        <v>30</v>
      </c>
      <c r="B12" s="9">
        <f>+'Rent Calculation'!C211</f>
        <v>9134400</v>
      </c>
      <c r="C12" s="9"/>
      <c r="D12" s="9">
        <f>+D11*6</f>
        <v>0</v>
      </c>
      <c r="E12" s="9">
        <f>+'Rent Calculation'!G211</f>
        <v>0</v>
      </c>
      <c r="F12" s="9">
        <f>+'Rent Calculation'!I211</f>
        <v>1178337.5999999999</v>
      </c>
      <c r="G12" s="9">
        <f t="shared" si="0"/>
        <v>10312737.6</v>
      </c>
      <c r="H12" s="5">
        <f>G12/$T$9</f>
        <v>98197.844220148545</v>
      </c>
      <c r="I12" s="357">
        <f>+Q28</f>
        <v>14000000</v>
      </c>
      <c r="J12" s="357">
        <f>+Q27</f>
        <v>1500000</v>
      </c>
      <c r="K12" s="5">
        <f>+G12+I12+J12</f>
        <v>25812737.600000001</v>
      </c>
      <c r="L12" s="357">
        <f>+K12/$T$9</f>
        <v>245788.77928013715</v>
      </c>
      <c r="M12" s="5"/>
      <c r="N12" s="5"/>
      <c r="P12" s="10"/>
      <c r="Q12" s="13"/>
      <c r="R12" s="13"/>
      <c r="S12" s="13"/>
      <c r="T12" s="13"/>
      <c r="U12" s="13"/>
      <c r="V12" s="15"/>
      <c r="W12" s="15"/>
      <c r="X12" s="15"/>
      <c r="Y12" s="15"/>
      <c r="Z12" s="15"/>
      <c r="AA12" s="14"/>
    </row>
    <row r="13" spans="1:27" ht="10.5">
      <c r="A13" s="7" t="s">
        <v>31</v>
      </c>
      <c r="B13" s="9">
        <f>+'Rent Calculation'!C212</f>
        <v>13701600</v>
      </c>
      <c r="C13" s="9"/>
      <c r="D13" s="9">
        <f>+D11*12</f>
        <v>0</v>
      </c>
      <c r="E13" s="9">
        <f>+'Rent Calculation'!G212</f>
        <v>0</v>
      </c>
      <c r="F13" s="9">
        <f>+'Rent Calculation'!I212</f>
        <v>1826423.2800000005</v>
      </c>
      <c r="G13" s="9">
        <f t="shared" si="0"/>
        <v>15528023.280000001</v>
      </c>
      <c r="H13" s="5">
        <f>G13/$T$9</f>
        <v>147857.77261474007</v>
      </c>
      <c r="I13" s="357">
        <f>+R28</f>
        <v>12000000</v>
      </c>
      <c r="J13" s="357">
        <f>+R27</f>
        <v>200000</v>
      </c>
      <c r="K13" s="5">
        <f t="shared" ref="K13:K21" si="1">+G13+I13+J13</f>
        <v>27728023.280000001</v>
      </c>
      <c r="L13" s="357">
        <f t="shared" ref="L13:L21" si="2">+K13/$T$9</f>
        <v>264026.12150066654</v>
      </c>
      <c r="M13" s="5"/>
      <c r="N13" s="5"/>
      <c r="P13" s="10"/>
      <c r="Q13" s="13" t="s">
        <v>32</v>
      </c>
      <c r="R13" s="13" t="s">
        <v>32</v>
      </c>
      <c r="S13" s="13" t="s">
        <v>32</v>
      </c>
      <c r="T13" s="13" t="s">
        <v>32</v>
      </c>
      <c r="U13" s="13" t="s">
        <v>32</v>
      </c>
      <c r="V13" s="13" t="s">
        <v>32</v>
      </c>
      <c r="W13" s="13" t="s">
        <v>32</v>
      </c>
      <c r="X13" s="13" t="s">
        <v>32</v>
      </c>
      <c r="Y13" s="13" t="s">
        <v>32</v>
      </c>
      <c r="Z13" s="13" t="s">
        <v>32</v>
      </c>
      <c r="AA13" s="14" t="s">
        <v>32</v>
      </c>
    </row>
    <row r="14" spans="1:27">
      <c r="A14" s="7" t="s">
        <v>33</v>
      </c>
      <c r="B14" s="9">
        <f>+'Rent Calculation'!C213</f>
        <v>13701600</v>
      </c>
      <c r="C14" s="9"/>
      <c r="D14" s="9">
        <f>+D13</f>
        <v>0</v>
      </c>
      <c r="E14" s="9">
        <f>+'Rent Calculation'!G213</f>
        <v>0</v>
      </c>
      <c r="F14" s="9">
        <f>+'Rent Calculation'!I213</f>
        <v>1917744.4440000001</v>
      </c>
      <c r="G14" s="9">
        <f t="shared" si="0"/>
        <v>15619344.444</v>
      </c>
      <c r="H14" s="5">
        <f t="shared" ref="H14:H21" si="3">G14/$T$9</f>
        <v>148727.33235574176</v>
      </c>
      <c r="I14" s="357">
        <f>+S28</f>
        <v>5000000</v>
      </c>
      <c r="J14" s="357">
        <f>+S27</f>
        <v>200000</v>
      </c>
      <c r="K14" s="5">
        <f t="shared" si="1"/>
        <v>20819344.443999998</v>
      </c>
      <c r="L14" s="357">
        <f t="shared" si="2"/>
        <v>198241.71056941533</v>
      </c>
      <c r="M14" s="5"/>
      <c r="N14" s="5"/>
      <c r="P14" s="10" t="s">
        <v>34</v>
      </c>
      <c r="Q14" s="16">
        <f>+H12</f>
        <v>98197.844220148545</v>
      </c>
      <c r="R14" s="16">
        <f>H13</f>
        <v>147857.77261474007</v>
      </c>
      <c r="S14" s="16">
        <f>H14</f>
        <v>148727.33235574176</v>
      </c>
      <c r="T14" s="16">
        <f>H15</f>
        <v>164317.86008569799</v>
      </c>
      <c r="U14" s="16">
        <f>+H16</f>
        <v>170169.04636745385</v>
      </c>
      <c r="V14" s="16">
        <f>+H17</f>
        <v>171175.67046263095</v>
      </c>
      <c r="W14" s="16">
        <f>+H18</f>
        <v>57172.20792839698</v>
      </c>
      <c r="X14" s="16">
        <f>+H19</f>
        <v>0</v>
      </c>
      <c r="Y14" s="190">
        <f>H20</f>
        <v>0</v>
      </c>
      <c r="Z14" s="190">
        <f>H21</f>
        <v>0</v>
      </c>
      <c r="AA14" s="17">
        <f>SUM(Q14:Z14)</f>
        <v>957617.7340348101</v>
      </c>
    </row>
    <row r="15" spans="1:27">
      <c r="A15" s="7" t="s">
        <v>35</v>
      </c>
      <c r="B15" s="9">
        <f>+'Rent Calculation'!C214</f>
        <v>15243030</v>
      </c>
      <c r="C15" s="9"/>
      <c r="D15" s="9">
        <f>+D12+(D12*115%)</f>
        <v>0</v>
      </c>
      <c r="E15" s="9">
        <f>+'Rent Calculation'!G214</f>
        <v>0</v>
      </c>
      <c r="F15" s="9">
        <f>+'Rent Calculation'!I214</f>
        <v>2013631.6662000006</v>
      </c>
      <c r="G15" s="9">
        <f t="shared" si="0"/>
        <v>17256661.666200001</v>
      </c>
      <c r="H15" s="5">
        <f t="shared" si="3"/>
        <v>164317.86008569799</v>
      </c>
      <c r="I15" s="357">
        <f>+T28</f>
        <v>6000000</v>
      </c>
      <c r="J15" s="357">
        <f>+T27</f>
        <v>200000</v>
      </c>
      <c r="K15" s="5">
        <f t="shared" si="1"/>
        <v>23456661.666200001</v>
      </c>
      <c r="L15" s="357">
        <f t="shared" si="2"/>
        <v>223354.23410969341</v>
      </c>
      <c r="M15" s="5"/>
      <c r="N15" s="5"/>
      <c r="P15" s="193" t="s">
        <v>36</v>
      </c>
      <c r="Q15" s="10">
        <f t="shared" ref="Q15:T17" si="4">+Q26/$T$9</f>
        <v>118244.14397257665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">
        <v>0</v>
      </c>
      <c r="V15" s="10">
        <f>+V26/$T$9</f>
        <v>0</v>
      </c>
      <c r="W15" s="194">
        <f>+W26/$T$9</f>
        <v>-118244.14397257665</v>
      </c>
      <c r="X15" s="194">
        <f>+X26/$T$9</f>
        <v>0</v>
      </c>
      <c r="Y15" s="194">
        <f>+Y26/$T$9</f>
        <v>0</v>
      </c>
      <c r="Z15" s="194">
        <f>+Z26/$T$9</f>
        <v>0</v>
      </c>
      <c r="AA15" s="17">
        <f>SUM(Q15:Z15)</f>
        <v>0</v>
      </c>
    </row>
    <row r="16" spans="1:27">
      <c r="A16" s="7" t="s">
        <v>37</v>
      </c>
      <c r="B16" s="9">
        <f>+'Rent Calculation'!C215</f>
        <v>15756840</v>
      </c>
      <c r="C16" s="9"/>
      <c r="D16" s="9">
        <f>+D13*115%</f>
        <v>0</v>
      </c>
      <c r="E16" s="9">
        <f>+'Rent Calculation'!G215</f>
        <v>0</v>
      </c>
      <c r="F16" s="9">
        <f>+'Rent Calculation'!I215</f>
        <v>2114313.2495100005</v>
      </c>
      <c r="G16" s="9">
        <f t="shared" ref="G16:G21" si="5">SUM(B16:F16)</f>
        <v>17871153.249510001</v>
      </c>
      <c r="H16" s="5">
        <f t="shared" si="3"/>
        <v>170169.04636745385</v>
      </c>
      <c r="I16" s="5">
        <f>+U28</f>
        <v>6000000</v>
      </c>
      <c r="J16" s="5">
        <f>+U27</f>
        <v>200000</v>
      </c>
      <c r="K16" s="5">
        <f t="shared" si="1"/>
        <v>24071153.249510001</v>
      </c>
      <c r="L16" s="357">
        <f t="shared" si="2"/>
        <v>229205.42039144927</v>
      </c>
      <c r="M16" s="5"/>
      <c r="N16" s="5"/>
      <c r="P16" s="10" t="s">
        <v>38</v>
      </c>
      <c r="Q16" s="10">
        <f t="shared" si="4"/>
        <v>14282.993715482766</v>
      </c>
      <c r="R16" s="10">
        <f t="shared" si="4"/>
        <v>1904.3991620643687</v>
      </c>
      <c r="S16" s="10">
        <f t="shared" si="4"/>
        <v>1904.3991620643687</v>
      </c>
      <c r="T16" s="10">
        <f t="shared" si="4"/>
        <v>1904.3991620643687</v>
      </c>
      <c r="U16" s="10">
        <f t="shared" ref="U16:X17" si="6">+U27/$T$9</f>
        <v>1904.3991620643687</v>
      </c>
      <c r="V16" s="10">
        <f t="shared" si="6"/>
        <v>1904.3991620643687</v>
      </c>
      <c r="W16" s="10">
        <f t="shared" si="6"/>
        <v>0</v>
      </c>
      <c r="X16" s="10">
        <f>+X27/$T$9</f>
        <v>0</v>
      </c>
      <c r="Y16" s="10">
        <f>+Y27/$T$9</f>
        <v>0</v>
      </c>
      <c r="Z16" s="10">
        <f>+Z27/$T$9</f>
        <v>0</v>
      </c>
      <c r="AA16" s="17">
        <f>SUM(Q16:Z16)</f>
        <v>23804.989525804609</v>
      </c>
    </row>
    <row r="17" spans="1:27">
      <c r="A17" s="7" t="s">
        <v>39</v>
      </c>
      <c r="B17" s="9">
        <f>+'Rent Calculation'!C216</f>
        <v>15756840</v>
      </c>
      <c r="C17" s="9"/>
      <c r="D17" s="9">
        <f>+D16</f>
        <v>0</v>
      </c>
      <c r="E17" s="9">
        <f>+'Rent Calculation'!G216</f>
        <v>0</v>
      </c>
      <c r="F17" s="9">
        <f>+'Rent Calculation'!I216</f>
        <v>2220028.9119855007</v>
      </c>
      <c r="G17" s="9">
        <f t="shared" si="5"/>
        <v>17976868.911985502</v>
      </c>
      <c r="H17" s="5">
        <f t="shared" si="3"/>
        <v>171175.67046263095</v>
      </c>
      <c r="I17" s="5">
        <f>+V28</f>
        <v>0</v>
      </c>
      <c r="J17" s="5">
        <f>+V27</f>
        <v>200000</v>
      </c>
      <c r="K17" s="5">
        <f t="shared" si="1"/>
        <v>18176868.911985502</v>
      </c>
      <c r="L17" s="357">
        <f t="shared" si="2"/>
        <v>173080.06962469532</v>
      </c>
      <c r="M17" s="5"/>
      <c r="N17" s="5"/>
      <c r="P17" s="10" t="s">
        <v>40</v>
      </c>
      <c r="Q17" s="10">
        <f t="shared" si="4"/>
        <v>133307.94134450582</v>
      </c>
      <c r="R17" s="10">
        <f t="shared" si="4"/>
        <v>114263.94972386213</v>
      </c>
      <c r="S17" s="10">
        <f t="shared" si="4"/>
        <v>47609.979051609218</v>
      </c>
      <c r="T17" s="10">
        <f t="shared" si="4"/>
        <v>57131.974861931063</v>
      </c>
      <c r="U17" s="10">
        <f t="shared" si="6"/>
        <v>57131.974861931063</v>
      </c>
      <c r="V17" s="10">
        <f t="shared" si="6"/>
        <v>0</v>
      </c>
      <c r="W17" s="10">
        <f t="shared" si="6"/>
        <v>0</v>
      </c>
      <c r="X17" s="10">
        <f t="shared" si="6"/>
        <v>0</v>
      </c>
      <c r="Y17" s="10">
        <f>+Y28/$T$9</f>
        <v>0</v>
      </c>
      <c r="Z17" s="10">
        <f>+Z28/$T$9</f>
        <v>0</v>
      </c>
      <c r="AA17" s="17">
        <f>SUM(Q17:Z17)</f>
        <v>409445.81984383927</v>
      </c>
    </row>
    <row r="18" spans="1:27">
      <c r="A18" s="7" t="s">
        <v>41</v>
      </c>
      <c r="B18" s="9">
        <f>+'Rent Calculation'!C217</f>
        <v>5252280</v>
      </c>
      <c r="C18" s="9"/>
      <c r="D18" s="9">
        <f>(+D17/2)+(D17/2*115%)</f>
        <v>0</v>
      </c>
      <c r="E18" s="9">
        <f>+'Rent Calculation'!G217</f>
        <v>0</v>
      </c>
      <c r="F18" s="9">
        <f>+'Rent Calculation'!I217</f>
        <v>751945.27664025011</v>
      </c>
      <c r="G18" s="9">
        <f t="shared" si="5"/>
        <v>6004225.2766402503</v>
      </c>
      <c r="H18" s="5">
        <f t="shared" si="3"/>
        <v>57172.20792839698</v>
      </c>
      <c r="I18" s="5">
        <f>+W28</f>
        <v>0</v>
      </c>
      <c r="J18" s="5">
        <f>+W27</f>
        <v>0</v>
      </c>
      <c r="K18" s="5">
        <f t="shared" si="1"/>
        <v>6004225.2766402503</v>
      </c>
      <c r="L18" s="357">
        <f t="shared" si="2"/>
        <v>57172.20792839698</v>
      </c>
      <c r="M18" s="5"/>
      <c r="N18" s="5"/>
      <c r="P18" s="10"/>
      <c r="Q18" s="10"/>
      <c r="R18" s="10"/>
      <c r="S18" s="10"/>
      <c r="T18" s="4"/>
      <c r="U18" s="4"/>
      <c r="V18" s="4"/>
      <c r="W18" s="4"/>
      <c r="X18" s="4"/>
      <c r="Y18" s="4"/>
      <c r="Z18" s="4"/>
      <c r="AA18" s="17">
        <f>SUM(Q18:Z18)</f>
        <v>0</v>
      </c>
    </row>
    <row r="19" spans="1:27">
      <c r="A19" s="7" t="s">
        <v>42</v>
      </c>
      <c r="B19" s="9">
        <f>+'Rent Calculation'!C218</f>
        <v>0</v>
      </c>
      <c r="C19" s="9"/>
      <c r="D19" s="9">
        <f>+D17*115%</f>
        <v>0</v>
      </c>
      <c r="E19" s="9">
        <f>+'Rent Calculation'!G218</f>
        <v>0</v>
      </c>
      <c r="F19" s="9">
        <f>+'Rent Calculation'!I218</f>
        <v>0</v>
      </c>
      <c r="G19" s="9">
        <f t="shared" si="5"/>
        <v>0</v>
      </c>
      <c r="H19" s="5">
        <f t="shared" si="3"/>
        <v>0</v>
      </c>
      <c r="I19" s="5">
        <f>+X28</f>
        <v>0</v>
      </c>
      <c r="J19" s="5">
        <f>+X27</f>
        <v>0</v>
      </c>
      <c r="K19" s="5">
        <f t="shared" si="1"/>
        <v>0</v>
      </c>
      <c r="L19" s="357">
        <f t="shared" si="2"/>
        <v>0</v>
      </c>
      <c r="M19" s="5"/>
      <c r="N19" s="5"/>
      <c r="P19" s="10"/>
      <c r="Q19" s="10"/>
      <c r="R19" s="10"/>
      <c r="S19" s="10"/>
      <c r="T19" s="4"/>
      <c r="U19" s="4"/>
      <c r="V19" s="11"/>
      <c r="W19" s="11"/>
      <c r="X19" s="11"/>
      <c r="Y19" s="11"/>
      <c r="Z19" s="11"/>
      <c r="AA19" s="17"/>
    </row>
    <row r="20" spans="1:27">
      <c r="A20" s="7" t="s">
        <v>43</v>
      </c>
      <c r="B20" s="9">
        <f>+'Rent Calculation'!C219</f>
        <v>0</v>
      </c>
      <c r="C20" s="9"/>
      <c r="D20" s="9">
        <f>D19</f>
        <v>0</v>
      </c>
      <c r="E20" s="9">
        <f>+'Rent Calculation'!G219</f>
        <v>0</v>
      </c>
      <c r="F20" s="9">
        <f>+'Rent Calculation'!I219</f>
        <v>0</v>
      </c>
      <c r="G20" s="9">
        <f t="shared" si="5"/>
        <v>0</v>
      </c>
      <c r="H20" s="5">
        <f t="shared" si="3"/>
        <v>0</v>
      </c>
      <c r="I20" s="5">
        <f>+Y28</f>
        <v>0</v>
      </c>
      <c r="J20" s="5">
        <f>+Y27</f>
        <v>0</v>
      </c>
      <c r="K20" s="5">
        <f t="shared" si="1"/>
        <v>0</v>
      </c>
      <c r="L20" s="357">
        <f t="shared" si="2"/>
        <v>0</v>
      </c>
      <c r="M20" s="5"/>
      <c r="N20" s="5"/>
      <c r="P20" s="10"/>
      <c r="Q20" s="10"/>
      <c r="R20" s="10"/>
      <c r="S20" s="10"/>
      <c r="T20" s="4"/>
      <c r="U20" s="4"/>
      <c r="V20" s="11"/>
      <c r="W20" s="11"/>
      <c r="X20" s="11"/>
      <c r="Y20" s="11"/>
      <c r="Z20" s="11"/>
      <c r="AA20" s="17"/>
    </row>
    <row r="21" spans="1:27">
      <c r="A21" s="7" t="s">
        <v>44</v>
      </c>
      <c r="B21" s="9">
        <f>+'Rent Calculation'!C220</f>
        <v>0</v>
      </c>
      <c r="C21" s="9"/>
      <c r="D21" s="9">
        <f>+D20/2</f>
        <v>0</v>
      </c>
      <c r="E21" s="9">
        <f>+'Rent Calculation'!G220</f>
        <v>0</v>
      </c>
      <c r="F21" s="9">
        <f>(+'Rent Calculation'!I220)*114.5%</f>
        <v>0</v>
      </c>
      <c r="G21" s="9">
        <f t="shared" si="5"/>
        <v>0</v>
      </c>
      <c r="H21" s="5">
        <f t="shared" si="3"/>
        <v>0</v>
      </c>
      <c r="I21" s="5">
        <f>+Z28</f>
        <v>0</v>
      </c>
      <c r="J21" s="5">
        <f>+Z27</f>
        <v>0</v>
      </c>
      <c r="K21" s="5">
        <f t="shared" si="1"/>
        <v>0</v>
      </c>
      <c r="L21" s="357">
        <f t="shared" si="2"/>
        <v>0</v>
      </c>
      <c r="M21" s="5"/>
      <c r="N21" s="5"/>
      <c r="P21" s="10"/>
      <c r="Q21" s="10"/>
      <c r="R21" s="10"/>
      <c r="S21" s="10"/>
      <c r="T21" s="4"/>
      <c r="U21" s="4"/>
      <c r="V21" s="11"/>
      <c r="W21" s="11"/>
      <c r="X21" s="11"/>
      <c r="Y21" s="11"/>
      <c r="Z21" s="11"/>
      <c r="AA21" s="17"/>
    </row>
    <row r="22" spans="1:27" ht="10.5">
      <c r="A22" s="7"/>
      <c r="B22" s="9"/>
      <c r="C22" s="9"/>
      <c r="D22" s="9"/>
      <c r="E22" s="9"/>
      <c r="F22" s="9"/>
      <c r="G22" s="9"/>
      <c r="H22" s="5"/>
      <c r="I22" s="5"/>
      <c r="J22" s="5"/>
      <c r="K22" s="5"/>
      <c r="L22" s="5"/>
      <c r="M22" s="5"/>
      <c r="N22" s="5"/>
      <c r="P22" s="18" t="s">
        <v>45</v>
      </c>
      <c r="Q22" s="19">
        <f>SUM(Q14:Q20)</f>
        <v>364032.92325271375</v>
      </c>
      <c r="R22" s="19">
        <f t="shared" ref="R22:AA22" si="7">SUM(R14:R20)</f>
        <v>264026.12150066654</v>
      </c>
      <c r="S22" s="19">
        <f t="shared" si="7"/>
        <v>198241.71056941536</v>
      </c>
      <c r="T22" s="19">
        <f t="shared" si="7"/>
        <v>223354.23410969341</v>
      </c>
      <c r="U22" s="19">
        <f t="shared" si="7"/>
        <v>229205.42039144927</v>
      </c>
      <c r="V22" s="19">
        <f t="shared" si="7"/>
        <v>173080.06962469532</v>
      </c>
      <c r="W22" s="19">
        <f t="shared" si="7"/>
        <v>-61071.936044179674</v>
      </c>
      <c r="X22" s="19">
        <f t="shared" si="7"/>
        <v>0</v>
      </c>
      <c r="Y22" s="19">
        <f t="shared" si="7"/>
        <v>0</v>
      </c>
      <c r="Z22" s="19">
        <f t="shared" si="7"/>
        <v>0</v>
      </c>
      <c r="AA22" s="227">
        <f t="shared" si="7"/>
        <v>1390868.5434044539</v>
      </c>
    </row>
    <row r="23" spans="1:27">
      <c r="A23" s="7" t="s">
        <v>46</v>
      </c>
      <c r="B23" s="20">
        <f t="shared" ref="B23:L23" si="8">SUM(B12:B22)</f>
        <v>88546590</v>
      </c>
      <c r="C23" s="20">
        <f t="shared" si="8"/>
        <v>0</v>
      </c>
      <c r="D23" s="20">
        <f t="shared" si="8"/>
        <v>0</v>
      </c>
      <c r="E23" s="20">
        <f t="shared" si="8"/>
        <v>0</v>
      </c>
      <c r="F23" s="20">
        <f>SUM(F12:F22)</f>
        <v>12022424.428335754</v>
      </c>
      <c r="G23" s="20">
        <f t="shared" si="8"/>
        <v>100569014.42833576</v>
      </c>
      <c r="H23" s="20">
        <f t="shared" si="8"/>
        <v>957617.7340348101</v>
      </c>
      <c r="I23" s="20">
        <f t="shared" si="8"/>
        <v>43000000</v>
      </c>
      <c r="J23" s="20">
        <f t="shared" si="8"/>
        <v>2500000</v>
      </c>
      <c r="K23" s="20">
        <f t="shared" si="8"/>
        <v>146069014.42833573</v>
      </c>
      <c r="L23" s="20">
        <f t="shared" si="8"/>
        <v>1390868.5434044539</v>
      </c>
      <c r="M23" s="21">
        <f>+N23*$T$9</f>
        <v>109878159.84532638</v>
      </c>
      <c r="N23" s="21">
        <f>+R34</f>
        <v>1046259.3776930716</v>
      </c>
      <c r="Q23" s="2">
        <f>Q22/1.105</f>
        <v>329441.55950471835</v>
      </c>
      <c r="R23" s="2">
        <f>R22/1.105^2</f>
        <v>216233.18236781927</v>
      </c>
      <c r="S23" s="2">
        <f>S22/1.105^3</f>
        <v>146929.2299164611</v>
      </c>
      <c r="T23" s="2">
        <f>T22/1.105^4</f>
        <v>149811.47421191164</v>
      </c>
      <c r="U23" s="2">
        <f>U22/1.105^5</f>
        <v>139127.66417103758</v>
      </c>
      <c r="AA23" s="22"/>
    </row>
    <row r="24" spans="1:27" ht="10.5">
      <c r="A24" s="23"/>
      <c r="B24" s="4"/>
      <c r="C24" s="4"/>
      <c r="D24" s="4"/>
      <c r="E24" s="4"/>
      <c r="F24" s="5"/>
      <c r="G24" s="4"/>
      <c r="H24" s="10"/>
      <c r="I24" s="10"/>
      <c r="J24" s="10"/>
      <c r="K24" s="10"/>
      <c r="L24" s="10">
        <f>L23-H23</f>
        <v>433250.8093696438</v>
      </c>
      <c r="M24" s="10"/>
      <c r="N24" s="10"/>
      <c r="P24" s="10"/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24" t="s">
        <v>29</v>
      </c>
    </row>
    <row r="25" spans="1:27" ht="10.5">
      <c r="A25" s="23" t="s">
        <v>48</v>
      </c>
      <c r="B25" s="4"/>
      <c r="C25" s="4"/>
      <c r="D25" s="4"/>
      <c r="E25" s="4"/>
      <c r="F25" s="5"/>
      <c r="G25" s="357">
        <f>+'Rent Calculation'!G195+'Rent Calculation'!F31</f>
        <v>512254.33034775488</v>
      </c>
      <c r="H25" s="10">
        <f>G25/$T$9</f>
        <v>4877.6835873905438</v>
      </c>
      <c r="I25" s="10"/>
      <c r="J25" s="10"/>
      <c r="K25" s="5">
        <f>+G25+I25+J25</f>
        <v>512254.33034775488</v>
      </c>
      <c r="L25" s="10"/>
      <c r="M25" s="10"/>
      <c r="N25" s="10"/>
      <c r="P25" s="10" t="s">
        <v>34</v>
      </c>
      <c r="Q25" s="228">
        <f>+G12</f>
        <v>10312737.6</v>
      </c>
      <c r="R25" s="16">
        <f t="shared" ref="R25:Z25" si="9">+R14*$T$9</f>
        <v>15528023.280000001</v>
      </c>
      <c r="S25" s="16">
        <f t="shared" si="9"/>
        <v>15619344.443999998</v>
      </c>
      <c r="T25" s="16">
        <f t="shared" si="9"/>
        <v>17256661.666200001</v>
      </c>
      <c r="U25" s="16">
        <f t="shared" si="9"/>
        <v>17871153.249510001</v>
      </c>
      <c r="V25" s="16">
        <f t="shared" si="9"/>
        <v>17976868.911985502</v>
      </c>
      <c r="W25" s="16">
        <f t="shared" si="9"/>
        <v>6004225.2766402503</v>
      </c>
      <c r="X25" s="16">
        <f t="shared" si="9"/>
        <v>0</v>
      </c>
      <c r="Y25" s="16">
        <f t="shared" si="9"/>
        <v>0</v>
      </c>
      <c r="Z25" s="16">
        <f t="shared" si="9"/>
        <v>0</v>
      </c>
      <c r="AA25" s="25">
        <f>SUM(Q25:Z25)</f>
        <v>100569014.42833576</v>
      </c>
    </row>
    <row r="26" spans="1:27" ht="10.5">
      <c r="A26" s="23" t="s">
        <v>49</v>
      </c>
      <c r="B26" s="4"/>
      <c r="C26" s="4"/>
      <c r="D26" s="4"/>
      <c r="E26" s="4"/>
      <c r="F26" s="5"/>
      <c r="G26" s="357">
        <f>'CAPEX and PM'!B3</f>
        <v>34000000</v>
      </c>
      <c r="H26" s="10">
        <f>G26/$T$9</f>
        <v>323747.85755094269</v>
      </c>
      <c r="I26" s="10">
        <f>'CAPEX and PM'!B12+'CAPEX and PM'!B18</f>
        <v>20000000</v>
      </c>
      <c r="J26" s="10"/>
      <c r="K26" s="5">
        <f>+G26+I26+J26</f>
        <v>54000000</v>
      </c>
      <c r="L26" s="10"/>
      <c r="M26" s="10"/>
      <c r="N26" s="10"/>
      <c r="P26" s="300" t="s">
        <v>36</v>
      </c>
      <c r="Q26" s="300">
        <f>U34+U41</f>
        <v>12418000</v>
      </c>
      <c r="R26" s="370"/>
      <c r="S26" s="300"/>
      <c r="T26" s="300"/>
      <c r="V26" s="644"/>
      <c r="W26" s="300">
        <f>-Q26</f>
        <v>-12418000</v>
      </c>
      <c r="X26" s="26"/>
      <c r="Y26" s="26"/>
      <c r="Z26" s="195">
        <v>0</v>
      </c>
      <c r="AA26" s="25">
        <f>SUM(Q26:Z26)</f>
        <v>0</v>
      </c>
    </row>
    <row r="27" spans="1:27" ht="10.5">
      <c r="A27" s="23"/>
      <c r="B27" s="5"/>
      <c r="C27" s="5"/>
      <c r="D27" s="5"/>
      <c r="E27" s="5"/>
      <c r="F27" s="5"/>
      <c r="G27" s="5"/>
      <c r="H27" s="10"/>
      <c r="I27" s="10"/>
      <c r="J27" s="10"/>
      <c r="K27" s="10"/>
      <c r="L27" s="10"/>
      <c r="M27" s="10"/>
      <c r="N27" s="10"/>
      <c r="P27" s="10" t="s">
        <v>38</v>
      </c>
      <c r="Q27" s="10">
        <f>'CAPEX and PM'!F95</f>
        <v>1500000</v>
      </c>
      <c r="R27" s="10">
        <f>'CAPEX and PM'!G95</f>
        <v>200000</v>
      </c>
      <c r="S27" s="10">
        <f>'CAPEX and PM'!H95</f>
        <v>200000</v>
      </c>
      <c r="T27" s="10">
        <f>'CAPEX and PM'!I95</f>
        <v>200000</v>
      </c>
      <c r="U27" s="10">
        <f>'CAPEX and PM'!J95</f>
        <v>200000</v>
      </c>
      <c r="V27" s="10">
        <f>+'CAPEX and PM'!K95</f>
        <v>200000</v>
      </c>
      <c r="W27" s="10">
        <f>+'CAPEX and PM'!L95</f>
        <v>0</v>
      </c>
      <c r="X27" s="10">
        <f>+'CAPEX and PM'!M95</f>
        <v>0</v>
      </c>
      <c r="Y27" s="10">
        <f>+'CAPEX and PM'!N95</f>
        <v>0</v>
      </c>
      <c r="Z27" s="10">
        <f>+'CAPEX and PM'!O95</f>
        <v>0</v>
      </c>
      <c r="AA27" s="25">
        <f>SUM(Q27:Z27)</f>
        <v>2500000</v>
      </c>
    </row>
    <row r="28" spans="1:27" ht="10.5">
      <c r="A28" s="23" t="s">
        <v>50</v>
      </c>
      <c r="B28" s="20"/>
      <c r="C28" s="20"/>
      <c r="D28" s="20"/>
      <c r="E28" s="20"/>
      <c r="F28" s="20"/>
      <c r="G28" s="20">
        <f>SUM(G25:G27)</f>
        <v>34512254.330347754</v>
      </c>
      <c r="H28" s="20">
        <f>SUM(H25:H27)</f>
        <v>328625.54113833321</v>
      </c>
      <c r="I28" s="20">
        <f>SUM(I25:I27)</f>
        <v>20000000</v>
      </c>
      <c r="J28" s="20"/>
      <c r="K28" s="20">
        <f>SUM(K25:K27)</f>
        <v>54512254.330347754</v>
      </c>
      <c r="L28" s="20"/>
      <c r="M28" s="20">
        <f>+N28*T9</f>
        <v>34512254.330347754</v>
      </c>
      <c r="N28" s="20">
        <f>+H28</f>
        <v>328625.54113833321</v>
      </c>
      <c r="P28" s="10" t="s">
        <v>40</v>
      </c>
      <c r="Q28" s="10">
        <f>+'CAPEX and PM'!F38</f>
        <v>14000000</v>
      </c>
      <c r="R28" s="10">
        <f>+'CAPEX and PM'!G38</f>
        <v>12000000</v>
      </c>
      <c r="S28" s="10">
        <f>+'CAPEX and PM'!H38</f>
        <v>5000000</v>
      </c>
      <c r="T28" s="10">
        <f>+'CAPEX and PM'!I38</f>
        <v>6000000</v>
      </c>
      <c r="U28" s="10">
        <f>+'CAPEX and PM'!J38</f>
        <v>6000000</v>
      </c>
      <c r="V28" s="10">
        <f>+'CAPEX and PM'!K38</f>
        <v>0</v>
      </c>
      <c r="W28" s="10">
        <f>+'CAPEX and PM'!L38</f>
        <v>0</v>
      </c>
      <c r="X28" s="10">
        <f>+'CAPEX and PM'!M38</f>
        <v>0</v>
      </c>
      <c r="Y28" s="10">
        <f>+'CAPEX and PM'!N38</f>
        <v>0</v>
      </c>
      <c r="Z28" s="10">
        <f>+'CAPEX and PM'!O38</f>
        <v>0</v>
      </c>
      <c r="AA28" s="25">
        <f>SUM(Q28:Z28)</f>
        <v>43000000</v>
      </c>
    </row>
    <row r="29" spans="1:27">
      <c r="A29" s="23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2"/>
    </row>
    <row r="30" spans="1:27" ht="10.5">
      <c r="A30" s="23"/>
      <c r="B30" s="5"/>
      <c r="C30" s="5"/>
      <c r="D30" s="5"/>
      <c r="E30" s="5"/>
      <c r="F30" s="5"/>
      <c r="G30" s="5"/>
      <c r="H30" s="10"/>
      <c r="I30" s="10"/>
      <c r="J30" s="10"/>
      <c r="K30" s="10"/>
      <c r="L30" s="10"/>
      <c r="M30" s="10"/>
      <c r="N30" s="10"/>
      <c r="P30" s="18" t="s">
        <v>45</v>
      </c>
      <c r="Q30" s="18">
        <f>SUM(Q25:Q29)</f>
        <v>38230737.600000001</v>
      </c>
      <c r="R30" s="18">
        <f t="shared" ref="R30:AA30" si="10">SUM(R25:R29)</f>
        <v>27728023.280000001</v>
      </c>
      <c r="S30" s="18">
        <f>SUM(S25:S29)</f>
        <v>20819344.443999998</v>
      </c>
      <c r="T30" s="18">
        <f t="shared" si="10"/>
        <v>23456661.666200001</v>
      </c>
      <c r="U30" s="18">
        <f t="shared" si="10"/>
        <v>24071153.249510001</v>
      </c>
      <c r="V30" s="18">
        <f t="shared" si="10"/>
        <v>18176868.911985502</v>
      </c>
      <c r="W30" s="18">
        <f t="shared" si="10"/>
        <v>-6413774.7233597497</v>
      </c>
      <c r="X30" s="18">
        <f t="shared" si="10"/>
        <v>0</v>
      </c>
      <c r="Y30" s="18">
        <f t="shared" si="10"/>
        <v>0</v>
      </c>
      <c r="Z30" s="18">
        <f t="shared" si="10"/>
        <v>0</v>
      </c>
      <c r="AA30" s="25">
        <f t="shared" si="10"/>
        <v>146069014.42833576</v>
      </c>
    </row>
    <row r="31" spans="1:27" ht="10.5" thickBot="1">
      <c r="A31" s="23" t="s">
        <v>45</v>
      </c>
      <c r="B31" s="20"/>
      <c r="C31" s="20"/>
      <c r="D31" s="20"/>
      <c r="E31" s="20"/>
      <c r="F31" s="20"/>
      <c r="G31" s="20">
        <f>+K23+G28</f>
        <v>180581268.75868347</v>
      </c>
      <c r="H31" s="20">
        <f>+L23+H28</f>
        <v>1719494.0845427872</v>
      </c>
      <c r="I31" s="20"/>
      <c r="J31" s="20"/>
      <c r="K31" s="20"/>
      <c r="L31" s="20"/>
      <c r="M31" s="20">
        <f>+M23+M28</f>
        <v>144390414.17567414</v>
      </c>
      <c r="N31" s="20">
        <f>N23+N28</f>
        <v>1374884.9188314048</v>
      </c>
      <c r="T31" s="2"/>
      <c r="U31" s="2"/>
    </row>
    <row r="32" spans="1:27" ht="11" thickBot="1">
      <c r="A32" s="35" t="s">
        <v>51</v>
      </c>
      <c r="B32" s="3"/>
      <c r="C32" s="3"/>
      <c r="D32" s="3"/>
      <c r="E32" s="3"/>
      <c r="F32" s="3"/>
      <c r="G32" s="3"/>
      <c r="H32" s="157">
        <f>+H31/1000000</f>
        <v>1.7194940845427871</v>
      </c>
      <c r="I32" s="157"/>
      <c r="J32" s="157"/>
      <c r="K32" s="157"/>
      <c r="L32" s="157"/>
      <c r="M32" s="36"/>
      <c r="N32" s="157">
        <f>+N31/1000000</f>
        <v>1.3748849188314047</v>
      </c>
      <c r="P32" s="28"/>
      <c r="Q32" s="29" t="s">
        <v>47</v>
      </c>
      <c r="R32" s="30" t="s">
        <v>52</v>
      </c>
      <c r="T32" s="646" t="s">
        <v>53</v>
      </c>
      <c r="U32" s="647"/>
      <c r="V32" s="648"/>
    </row>
    <row r="33" spans="1:27" ht="10.5">
      <c r="A33" s="37"/>
      <c r="H33" s="1"/>
      <c r="I33" s="1"/>
      <c r="J33" s="182"/>
      <c r="K33" s="1"/>
      <c r="L33" s="1"/>
      <c r="M33" s="1"/>
      <c r="N33" s="182"/>
      <c r="P33" s="31"/>
      <c r="Q33" s="10"/>
      <c r="R33" s="17"/>
      <c r="T33" s="38"/>
      <c r="U33" s="39" t="s">
        <v>47</v>
      </c>
      <c r="V33" s="40" t="s">
        <v>52</v>
      </c>
    </row>
    <row r="34" spans="1:27" ht="11" thickBot="1">
      <c r="A34" s="23" t="s">
        <v>54</v>
      </c>
      <c r="B34" s="4"/>
      <c r="C34" s="4"/>
      <c r="D34" s="4"/>
      <c r="E34" s="4"/>
      <c r="F34" s="4"/>
      <c r="G34" s="158"/>
      <c r="H34" s="159"/>
      <c r="I34" s="159"/>
      <c r="J34" s="159"/>
      <c r="K34" s="159"/>
      <c r="L34" s="159"/>
      <c r="M34" s="4"/>
      <c r="N34" s="159"/>
      <c r="P34" s="32" t="s">
        <v>55</v>
      </c>
      <c r="Q34" s="33">
        <f>+NPV(Q9,Q30,R30,S30,T30,U30,V30,W30,X30,Y30,Z30)</f>
        <v>109878159.84532636</v>
      </c>
      <c r="R34" s="34">
        <f>+NPV(Q9,Q22:Z22)</f>
        <v>1046259.3776930716</v>
      </c>
      <c r="T34" s="23" t="s">
        <v>56</v>
      </c>
      <c r="U34" s="298">
        <f>('Rent Calculation'!F68+'Rent Calculation'!F72+'Rent Calculation'!F70)</f>
        <v>11918000</v>
      </c>
      <c r="V34" s="17">
        <f>+U34/$T$9</f>
        <v>113483.14606741573</v>
      </c>
    </row>
    <row r="35" spans="1:27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T35" s="23" t="s">
        <v>57</v>
      </c>
      <c r="U35" s="10">
        <v>0</v>
      </c>
      <c r="V35" s="17">
        <f>+U35/$T$9</f>
        <v>0</v>
      </c>
    </row>
    <row r="36" spans="1:27" ht="10.5">
      <c r="A36" s="35" t="s">
        <v>58</v>
      </c>
      <c r="B36" s="3"/>
      <c r="C36" s="3"/>
      <c r="D36" s="3"/>
      <c r="E36" s="3"/>
      <c r="F36" s="3"/>
      <c r="G36" s="3"/>
      <c r="H36" s="160">
        <f>+H32+H34</f>
        <v>1.7194940845427871</v>
      </c>
      <c r="I36" s="160"/>
      <c r="J36" s="160"/>
      <c r="K36" s="160"/>
      <c r="L36" s="160"/>
      <c r="M36" s="3"/>
      <c r="N36" s="160">
        <f>+N32+N34</f>
        <v>1.3748849188314047</v>
      </c>
      <c r="P36" s="645"/>
      <c r="Q36" s="645"/>
      <c r="T36" s="31" t="s">
        <v>59</v>
      </c>
      <c r="U36" s="10">
        <v>0</v>
      </c>
      <c r="V36" s="17">
        <f>+U36/$T$9</f>
        <v>0</v>
      </c>
    </row>
    <row r="37" spans="1:27" ht="11.5">
      <c r="A37" s="37"/>
      <c r="M37" s="1"/>
      <c r="N37" s="371"/>
      <c r="P37" s="643"/>
      <c r="Q37" s="643"/>
      <c r="T37" s="41" t="s">
        <v>60</v>
      </c>
      <c r="U37" s="10">
        <f>+'Rent Calculation'!F73</f>
        <v>0</v>
      </c>
      <c r="V37" s="17">
        <f>+U37/$T$9</f>
        <v>0</v>
      </c>
    </row>
    <row r="38" spans="1:27" ht="11" thickBot="1">
      <c r="A38" s="37"/>
      <c r="F38" s="364"/>
      <c r="G38" s="364"/>
      <c r="H38" s="364"/>
      <c r="I38" s="364"/>
      <c r="J38" s="364"/>
      <c r="K38" s="364"/>
      <c r="M38" s="1"/>
      <c r="Q38" s="228"/>
      <c r="T38" s="42" t="s">
        <v>29</v>
      </c>
      <c r="U38" s="43">
        <f>SUM(U34:U37)</f>
        <v>11918000</v>
      </c>
      <c r="V38" s="44">
        <f>SUM(V34:V37)</f>
        <v>113483.14606741573</v>
      </c>
    </row>
    <row r="39" spans="1:27" ht="10.5">
      <c r="A39" s="37"/>
      <c r="F39" s="364"/>
      <c r="G39" s="364"/>
      <c r="H39" s="228"/>
      <c r="I39" s="1"/>
      <c r="J39" s="1"/>
      <c r="K39" s="1"/>
      <c r="L39" s="1"/>
      <c r="M39" s="1"/>
      <c r="Q39" s="228"/>
      <c r="T39" s="45" t="s">
        <v>61</v>
      </c>
      <c r="U39" s="46"/>
      <c r="V39" s="47"/>
    </row>
    <row r="40" spans="1:27" ht="10.5">
      <c r="A40" s="37"/>
      <c r="H40" s="1"/>
      <c r="I40" s="1"/>
      <c r="J40" s="1"/>
      <c r="K40" s="1"/>
      <c r="L40" s="1"/>
      <c r="M40" s="1"/>
      <c r="N40" s="1"/>
      <c r="Q40" s="228"/>
      <c r="T40" s="48" t="s">
        <v>62</v>
      </c>
      <c r="U40" s="27">
        <f>+'Rent Calculation'!F69</f>
        <v>0</v>
      </c>
      <c r="V40" s="17">
        <f>+U40/$T$9</f>
        <v>0</v>
      </c>
    </row>
    <row r="41" spans="1:27" ht="10.5">
      <c r="A41" s="37"/>
      <c r="H41" s="372"/>
      <c r="I41" s="1"/>
      <c r="J41" s="228"/>
      <c r="K41" s="1"/>
      <c r="L41" s="1"/>
      <c r="M41" s="1"/>
      <c r="N41" s="1"/>
      <c r="P41" s="228"/>
      <c r="Q41" s="228"/>
      <c r="T41" s="48" t="s">
        <v>63</v>
      </c>
      <c r="U41" s="27">
        <f>+'Rent Calculation'!F70</f>
        <v>500000</v>
      </c>
      <c r="V41" s="17">
        <f t="shared" ref="V41:V42" si="11">+U41/$T$9</f>
        <v>4760.9979051609216</v>
      </c>
    </row>
    <row r="42" spans="1:27" ht="11" thickBot="1">
      <c r="A42" s="37"/>
      <c r="F42" s="196"/>
      <c r="H42" s="1"/>
      <c r="I42" s="1"/>
      <c r="J42" s="373"/>
      <c r="K42" s="1"/>
      <c r="L42" s="1"/>
      <c r="M42" s="1"/>
      <c r="N42" s="1"/>
      <c r="T42" s="32" t="s">
        <v>64</v>
      </c>
      <c r="U42" s="49">
        <v>0</v>
      </c>
      <c r="V42" s="17">
        <f t="shared" si="11"/>
        <v>0</v>
      </c>
    </row>
    <row r="43" spans="1:27">
      <c r="A43" s="37"/>
      <c r="H43" s="1"/>
      <c r="I43" s="1"/>
      <c r="J43" s="1"/>
      <c r="K43" s="1"/>
      <c r="L43" s="1"/>
      <c r="M43" s="1"/>
      <c r="N43" s="1"/>
    </row>
    <row r="44" spans="1:27" ht="10.5">
      <c r="P44" s="613"/>
      <c r="Q44" s="613"/>
      <c r="R44" s="613"/>
    </row>
    <row r="45" spans="1:27" ht="10.5">
      <c r="R45" s="614"/>
      <c r="S45" s="614"/>
      <c r="T45" s="614"/>
      <c r="U45" s="614"/>
      <c r="V45" s="614"/>
      <c r="W45" s="614"/>
      <c r="X45" s="614"/>
      <c r="Y45" s="614"/>
      <c r="Z45" s="614"/>
    </row>
    <row r="46" spans="1:27" ht="13">
      <c r="A46" s="642"/>
      <c r="B46" s="615"/>
      <c r="C46" s="616"/>
      <c r="D46" s="616"/>
      <c r="E46" s="616"/>
      <c r="F46" s="615"/>
      <c r="G46" s="615"/>
      <c r="H46" s="617"/>
      <c r="I46" s="615"/>
      <c r="J46" s="615"/>
      <c r="K46" s="615"/>
      <c r="L46" s="617"/>
      <c r="M46" s="615"/>
      <c r="N46" s="616"/>
      <c r="P46" s="618"/>
      <c r="Q46" s="619"/>
      <c r="R46" s="614"/>
      <c r="S46" s="614"/>
      <c r="T46" s="614"/>
      <c r="U46" s="614"/>
      <c r="V46" s="614"/>
      <c r="W46" s="614"/>
      <c r="X46" s="614"/>
      <c r="Y46" s="614"/>
      <c r="Z46" s="614"/>
      <c r="AA46" s="620"/>
    </row>
    <row r="47" spans="1:27" ht="12.5">
      <c r="A47" s="621"/>
      <c r="B47" s="622"/>
      <c r="C47" s="622"/>
      <c r="D47" s="622"/>
      <c r="E47" s="622"/>
      <c r="F47" s="622"/>
      <c r="G47" s="623"/>
      <c r="H47" s="1"/>
      <c r="I47" s="1"/>
      <c r="J47" s="1"/>
      <c r="K47" s="1"/>
      <c r="L47" s="1"/>
      <c r="M47" s="1"/>
      <c r="P47" s="613"/>
      <c r="Q47" s="466"/>
      <c r="R47" s="466"/>
      <c r="S47" s="466"/>
      <c r="T47" s="466"/>
      <c r="U47" s="466"/>
      <c r="V47" s="466"/>
      <c r="W47" s="466"/>
      <c r="X47" s="466"/>
      <c r="Y47" s="466"/>
      <c r="Z47" s="466"/>
      <c r="AA47" s="466"/>
    </row>
    <row r="48" spans="1:27" ht="12.5">
      <c r="A48" s="621"/>
      <c r="B48" s="2"/>
      <c r="C48" s="2"/>
      <c r="D48" s="2"/>
      <c r="E48" s="2"/>
      <c r="F48" s="2"/>
      <c r="G48" s="623"/>
      <c r="H48" s="1"/>
      <c r="I48" s="1"/>
      <c r="J48" s="1"/>
      <c r="K48" s="1"/>
      <c r="L48" s="1"/>
      <c r="O48" s="624"/>
      <c r="P48" s="625"/>
      <c r="Q48" s="466"/>
      <c r="R48" s="466"/>
      <c r="S48" s="466"/>
      <c r="T48" s="466"/>
      <c r="U48" s="466"/>
      <c r="V48" s="466"/>
      <c r="W48" s="466"/>
      <c r="X48" s="466"/>
      <c r="Y48" s="466"/>
      <c r="Z48" s="466"/>
      <c r="AA48" s="466"/>
    </row>
    <row r="49" spans="1:28" ht="12.5">
      <c r="B49" s="2"/>
      <c r="C49" s="2"/>
      <c r="D49" s="2"/>
      <c r="E49" s="2"/>
      <c r="F49" s="2"/>
      <c r="G49" s="623"/>
      <c r="H49" s="1"/>
      <c r="K49" s="1"/>
      <c r="L49" s="1"/>
      <c r="O49" s="624"/>
      <c r="Q49" s="626"/>
      <c r="R49" s="626"/>
      <c r="S49" s="626"/>
      <c r="T49" s="626"/>
      <c r="U49" s="626"/>
      <c r="V49" s="626"/>
      <c r="W49" s="626"/>
      <c r="X49" s="626"/>
      <c r="Y49" s="626"/>
      <c r="Z49" s="626"/>
      <c r="AA49" s="466"/>
    </row>
    <row r="50" spans="1:28" ht="13">
      <c r="B50" s="642"/>
      <c r="C50" s="642"/>
      <c r="D50" s="642"/>
      <c r="E50" s="642"/>
      <c r="F50" s="642"/>
      <c r="G50" s="642"/>
      <c r="H50" s="642"/>
      <c r="I50" s="642"/>
      <c r="J50" s="642"/>
      <c r="K50" s="642"/>
      <c r="L50" s="642"/>
      <c r="M50" s="642"/>
      <c r="N50" s="642"/>
      <c r="S50" s="466"/>
      <c r="T50" s="466"/>
      <c r="U50" s="466"/>
      <c r="V50" s="466"/>
      <c r="W50" s="466"/>
      <c r="X50" s="466"/>
      <c r="Y50" s="2"/>
      <c r="Z50" s="2"/>
      <c r="AA50" s="466"/>
    </row>
    <row r="51" spans="1:28" ht="12.5">
      <c r="B51" s="2"/>
      <c r="C51" s="2"/>
      <c r="D51" s="2"/>
      <c r="E51" s="2"/>
      <c r="F51" s="2"/>
      <c r="G51" s="2"/>
      <c r="H51" s="1"/>
      <c r="I51" s="1"/>
      <c r="J51" s="1"/>
      <c r="K51" s="1"/>
      <c r="L51" s="1"/>
      <c r="Q51" s="466"/>
      <c r="AA51" s="466"/>
    </row>
    <row r="52" spans="1:28" ht="12.5">
      <c r="B52" s="2"/>
      <c r="C52" s="2"/>
      <c r="D52" s="2"/>
      <c r="E52" s="2"/>
      <c r="F52" s="2"/>
      <c r="G52" s="613"/>
      <c r="H52" s="627"/>
      <c r="I52" s="627"/>
      <c r="J52" s="627"/>
      <c r="K52" s="627"/>
      <c r="L52" s="627"/>
      <c r="M52" s="1"/>
      <c r="N52" s="613"/>
      <c r="P52" s="1"/>
      <c r="Q52" s="466"/>
      <c r="R52" s="466"/>
      <c r="S52" s="466"/>
      <c r="T52" s="466"/>
      <c r="U52" s="466"/>
      <c r="V52" s="466"/>
      <c r="W52" s="466"/>
      <c r="X52" s="466"/>
      <c r="Y52" s="466"/>
      <c r="Z52" s="466"/>
      <c r="AA52" s="466"/>
    </row>
    <row r="53" spans="1:28" ht="12.5">
      <c r="B53" s="2"/>
      <c r="C53" s="2"/>
      <c r="D53" s="2"/>
      <c r="E53" s="2"/>
      <c r="F53" s="2"/>
      <c r="G53" s="628"/>
      <c r="H53" s="628"/>
      <c r="I53" s="628"/>
      <c r="J53" s="628"/>
      <c r="K53" s="628"/>
      <c r="L53" s="628"/>
      <c r="M53" s="1"/>
      <c r="N53" s="613"/>
      <c r="P53" s="613"/>
      <c r="Q53" s="466"/>
      <c r="R53" s="466"/>
      <c r="S53" s="466"/>
      <c r="T53" s="466"/>
      <c r="U53" s="466"/>
      <c r="V53" s="466"/>
      <c r="W53" s="466"/>
      <c r="X53" s="466"/>
      <c r="Y53" s="466"/>
      <c r="Z53" s="466"/>
      <c r="AA53" s="466"/>
    </row>
    <row r="54" spans="1:28">
      <c r="B54" s="2"/>
      <c r="C54" s="2"/>
      <c r="D54" s="2"/>
      <c r="E54" s="2"/>
      <c r="F54" s="2"/>
      <c r="G54" s="2"/>
      <c r="H54" s="1"/>
      <c r="I54" s="1"/>
      <c r="J54" s="1"/>
      <c r="K54" s="1"/>
      <c r="L54" s="1"/>
      <c r="M54" s="1"/>
      <c r="P54" s="1"/>
      <c r="Q54" s="1"/>
      <c r="R54" s="1"/>
      <c r="S54" s="1"/>
    </row>
    <row r="55" spans="1:28" ht="10.5">
      <c r="B55" s="2"/>
      <c r="C55" s="2"/>
      <c r="D55" s="2"/>
      <c r="E55" s="2"/>
      <c r="F55" s="2"/>
      <c r="G55" s="613"/>
      <c r="H55" s="627"/>
      <c r="I55" s="627"/>
      <c r="J55" s="627"/>
      <c r="K55" s="627"/>
      <c r="L55" s="627"/>
      <c r="M55" s="1"/>
      <c r="N55" s="613"/>
      <c r="P55" s="1"/>
      <c r="Q55" s="1"/>
      <c r="R55" s="1"/>
      <c r="S55" s="1"/>
      <c r="AB55" s="641"/>
    </row>
    <row r="56" spans="1:28" ht="13">
      <c r="B56" s="2"/>
      <c r="C56" s="2"/>
      <c r="D56" s="2"/>
      <c r="E56" s="2"/>
      <c r="F56" s="2"/>
      <c r="H56" s="642"/>
      <c r="I56" s="642"/>
      <c r="J56" s="642"/>
      <c r="K56" s="642"/>
      <c r="L56" s="642"/>
      <c r="M56" s="642"/>
      <c r="N56" s="642"/>
      <c r="P56" s="613"/>
      <c r="Q56" s="629"/>
      <c r="R56" s="629"/>
      <c r="S56" s="629"/>
      <c r="T56" s="629"/>
      <c r="U56" s="629"/>
      <c r="V56" s="629"/>
      <c r="W56" s="629"/>
      <c r="X56" s="629"/>
      <c r="Y56" s="629"/>
      <c r="Z56" s="629"/>
      <c r="AA56" s="630"/>
    </row>
    <row r="57" spans="1:28" ht="12.5">
      <c r="B57" s="2"/>
      <c r="C57" s="2"/>
      <c r="D57" s="2"/>
      <c r="E57" s="2"/>
      <c r="F57" s="2"/>
      <c r="G57" s="631"/>
      <c r="H57" s="1"/>
      <c r="I57" s="1"/>
      <c r="J57" s="1"/>
      <c r="K57" s="1"/>
      <c r="L57" s="1"/>
      <c r="M57" s="1"/>
      <c r="N57" s="631"/>
      <c r="P57" s="613"/>
      <c r="Q57" s="466"/>
      <c r="R57" s="466"/>
      <c r="S57" s="466"/>
      <c r="T57" s="466"/>
      <c r="U57" s="466"/>
      <c r="V57" s="466"/>
      <c r="W57" s="466"/>
      <c r="X57" s="466"/>
      <c r="Y57" s="466"/>
      <c r="Z57" s="466"/>
      <c r="AA57" s="630"/>
      <c r="AB57" s="632"/>
    </row>
    <row r="58" spans="1:28" ht="10.5">
      <c r="A58" s="625"/>
      <c r="B58" s="2"/>
      <c r="C58" s="2"/>
      <c r="D58" s="2"/>
      <c r="E58" s="2"/>
      <c r="F58" s="2"/>
      <c r="G58" s="2"/>
      <c r="H58" s="1"/>
      <c r="I58" s="1"/>
      <c r="J58" s="1"/>
      <c r="K58" s="1"/>
      <c r="L58" s="1"/>
      <c r="M58" s="1"/>
      <c r="P58" s="624"/>
      <c r="R58" s="624"/>
      <c r="S58" s="624"/>
      <c r="T58" s="624"/>
      <c r="AA58" s="632"/>
    </row>
    <row r="59" spans="1:28">
      <c r="A59" s="623"/>
      <c r="B59" s="633"/>
      <c r="C59" s="633"/>
      <c r="D59" s="633"/>
      <c r="E59" s="633"/>
      <c r="F59" s="2"/>
      <c r="G59" s="2"/>
      <c r="H59" s="1"/>
      <c r="I59" s="1"/>
      <c r="J59" s="1"/>
      <c r="K59" s="1"/>
      <c r="L59" s="1"/>
      <c r="M59" s="1"/>
      <c r="T59" s="2"/>
      <c r="X59" s="228"/>
      <c r="AA59" s="634"/>
      <c r="AB59" s="182"/>
    </row>
    <row r="60" spans="1:28">
      <c r="A60" s="635"/>
      <c r="B60" s="636"/>
      <c r="C60" s="636"/>
      <c r="D60" s="636"/>
      <c r="E60" s="636"/>
      <c r="H60" s="1"/>
      <c r="I60" s="1"/>
      <c r="J60" s="1"/>
      <c r="K60" s="1"/>
      <c r="L60" s="1"/>
      <c r="M60" s="1"/>
      <c r="T60" s="2"/>
      <c r="X60" s="228"/>
      <c r="AA60" s="634"/>
      <c r="AB60" s="182"/>
    </row>
    <row r="61" spans="1:28" ht="10.5">
      <c r="A61" s="634"/>
      <c r="B61" s="636"/>
      <c r="C61" s="636"/>
      <c r="D61" s="636"/>
      <c r="E61" s="636"/>
      <c r="H61" s="1"/>
      <c r="I61" s="1"/>
      <c r="J61" s="1"/>
      <c r="K61" s="1"/>
      <c r="L61" s="1"/>
      <c r="M61" s="1"/>
      <c r="P61" s="613"/>
      <c r="Q61" s="1"/>
      <c r="T61" s="2"/>
      <c r="X61" s="228"/>
      <c r="AA61" s="637"/>
    </row>
    <row r="62" spans="1:28">
      <c r="A62" s="634"/>
      <c r="B62" s="636"/>
      <c r="C62" s="636"/>
      <c r="D62" s="636"/>
      <c r="E62" s="636"/>
      <c r="H62" s="1"/>
      <c r="I62" s="1"/>
      <c r="J62" s="1"/>
      <c r="K62" s="1"/>
      <c r="L62" s="1"/>
      <c r="M62" s="1"/>
      <c r="P62" s="1"/>
      <c r="Q62" s="1"/>
      <c r="R62" s="1"/>
      <c r="S62" s="1"/>
    </row>
    <row r="63" spans="1:28">
      <c r="A63" s="634"/>
      <c r="B63" s="636"/>
      <c r="C63" s="636"/>
      <c r="D63" s="636"/>
      <c r="E63" s="636"/>
      <c r="H63" s="1"/>
      <c r="I63" s="1"/>
      <c r="J63" s="1"/>
      <c r="K63" s="1"/>
      <c r="L63" s="1"/>
      <c r="M63" s="1"/>
      <c r="P63" s="1"/>
      <c r="Q63" s="1"/>
      <c r="R63" s="1"/>
      <c r="S63" s="1"/>
    </row>
    <row r="64" spans="1:28">
      <c r="A64" s="634"/>
      <c r="B64" s="636"/>
      <c r="C64" s="636"/>
      <c r="D64" s="636"/>
      <c r="E64" s="636"/>
      <c r="H64" s="1"/>
      <c r="I64" s="1"/>
      <c r="J64" s="1"/>
      <c r="K64" s="1"/>
      <c r="L64" s="1"/>
      <c r="M64" s="1"/>
      <c r="P64" s="1"/>
      <c r="Q64" s="1"/>
      <c r="R64" s="1"/>
      <c r="S64" s="1"/>
    </row>
    <row r="65" spans="1:19">
      <c r="A65" s="638"/>
      <c r="B65" s="636"/>
      <c r="C65" s="636"/>
      <c r="D65" s="636"/>
      <c r="E65" s="636"/>
      <c r="H65" s="1"/>
      <c r="I65" s="1"/>
      <c r="J65" s="1"/>
      <c r="K65" s="1"/>
      <c r="L65" s="1"/>
      <c r="M65" s="1"/>
      <c r="P65" s="1"/>
      <c r="Q65" s="1"/>
      <c r="R65" s="1"/>
      <c r="S65" s="1"/>
    </row>
    <row r="66" spans="1:19">
      <c r="A66" s="634"/>
      <c r="B66" s="636"/>
      <c r="C66" s="636"/>
      <c r="D66" s="636"/>
      <c r="E66" s="636"/>
      <c r="H66" s="1"/>
      <c r="I66" s="1"/>
      <c r="J66" s="1"/>
      <c r="K66" s="1"/>
      <c r="L66" s="1"/>
      <c r="M66" s="1"/>
      <c r="P66" s="1"/>
      <c r="Q66" s="1"/>
      <c r="R66" s="1"/>
      <c r="S66" s="1"/>
    </row>
    <row r="67" spans="1:19" ht="12.75" customHeight="1">
      <c r="A67" s="639"/>
      <c r="B67" s="636"/>
      <c r="C67" s="51"/>
      <c r="M67" s="1"/>
    </row>
    <row r="68" spans="1:19" ht="12.75" customHeight="1">
      <c r="A68" s="640"/>
      <c r="B68" s="636"/>
      <c r="C68" s="51"/>
      <c r="M68" s="1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4" orientation="landscape" r:id="rId1"/>
  <headerFooter alignWithMargins="0">
    <oddFooter>&amp;LRestricted</oddFooter>
  </headerFooter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B13D1-2818-4844-A7DE-117897A1CF4C}">
  <sheetPr codeName="Sheet6"/>
  <dimension ref="A1"/>
  <sheetViews>
    <sheetView workbookViewId="0">
      <selection activeCell="J25" sqref="J25"/>
    </sheetView>
  </sheetViews>
  <sheetFormatPr defaultRowHeight="12.5"/>
  <sheetData/>
  <pageMargins left="0.7" right="0.7" top="0.75" bottom="0.75" header="0.3" footer="0.3"/>
  <customProperties>
    <customPr name="_pios_id" r:id="rId1"/>
  </customPropertie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2F906-926B-4DD0-8691-DCE33F68FDC2}">
  <sheetPr codeName="Sheet12"/>
  <dimension ref="A4:F65"/>
  <sheetViews>
    <sheetView workbookViewId="0">
      <selection activeCell="D18" sqref="D18"/>
    </sheetView>
  </sheetViews>
  <sheetFormatPr defaultRowHeight="12.5"/>
  <cols>
    <col min="1" max="3" width="14.453125" bestFit="1" customWidth="1"/>
    <col min="4" max="4" width="22.453125" bestFit="1" customWidth="1"/>
    <col min="5" max="5" width="39.08984375" bestFit="1" customWidth="1"/>
    <col min="6" max="6" width="21" bestFit="1" customWidth="1"/>
    <col min="7" max="52" width="16.36328125" bestFit="1" customWidth="1"/>
    <col min="53" max="53" width="11.36328125" bestFit="1" customWidth="1"/>
  </cols>
  <sheetData>
    <row r="4" spans="1:6">
      <c r="D4" s="522" t="s">
        <v>456</v>
      </c>
    </row>
    <row r="5" spans="1:6">
      <c r="A5" s="522" t="s">
        <v>230</v>
      </c>
      <c r="B5" s="522" t="s">
        <v>318</v>
      </c>
      <c r="C5" s="522" t="s">
        <v>319</v>
      </c>
      <c r="D5" t="s">
        <v>455</v>
      </c>
      <c r="E5" t="s">
        <v>457</v>
      </c>
      <c r="F5" t="s">
        <v>466</v>
      </c>
    </row>
    <row r="6" spans="1:6">
      <c r="A6">
        <v>2025</v>
      </c>
      <c r="B6">
        <v>1</v>
      </c>
      <c r="C6" t="s">
        <v>321</v>
      </c>
      <c r="D6" s="466">
        <v>2871455.633712172</v>
      </c>
      <c r="E6" s="466">
        <v>9403885.2118424922</v>
      </c>
      <c r="F6" s="466">
        <v>9815439.4000399988</v>
      </c>
    </row>
    <row r="7" spans="1:6">
      <c r="A7">
        <v>2025</v>
      </c>
      <c r="B7">
        <v>2</v>
      </c>
      <c r="C7" t="s">
        <v>322</v>
      </c>
      <c r="D7" s="466">
        <v>2828358.145665647</v>
      </c>
      <c r="E7" s="466">
        <v>9403885.2118424922</v>
      </c>
      <c r="F7" s="466">
        <v>9815439.4000399988</v>
      </c>
    </row>
    <row r="8" spans="1:6">
      <c r="A8" t="s">
        <v>458</v>
      </c>
      <c r="D8" s="466">
        <v>5699813.779377819</v>
      </c>
      <c r="E8" s="466">
        <v>18807770.423684984</v>
      </c>
      <c r="F8" s="521">
        <v>19630878.800079998</v>
      </c>
    </row>
    <row r="9" spans="1:6">
      <c r="A9">
        <v>2026</v>
      </c>
      <c r="B9">
        <v>3</v>
      </c>
      <c r="C9" t="s">
        <v>323</v>
      </c>
      <c r="D9" s="466">
        <v>2784993.1752144354</v>
      </c>
      <c r="E9" s="466">
        <v>9403885.2118424922</v>
      </c>
      <c r="F9" s="466">
        <v>9815439.4000399988</v>
      </c>
    </row>
    <row r="10" spans="1:6">
      <c r="A10">
        <v>2026</v>
      </c>
      <c r="B10">
        <v>4</v>
      </c>
      <c r="C10" t="s">
        <v>406</v>
      </c>
      <c r="D10" s="466">
        <v>2741359.0622423668</v>
      </c>
      <c r="E10" s="466">
        <v>9403885.2118424922</v>
      </c>
      <c r="F10" s="466">
        <v>9815439.4000399988</v>
      </c>
    </row>
    <row r="11" spans="1:6">
      <c r="A11">
        <v>2026</v>
      </c>
      <c r="B11">
        <v>5</v>
      </c>
      <c r="C11" t="s">
        <v>407</v>
      </c>
      <c r="D11" s="466">
        <v>2697454.1363298427</v>
      </c>
      <c r="E11" s="466">
        <v>9403885.2118424922</v>
      </c>
      <c r="F11" s="466">
        <v>9815439.4000399988</v>
      </c>
    </row>
    <row r="12" spans="1:6">
      <c r="A12">
        <v>2026</v>
      </c>
      <c r="B12">
        <v>6</v>
      </c>
      <c r="C12" t="s">
        <v>408</v>
      </c>
      <c r="D12" s="466">
        <v>2653276.7166898889</v>
      </c>
      <c r="E12" s="466">
        <v>9403885.2118424922</v>
      </c>
      <c r="F12" s="466">
        <v>9815439.4000399988</v>
      </c>
    </row>
    <row r="13" spans="1:6">
      <c r="A13">
        <v>2026</v>
      </c>
      <c r="B13">
        <v>7</v>
      </c>
      <c r="C13" t="s">
        <v>409</v>
      </c>
      <c r="D13" s="466">
        <v>2608825.112103811</v>
      </c>
      <c r="E13" s="466">
        <v>9403885.2118424922</v>
      </c>
      <c r="F13" s="466">
        <v>9815439.4000399988</v>
      </c>
    </row>
    <row r="14" spans="1:6">
      <c r="A14">
        <v>2026</v>
      </c>
      <c r="B14">
        <v>8</v>
      </c>
      <c r="C14" t="s">
        <v>410</v>
      </c>
      <c r="D14" s="466">
        <v>2564097.6208564495</v>
      </c>
      <c r="E14" s="466">
        <v>9403885.2118424922</v>
      </c>
      <c r="F14" s="466">
        <v>9815439.4000399988</v>
      </c>
    </row>
    <row r="15" spans="1:6">
      <c r="A15">
        <v>2026</v>
      </c>
      <c r="B15">
        <v>9</v>
      </c>
      <c r="C15" t="s">
        <v>411</v>
      </c>
      <c r="D15" s="466">
        <v>2519092.5306710363</v>
      </c>
      <c r="E15" s="466">
        <v>9403885.2118424922</v>
      </c>
      <c r="F15" s="466">
        <v>9815439.4000399988</v>
      </c>
    </row>
    <row r="16" spans="1:6">
      <c r="A16">
        <v>2026</v>
      </c>
      <c r="B16">
        <v>10</v>
      </c>
      <c r="C16" t="s">
        <v>412</v>
      </c>
      <c r="D16" s="466">
        <v>2473808.1186436415</v>
      </c>
      <c r="E16" s="466">
        <v>9403885.2118424922</v>
      </c>
      <c r="F16" s="466">
        <v>9815439.4000399988</v>
      </c>
    </row>
    <row r="17" spans="1:6">
      <c r="A17">
        <v>2026</v>
      </c>
      <c r="B17">
        <v>11</v>
      </c>
      <c r="C17" t="s">
        <v>413</v>
      </c>
      <c r="D17" s="466">
        <v>2428242.6511772191</v>
      </c>
      <c r="E17" s="466">
        <v>9403885.2118424922</v>
      </c>
      <c r="F17" s="466">
        <v>9815439.4000399988</v>
      </c>
    </row>
    <row r="18" spans="1:6">
      <c r="A18">
        <v>2026</v>
      </c>
      <c r="B18">
        <v>12</v>
      </c>
      <c r="C18" t="s">
        <v>414</v>
      </c>
      <c r="D18" s="466">
        <v>2382394.3839152399</v>
      </c>
      <c r="E18" s="466">
        <v>9403885.2118424922</v>
      </c>
      <c r="F18" s="466">
        <v>9815439.4000399988</v>
      </c>
    </row>
    <row r="19" spans="1:6">
      <c r="A19">
        <v>2026</v>
      </c>
      <c r="B19">
        <v>13</v>
      </c>
      <c r="C19" t="s">
        <v>415</v>
      </c>
      <c r="D19" s="466">
        <v>2336261.5616749129</v>
      </c>
      <c r="E19" s="466">
        <v>9403885.2118424922</v>
      </c>
      <c r="F19" s="466">
        <v>9815439.4000399988</v>
      </c>
    </row>
    <row r="20" spans="1:6">
      <c r="A20">
        <v>2026</v>
      </c>
      <c r="B20">
        <v>14</v>
      </c>
      <c r="C20" t="s">
        <v>416</v>
      </c>
      <c r="D20" s="466">
        <v>2289842.4183799918</v>
      </c>
      <c r="E20" s="466">
        <v>9403885.2118424922</v>
      </c>
      <c r="F20" s="466">
        <v>9815439.4000399988</v>
      </c>
    </row>
    <row r="21" spans="1:6">
      <c r="A21" t="s">
        <v>459</v>
      </c>
      <c r="D21" s="466">
        <v>30479647.487898838</v>
      </c>
      <c r="E21" s="466">
        <v>112846622.54210991</v>
      </c>
      <c r="F21" s="521">
        <v>117785272.80047999</v>
      </c>
    </row>
    <row r="22" spans="1:6">
      <c r="A22">
        <v>2027</v>
      </c>
      <c r="B22">
        <v>15</v>
      </c>
      <c r="C22" t="s">
        <v>417</v>
      </c>
      <c r="D22" s="466">
        <v>2243135.176993168</v>
      </c>
      <c r="E22" s="466">
        <v>9403885.2118424922</v>
      </c>
      <c r="F22" s="466">
        <v>9815439.4000399988</v>
      </c>
    </row>
    <row r="23" spans="1:6">
      <c r="A23">
        <v>2027</v>
      </c>
      <c r="B23">
        <v>16</v>
      </c>
      <c r="C23" t="s">
        <v>418</v>
      </c>
      <c r="D23" s="466">
        <v>2187680.4419993307</v>
      </c>
      <c r="E23" s="466">
        <v>9403885.2118424922</v>
      </c>
      <c r="F23" s="466">
        <v>11178151.973041998</v>
      </c>
    </row>
    <row r="24" spans="1:6">
      <c r="A24">
        <v>2027</v>
      </c>
      <c r="B24">
        <v>17</v>
      </c>
      <c r="C24" t="s">
        <v>419</v>
      </c>
      <c r="D24" s="466">
        <v>2131881.529965491</v>
      </c>
      <c r="E24" s="466">
        <v>9403885.2118424922</v>
      </c>
      <c r="F24" s="466">
        <v>11178151.973041998</v>
      </c>
    </row>
    <row r="25" spans="1:6">
      <c r="A25">
        <v>2027</v>
      </c>
      <c r="B25">
        <v>18</v>
      </c>
      <c r="C25" t="s">
        <v>420</v>
      </c>
      <c r="D25" s="466">
        <v>2075736.3047740587</v>
      </c>
      <c r="E25" s="466">
        <v>9403885.2118424922</v>
      </c>
      <c r="F25" s="466">
        <v>11178151.973041998</v>
      </c>
    </row>
    <row r="26" spans="1:6">
      <c r="A26">
        <v>2027</v>
      </c>
      <c r="B26">
        <v>19</v>
      </c>
      <c r="C26" t="s">
        <v>421</v>
      </c>
      <c r="D26" s="466">
        <v>2019242.6170497371</v>
      </c>
      <c r="E26" s="466">
        <v>9403885.2118424922</v>
      </c>
      <c r="F26" s="466">
        <v>11178151.973041998</v>
      </c>
    </row>
    <row r="27" spans="1:6">
      <c r="A27">
        <v>2027</v>
      </c>
      <c r="B27">
        <v>20</v>
      </c>
      <c r="C27" t="s">
        <v>422</v>
      </c>
      <c r="D27" s="466">
        <v>1962398.304077239</v>
      </c>
      <c r="E27" s="466">
        <v>9403885.2118424922</v>
      </c>
      <c r="F27" s="466">
        <v>11178151.973041998</v>
      </c>
    </row>
    <row r="28" spans="1:6">
      <c r="A28">
        <v>2027</v>
      </c>
      <c r="B28">
        <v>21</v>
      </c>
      <c r="C28" t="s">
        <v>423</v>
      </c>
      <c r="D28" s="466">
        <v>1905201.1897184926</v>
      </c>
      <c r="E28" s="466">
        <v>9403885.2118424922</v>
      </c>
      <c r="F28" s="466">
        <v>11178151.973041998</v>
      </c>
    </row>
    <row r="29" spans="1:6">
      <c r="A29">
        <v>2027</v>
      </c>
      <c r="B29">
        <v>22</v>
      </c>
      <c r="C29" t="s">
        <v>424</v>
      </c>
      <c r="D29" s="466">
        <v>1847649.0843293343</v>
      </c>
      <c r="E29" s="466">
        <v>9403885.2118424922</v>
      </c>
      <c r="F29" s="466">
        <v>11178151.973041998</v>
      </c>
    </row>
    <row r="30" spans="1:6">
      <c r="A30">
        <v>2027</v>
      </c>
      <c r="B30">
        <v>23</v>
      </c>
      <c r="C30" t="s">
        <v>425</v>
      </c>
      <c r="D30" s="466">
        <v>1789739.7846756836</v>
      </c>
      <c r="E30" s="466">
        <v>9403885.2118424922</v>
      </c>
      <c r="F30" s="466">
        <v>11178151.973041998</v>
      </c>
    </row>
    <row r="31" spans="1:6">
      <c r="A31">
        <v>2027</v>
      </c>
      <c r="B31">
        <v>24</v>
      </c>
      <c r="C31" t="s">
        <v>426</v>
      </c>
      <c r="D31" s="466">
        <v>1731471.0738491972</v>
      </c>
      <c r="E31" s="466">
        <v>9403885.2118424922</v>
      </c>
      <c r="F31" s="466">
        <v>11178151.973041998</v>
      </c>
    </row>
    <row r="32" spans="1:6">
      <c r="A32">
        <v>2027</v>
      </c>
      <c r="B32">
        <v>25</v>
      </c>
      <c r="C32" t="s">
        <v>427</v>
      </c>
      <c r="D32" s="466">
        <v>1672840.721182402</v>
      </c>
      <c r="E32" s="466">
        <v>9403885.2118424922</v>
      </c>
      <c r="F32" s="466">
        <v>11178151.973041998</v>
      </c>
    </row>
    <row r="33" spans="1:6">
      <c r="A33">
        <v>2027</v>
      </c>
      <c r="B33">
        <v>26</v>
      </c>
      <c r="C33" t="s">
        <v>428</v>
      </c>
      <c r="D33" s="466">
        <v>1613846.4821632979</v>
      </c>
      <c r="E33" s="466">
        <v>9403885.2118424922</v>
      </c>
      <c r="F33" s="466">
        <v>11178151.973041998</v>
      </c>
    </row>
    <row r="34" spans="1:6">
      <c r="A34" t="s">
        <v>460</v>
      </c>
      <c r="D34" s="466">
        <v>23180822.710777432</v>
      </c>
      <c r="E34" s="466">
        <v>112846622.54210991</v>
      </c>
      <c r="F34" s="521">
        <v>132775111.10350196</v>
      </c>
    </row>
    <row r="35" spans="1:6">
      <c r="A35">
        <v>2028</v>
      </c>
      <c r="B35">
        <v>27</v>
      </c>
      <c r="C35" t="s">
        <v>429</v>
      </c>
      <c r="D35" s="466">
        <v>1554486.0983494336</v>
      </c>
      <c r="E35" s="466">
        <v>9403885.2118424922</v>
      </c>
      <c r="F35" s="466">
        <v>11178151.973041998</v>
      </c>
    </row>
    <row r="36" spans="1:6">
      <c r="A36">
        <v>2028</v>
      </c>
      <c r="B36">
        <v>28</v>
      </c>
      <c r="C36" t="s">
        <v>430</v>
      </c>
      <c r="D36" s="466">
        <v>1494400.1672751999</v>
      </c>
      <c r="E36" s="466">
        <v>9403885.2118424922</v>
      </c>
      <c r="F36" s="466">
        <v>11235693.724969098</v>
      </c>
    </row>
    <row r="37" spans="1:6">
      <c r="A37">
        <v>2028</v>
      </c>
      <c r="B37">
        <v>29</v>
      </c>
      <c r="C37" t="s">
        <v>431</v>
      </c>
      <c r="D37" s="466">
        <v>1433941.3158740506</v>
      </c>
      <c r="E37" s="466">
        <v>9403885.2118424922</v>
      </c>
      <c r="F37" s="466">
        <v>11235693.724969098</v>
      </c>
    </row>
    <row r="38" spans="1:6">
      <c r="A38">
        <v>2028</v>
      </c>
      <c r="B38">
        <v>30</v>
      </c>
      <c r="C38" t="s">
        <v>432</v>
      </c>
      <c r="D38" s="466">
        <v>1373107.2296346228</v>
      </c>
      <c r="E38" s="466">
        <v>9403885.2118424922</v>
      </c>
      <c r="F38" s="466">
        <v>11235693.724969098</v>
      </c>
    </row>
    <row r="39" spans="1:6">
      <c r="A39">
        <v>2028</v>
      </c>
      <c r="B39">
        <v>31</v>
      </c>
      <c r="C39" t="s">
        <v>433</v>
      </c>
      <c r="D39" s="466">
        <v>1311895.5796806542</v>
      </c>
      <c r="E39" s="466">
        <v>9403885.2118424922</v>
      </c>
      <c r="F39" s="466">
        <v>11235693.724969098</v>
      </c>
    </row>
    <row r="40" spans="1:6">
      <c r="A40">
        <v>2028</v>
      </c>
      <c r="B40">
        <v>32</v>
      </c>
      <c r="C40" t="s">
        <v>434</v>
      </c>
      <c r="D40" s="466">
        <v>1250304.0226818288</v>
      </c>
      <c r="E40" s="466">
        <v>9403885.2118424922</v>
      </c>
      <c r="F40" s="466">
        <v>11235693.724969098</v>
      </c>
    </row>
    <row r="41" spans="1:6">
      <c r="A41">
        <v>2028</v>
      </c>
      <c r="B41">
        <v>33</v>
      </c>
      <c r="C41" t="s">
        <v>435</v>
      </c>
      <c r="D41" s="466">
        <v>1188330.2007640679</v>
      </c>
      <c r="E41" s="466">
        <v>9403885.2118424922</v>
      </c>
      <c r="F41" s="466">
        <v>11235693.724969098</v>
      </c>
    </row>
    <row r="42" spans="1:6">
      <c r="A42">
        <v>2028</v>
      </c>
      <c r="B42">
        <v>34</v>
      </c>
      <c r="C42" t="s">
        <v>436</v>
      </c>
      <c r="D42" s="466">
        <v>1125971.7414192657</v>
      </c>
      <c r="E42" s="466">
        <v>9403885.2118424922</v>
      </c>
      <c r="F42" s="466">
        <v>11235693.724969098</v>
      </c>
    </row>
    <row r="43" spans="1:6">
      <c r="A43">
        <v>2028</v>
      </c>
      <c r="B43">
        <v>35</v>
      </c>
      <c r="C43" t="s">
        <v>437</v>
      </c>
      <c r="D43" s="466">
        <v>1063226.2574144627</v>
      </c>
      <c r="E43" s="466">
        <v>9403885.2118424922</v>
      </c>
      <c r="F43" s="466">
        <v>11235693.724969098</v>
      </c>
    </row>
    <row r="44" spans="1:6">
      <c r="A44">
        <v>2028</v>
      </c>
      <c r="B44">
        <v>36</v>
      </c>
      <c r="C44" t="s">
        <v>438</v>
      </c>
      <c r="D44" s="466">
        <v>1000091.3467004584</v>
      </c>
      <c r="E44" s="466">
        <v>9403885.2118424922</v>
      </c>
      <c r="F44" s="466">
        <v>11235693.724969098</v>
      </c>
    </row>
    <row r="45" spans="1:6">
      <c r="A45">
        <v>2028</v>
      </c>
      <c r="B45">
        <v>37</v>
      </c>
      <c r="C45" t="s">
        <v>439</v>
      </c>
      <c r="D45" s="466">
        <v>936564.59231985314</v>
      </c>
      <c r="E45" s="466">
        <v>9403885.2118424922</v>
      </c>
      <c r="F45" s="466">
        <v>11235693.724969098</v>
      </c>
    </row>
    <row r="46" spans="1:6">
      <c r="A46">
        <v>2028</v>
      </c>
      <c r="B46">
        <v>38</v>
      </c>
      <c r="C46" t="s">
        <v>440</v>
      </c>
      <c r="D46" s="466">
        <v>872643.5623145221</v>
      </c>
      <c r="E46" s="466">
        <v>9403885.2118424922</v>
      </c>
      <c r="F46" s="466">
        <v>11235693.724969098</v>
      </c>
    </row>
    <row r="47" spans="1:6">
      <c r="A47" t="s">
        <v>461</v>
      </c>
      <c r="D47" s="466">
        <v>14604962.114428418</v>
      </c>
      <c r="E47" s="466">
        <v>112846622.54210991</v>
      </c>
      <c r="F47" s="521">
        <v>134770782.94770211</v>
      </c>
    </row>
    <row r="48" spans="1:6">
      <c r="A48">
        <v>2029</v>
      </c>
      <c r="B48">
        <v>39</v>
      </c>
      <c r="C48" t="s">
        <v>441</v>
      </c>
      <c r="D48" s="466">
        <v>808325.8096325146</v>
      </c>
      <c r="E48" s="466">
        <v>9403885.2118424922</v>
      </c>
      <c r="F48" s="466">
        <v>11235693.724969098</v>
      </c>
    </row>
    <row r="49" spans="1:6">
      <c r="A49">
        <v>2029</v>
      </c>
      <c r="B49">
        <v>40</v>
      </c>
      <c r="C49" t="s">
        <v>442</v>
      </c>
      <c r="D49" s="466">
        <v>743233.88552781346</v>
      </c>
      <c r="E49" s="466">
        <v>9403885.2118424922</v>
      </c>
      <c r="F49" s="466">
        <v>11296112.564492553</v>
      </c>
    </row>
    <row r="50" spans="1:6">
      <c r="A50">
        <v>2029</v>
      </c>
      <c r="B50">
        <v>41</v>
      </c>
      <c r="C50" t="s">
        <v>443</v>
      </c>
      <c r="D50" s="466">
        <v>677737.97165075282</v>
      </c>
      <c r="E50" s="466">
        <v>9403885.2118424922</v>
      </c>
      <c r="F50" s="466">
        <v>11296112.564492553</v>
      </c>
    </row>
    <row r="51" spans="1:6">
      <c r="A51">
        <v>2029</v>
      </c>
      <c r="B51">
        <v>42</v>
      </c>
      <c r="C51" t="s">
        <v>444</v>
      </c>
      <c r="D51" s="466">
        <v>611835.56065900985</v>
      </c>
      <c r="E51" s="466">
        <v>9403885.2118424922</v>
      </c>
      <c r="F51" s="466">
        <v>11296112.564492553</v>
      </c>
    </row>
    <row r="52" spans="1:6">
      <c r="A52">
        <v>2029</v>
      </c>
      <c r="B52">
        <v>43</v>
      </c>
      <c r="C52" t="s">
        <v>445</v>
      </c>
      <c r="D52" s="466">
        <v>545524.12964856706</v>
      </c>
      <c r="E52" s="466">
        <v>9403885.2118424922</v>
      </c>
      <c r="F52" s="466">
        <v>11296112.564492553</v>
      </c>
    </row>
    <row r="53" spans="1:6">
      <c r="A53">
        <v>2029</v>
      </c>
      <c r="B53">
        <v>44</v>
      </c>
      <c r="C53" t="s">
        <v>446</v>
      </c>
      <c r="D53" s="466">
        <v>478801.14005712961</v>
      </c>
      <c r="E53" s="466">
        <v>9403885.2118424922</v>
      </c>
      <c r="F53" s="466">
        <v>11296112.564492553</v>
      </c>
    </row>
    <row r="54" spans="1:6">
      <c r="A54">
        <v>2029</v>
      </c>
      <c r="B54">
        <v>45</v>
      </c>
      <c r="C54" t="s">
        <v>447</v>
      </c>
      <c r="D54" s="466">
        <v>411664.0375669424</v>
      </c>
      <c r="E54" s="466">
        <v>9403885.2118424922</v>
      </c>
      <c r="F54" s="466">
        <v>11296112.564492553</v>
      </c>
    </row>
    <row r="55" spans="1:6">
      <c r="A55">
        <v>2029</v>
      </c>
      <c r="B55">
        <v>46</v>
      </c>
      <c r="C55" t="s">
        <v>448</v>
      </c>
      <c r="D55" s="466">
        <v>344110.25200700498</v>
      </c>
      <c r="E55" s="466">
        <v>9403885.2118424922</v>
      </c>
      <c r="F55" s="466">
        <v>11296112.564492553</v>
      </c>
    </row>
    <row r="56" spans="1:6">
      <c r="A56">
        <v>2029</v>
      </c>
      <c r="B56">
        <v>47</v>
      </c>
      <c r="C56" t="s">
        <v>449</v>
      </c>
      <c r="D56" s="466">
        <v>276137.19725467899</v>
      </c>
      <c r="E56" s="466">
        <v>9403885.2118424922</v>
      </c>
      <c r="F56" s="466">
        <v>11296112.564492553</v>
      </c>
    </row>
    <row r="57" spans="1:6">
      <c r="A57">
        <v>2029</v>
      </c>
      <c r="B57">
        <v>48</v>
      </c>
      <c r="C57" t="s">
        <v>450</v>
      </c>
      <c r="D57" s="466">
        <v>207742.27113668554</v>
      </c>
      <c r="E57" s="466">
        <v>9403885.2118424922</v>
      </c>
      <c r="F57" s="466">
        <v>11296112.564492553</v>
      </c>
    </row>
    <row r="58" spans="1:6">
      <c r="A58">
        <v>2029</v>
      </c>
      <c r="B58">
        <v>49</v>
      </c>
      <c r="C58" t="s">
        <v>451</v>
      </c>
      <c r="D58" s="466">
        <v>138922.85532948701</v>
      </c>
      <c r="E58" s="466">
        <v>9403885.2118424922</v>
      </c>
      <c r="F58" s="466">
        <v>11296112.564492553</v>
      </c>
    </row>
    <row r="59" spans="1:6">
      <c r="A59">
        <v>2029</v>
      </c>
      <c r="B59">
        <v>50</v>
      </c>
      <c r="C59" t="s">
        <v>452</v>
      </c>
      <c r="D59" s="466">
        <v>69676.315259051902</v>
      </c>
      <c r="E59" s="466">
        <v>9403885.2118424922</v>
      </c>
      <c r="F59" s="466">
        <v>11296112.564492553</v>
      </c>
    </row>
    <row r="60" spans="1:6">
      <c r="A60" t="s">
        <v>462</v>
      </c>
      <c r="D60" s="466">
        <v>5313711.425729637</v>
      </c>
      <c r="E60" s="466">
        <v>112846622.54210991</v>
      </c>
      <c r="F60" s="521">
        <v>135492931.93438718</v>
      </c>
    </row>
    <row r="61" spans="1:6">
      <c r="A61">
        <v>2030</v>
      </c>
      <c r="B61">
        <v>51</v>
      </c>
      <c r="C61" t="s">
        <v>453</v>
      </c>
      <c r="D61" s="466">
        <v>-3.3640804700553413E-9</v>
      </c>
      <c r="E61" s="466">
        <v>9403885.2118424922</v>
      </c>
      <c r="F61" s="466">
        <v>11296112.564492553</v>
      </c>
    </row>
    <row r="62" spans="1:6">
      <c r="A62" t="s">
        <v>463</v>
      </c>
      <c r="D62" s="466">
        <v>-3.3640804700553413E-9</v>
      </c>
      <c r="E62" s="466">
        <v>9403885.2118424922</v>
      </c>
      <c r="F62" s="521">
        <v>11296112.564492553</v>
      </c>
    </row>
    <row r="63" spans="1:6">
      <c r="A63" t="s">
        <v>464</v>
      </c>
      <c r="B63">
        <v>0</v>
      </c>
      <c r="C63" t="s">
        <v>320</v>
      </c>
      <c r="D63" s="466"/>
      <c r="E63" s="466"/>
      <c r="F63" s="521">
        <v>2442913.9843363357</v>
      </c>
    </row>
    <row r="64" spans="1:6">
      <c r="A64" t="s">
        <v>465</v>
      </c>
      <c r="D64" s="466"/>
      <c r="E64" s="466"/>
      <c r="F64" s="521">
        <v>2442913.9843363357</v>
      </c>
    </row>
    <row r="65" spans="1:6">
      <c r="A65" t="s">
        <v>454</v>
      </c>
      <c r="D65" s="466">
        <v>79278957.51821214</v>
      </c>
      <c r="E65" s="466">
        <v>479598145.80396658</v>
      </c>
      <c r="F65" s="466">
        <v>554194004.13498056</v>
      </c>
    </row>
  </sheetData>
  <pageMargins left="0.7" right="0.7" top="0.75" bottom="0.75" header="0.3" footer="0.3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29A7-3789-43E1-BD69-811851797409}">
  <sheetPr codeName="Sheet5"/>
  <dimension ref="A1:I30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H26" sqref="H26"/>
    </sheetView>
  </sheetViews>
  <sheetFormatPr defaultColWidth="8.90625" defaultRowHeight="12.5"/>
  <cols>
    <col min="1" max="1" width="6.36328125" style="402" customWidth="1"/>
    <col min="2" max="2" width="53.54296875" style="402" bestFit="1" customWidth="1"/>
    <col min="3" max="7" width="13.36328125" style="402" customWidth="1"/>
    <col min="8" max="8" width="14.36328125" style="402" bestFit="1" customWidth="1"/>
    <col min="9" max="16384" width="8.90625" style="402"/>
  </cols>
  <sheetData>
    <row r="1" spans="1:9" ht="13">
      <c r="A1" s="767" t="s">
        <v>338</v>
      </c>
      <c r="B1" s="767"/>
      <c r="C1" s="441">
        <f>'Rent Calculation'!G21</f>
        <v>883.96506874767749</v>
      </c>
      <c r="D1" s="431"/>
      <c r="E1" s="431"/>
      <c r="F1" s="431"/>
      <c r="G1" s="431"/>
      <c r="H1" s="431"/>
    </row>
    <row r="2" spans="1:9" ht="39.65" customHeight="1">
      <c r="A2" s="767" t="s">
        <v>334</v>
      </c>
      <c r="B2" s="767"/>
      <c r="C2" s="766" t="s">
        <v>335</v>
      </c>
      <c r="D2" s="766"/>
      <c r="E2" s="766" t="s">
        <v>336</v>
      </c>
      <c r="F2" s="766"/>
      <c r="G2" s="766" t="s">
        <v>337</v>
      </c>
      <c r="H2" s="766"/>
    </row>
    <row r="3" spans="1:9">
      <c r="A3" s="767" t="s">
        <v>331</v>
      </c>
      <c r="B3" s="767"/>
      <c r="C3" s="431">
        <v>36</v>
      </c>
      <c r="D3" s="431"/>
      <c r="E3" s="431">
        <v>12</v>
      </c>
      <c r="F3" s="431"/>
      <c r="G3" s="431"/>
      <c r="H3" s="431">
        <f>C3+E3</f>
        <v>48</v>
      </c>
    </row>
    <row r="4" spans="1:9" s="432" customFormat="1" ht="13">
      <c r="A4" s="765" t="s">
        <v>146</v>
      </c>
      <c r="B4" s="765"/>
      <c r="C4" s="442" t="s">
        <v>332</v>
      </c>
      <c r="D4" s="442" t="s">
        <v>333</v>
      </c>
      <c r="E4" s="442" t="s">
        <v>332</v>
      </c>
      <c r="F4" s="442" t="s">
        <v>333</v>
      </c>
      <c r="G4" s="442" t="s">
        <v>332</v>
      </c>
      <c r="H4" s="442" t="s">
        <v>333</v>
      </c>
      <c r="I4" s="425"/>
    </row>
    <row r="5" spans="1:9">
      <c r="A5" s="431">
        <v>1</v>
      </c>
      <c r="B5" s="431" t="s">
        <v>147</v>
      </c>
      <c r="C5" s="443">
        <f>SUM('Lease Rent'!Q3:Q8)</f>
        <v>41104800</v>
      </c>
      <c r="D5" s="443">
        <f>C5/$C$1/C$3</f>
        <v>1291.6799999999998</v>
      </c>
      <c r="E5" s="443">
        <f>SUM('Lease Rent'!Q9:Q10)</f>
        <v>0</v>
      </c>
      <c r="F5" s="443">
        <f>E5/$C$1/E$3</f>
        <v>0</v>
      </c>
      <c r="G5" s="443">
        <f>C5+E5</f>
        <v>41104800</v>
      </c>
      <c r="H5" s="443">
        <f>G5/$C$1/H$3</f>
        <v>968.75999999999988</v>
      </c>
      <c r="I5" s="422"/>
    </row>
    <row r="6" spans="1:9">
      <c r="A6" s="431">
        <v>2</v>
      </c>
      <c r="B6" s="431" t="s">
        <v>148</v>
      </c>
      <c r="C6" s="443">
        <v>0</v>
      </c>
      <c r="D6" s="443">
        <f t="shared" ref="D6:D11" si="0">C6/$C$1/C$3</f>
        <v>0</v>
      </c>
      <c r="E6" s="443">
        <v>0</v>
      </c>
      <c r="F6" s="443">
        <f t="shared" ref="F6:F11" si="1">E6/$C$1/E$3</f>
        <v>0</v>
      </c>
      <c r="G6" s="443">
        <f t="shared" ref="G6:G11" si="2">C6+E6</f>
        <v>0</v>
      </c>
      <c r="H6" s="443">
        <f t="shared" ref="H6:H11" si="3">G6/$C$1/H$3</f>
        <v>0</v>
      </c>
      <c r="I6" s="422"/>
    </row>
    <row r="7" spans="1:9">
      <c r="A7" s="431">
        <v>3</v>
      </c>
      <c r="B7" s="431" t="s">
        <v>149</v>
      </c>
      <c r="C7" s="443">
        <f>SUM('Lease Rent'!R3:R8)</f>
        <v>0</v>
      </c>
      <c r="D7" s="443">
        <f t="shared" si="0"/>
        <v>0</v>
      </c>
      <c r="E7" s="443">
        <f>SUM('Lease Rent'!R9:R10)</f>
        <v>0</v>
      </c>
      <c r="F7" s="443">
        <f t="shared" si="1"/>
        <v>0</v>
      </c>
      <c r="G7" s="443">
        <f t="shared" si="2"/>
        <v>0</v>
      </c>
      <c r="H7" s="443">
        <f t="shared" si="3"/>
        <v>0</v>
      </c>
      <c r="I7" s="422"/>
    </row>
    <row r="8" spans="1:9">
      <c r="A8" s="431">
        <v>4</v>
      </c>
      <c r="B8" s="431" t="s">
        <v>150</v>
      </c>
      <c r="C8" s="443">
        <f>'Security Deposit'!$C$13/'FY wise Rental'!$H$3*'FY wise Rental'!C$3</f>
        <v>5513130</v>
      </c>
      <c r="D8" s="443">
        <f t="shared" si="0"/>
        <v>173.24496794534946</v>
      </c>
      <c r="E8" s="443">
        <f>'Security Deposit'!$C$13/'FY wise Rental'!$H$3*'FY wise Rental'!E$3</f>
        <v>1837710</v>
      </c>
      <c r="F8" s="443">
        <f t="shared" si="1"/>
        <v>173.24496794534943</v>
      </c>
      <c r="G8" s="443">
        <f t="shared" si="2"/>
        <v>7350840</v>
      </c>
      <c r="H8" s="443">
        <f t="shared" si="3"/>
        <v>173.24496794534943</v>
      </c>
      <c r="I8" s="422"/>
    </row>
    <row r="9" spans="1:9">
      <c r="A9" s="431">
        <v>5</v>
      </c>
      <c r="B9" s="431" t="s">
        <v>324</v>
      </c>
      <c r="C9" s="443">
        <f>SUM('Lease Rent'!S3:S8)</f>
        <v>5283107.7660845863</v>
      </c>
      <c r="D9" s="443">
        <f t="shared" si="0"/>
        <v>166.01673379498595</v>
      </c>
      <c r="E9" s="443">
        <f>SUM('Lease Rent'!S9:S10)</f>
        <v>0</v>
      </c>
      <c r="F9" s="443">
        <f t="shared" si="1"/>
        <v>0</v>
      </c>
      <c r="G9" s="443">
        <f t="shared" si="2"/>
        <v>5283107.7660845863</v>
      </c>
      <c r="H9" s="443">
        <f t="shared" si="3"/>
        <v>124.51255034623945</v>
      </c>
      <c r="I9" s="422"/>
    </row>
    <row r="10" spans="1:9">
      <c r="A10" s="431">
        <v>5</v>
      </c>
      <c r="B10" s="431" t="s">
        <v>151</v>
      </c>
      <c r="C10" s="443">
        <f>'Rent Calculation'!$F$84/'FY wise Rental'!$H$3*'FY wise Rental'!C$3</f>
        <v>0</v>
      </c>
      <c r="D10" s="443">
        <f t="shared" si="0"/>
        <v>0</v>
      </c>
      <c r="E10" s="443">
        <f>'Rent Calculation'!$F$84/'FY wise Rental'!$H$3*'FY wise Rental'!E$3</f>
        <v>0</v>
      </c>
      <c r="F10" s="443">
        <f t="shared" si="1"/>
        <v>0</v>
      </c>
      <c r="G10" s="443">
        <f t="shared" si="2"/>
        <v>0</v>
      </c>
      <c r="H10" s="443">
        <f t="shared" si="3"/>
        <v>0</v>
      </c>
      <c r="I10" s="422"/>
    </row>
    <row r="11" spans="1:9">
      <c r="A11" s="431">
        <v>6</v>
      </c>
      <c r="B11" s="431" t="s">
        <v>152</v>
      </c>
      <c r="C11" s="443">
        <f>'Rent Calculation'!$F$83/'FY wise Rental'!$H$3*'FY wise Rental'!C$3</f>
        <v>384190.74776081613</v>
      </c>
      <c r="D11" s="443">
        <f t="shared" si="0"/>
        <v>12.072835899157543</v>
      </c>
      <c r="E11" s="443">
        <f>'Rent Calculation'!$F$83/'FY wise Rental'!$H$3*'FY wise Rental'!E$3</f>
        <v>128063.58258693872</v>
      </c>
      <c r="F11" s="443">
        <f t="shared" si="1"/>
        <v>12.072835899157544</v>
      </c>
      <c r="G11" s="443">
        <f t="shared" si="2"/>
        <v>512254.33034775488</v>
      </c>
      <c r="H11" s="443">
        <f t="shared" si="3"/>
        <v>12.072835899157544</v>
      </c>
      <c r="I11" s="422"/>
    </row>
    <row r="12" spans="1:9">
      <c r="A12" s="431">
        <v>7</v>
      </c>
      <c r="B12" s="431" t="s">
        <v>153</v>
      </c>
      <c r="C12" s="443">
        <f>(SUM(C5:C11)+C21)*7%</f>
        <v>5617477.7934691794</v>
      </c>
      <c r="D12" s="443">
        <f>C12/$C$1/C$3</f>
        <v>176.52400002598893</v>
      </c>
      <c r="E12" s="443">
        <f>(SUM(E5:E11)+E21)*7%</f>
        <v>790108.08328108583</v>
      </c>
      <c r="F12" s="443">
        <f>E12/$C$1/E$3</f>
        <v>74.485228660339871</v>
      </c>
      <c r="G12" s="443">
        <f>(SUM(G5:G11)+G21)*7%</f>
        <v>6407585.8767502643</v>
      </c>
      <c r="H12" s="443">
        <f>G12/$C$1/H$3</f>
        <v>151.01430718457664</v>
      </c>
      <c r="I12" s="422"/>
    </row>
    <row r="13" spans="1:9" s="432" customFormat="1" ht="13">
      <c r="A13" s="444">
        <v>8</v>
      </c>
      <c r="B13" s="444" t="s">
        <v>69</v>
      </c>
      <c r="C13" s="442">
        <f>SUM(C5:C12)</f>
        <v>57902706.30731459</v>
      </c>
      <c r="D13" s="445">
        <f t="shared" ref="D13:H13" si="4">SUM(D5:D12)</f>
        <v>1819.5385376654817</v>
      </c>
      <c r="E13" s="442">
        <f t="shared" si="4"/>
        <v>2755881.6658680243</v>
      </c>
      <c r="F13" s="445">
        <f t="shared" si="4"/>
        <v>259.80303250484684</v>
      </c>
      <c r="G13" s="442">
        <f t="shared" si="4"/>
        <v>60658587.973182604</v>
      </c>
      <c r="H13" s="442">
        <f t="shared" si="4"/>
        <v>1429.6046613753231</v>
      </c>
      <c r="I13" s="425"/>
    </row>
    <row r="14" spans="1:9" ht="13">
      <c r="A14" s="765" t="s">
        <v>154</v>
      </c>
      <c r="B14" s="765"/>
      <c r="C14" s="443"/>
      <c r="D14" s="443"/>
      <c r="E14" s="443"/>
      <c r="F14" s="443"/>
      <c r="G14" s="443"/>
      <c r="H14" s="443"/>
      <c r="I14" s="422"/>
    </row>
    <row r="15" spans="1:9">
      <c r="A15" s="431">
        <v>1</v>
      </c>
      <c r="B15" s="431" t="s">
        <v>139</v>
      </c>
      <c r="C15" s="443">
        <f>'CAPEX and PM'!$E$27/'FY wise Rental'!$H$3*'FY wise Rental'!C$3</f>
        <v>25500000</v>
      </c>
      <c r="D15" s="443">
        <f t="shared" ref="D15:D20" si="5">C15/$C$1/C$3</f>
        <v>801.31371518654748</v>
      </c>
      <c r="E15" s="443">
        <f>'CAPEX and PM'!$E$27/'FY wise Rental'!$H$3*'FY wise Rental'!E$3</f>
        <v>8500000</v>
      </c>
      <c r="F15" s="443">
        <f t="shared" ref="F15:F20" si="6">E15/$C$1/E$3</f>
        <v>801.31371518654748</v>
      </c>
      <c r="G15" s="443">
        <f t="shared" ref="G15:G20" si="7">C15+E15</f>
        <v>34000000</v>
      </c>
      <c r="H15" s="443">
        <f>G15/$C$1/H$3</f>
        <v>801.31371518654748</v>
      </c>
      <c r="I15" s="422"/>
    </row>
    <row r="16" spans="1:9">
      <c r="A16" s="431">
        <v>2</v>
      </c>
      <c r="B16" s="431" t="s">
        <v>140</v>
      </c>
      <c r="C16" s="443">
        <v>0</v>
      </c>
      <c r="D16" s="443">
        <f t="shared" si="5"/>
        <v>0</v>
      </c>
      <c r="E16" s="443">
        <v>0</v>
      </c>
      <c r="F16" s="443">
        <f t="shared" si="6"/>
        <v>0</v>
      </c>
      <c r="G16" s="443">
        <f t="shared" si="7"/>
        <v>0</v>
      </c>
      <c r="H16" s="443">
        <f t="shared" ref="H16:H20" si="8">G16/$C$1/H$3</f>
        <v>0</v>
      </c>
      <c r="I16" s="422"/>
    </row>
    <row r="17" spans="1:9">
      <c r="A17" s="431">
        <v>3</v>
      </c>
      <c r="B17" s="431" t="s">
        <v>141</v>
      </c>
      <c r="C17" s="443">
        <v>0</v>
      </c>
      <c r="D17" s="443">
        <f t="shared" si="5"/>
        <v>0</v>
      </c>
      <c r="E17" s="443">
        <v>0</v>
      </c>
      <c r="F17" s="443">
        <f t="shared" si="6"/>
        <v>0</v>
      </c>
      <c r="G17" s="443">
        <f t="shared" si="7"/>
        <v>0</v>
      </c>
      <c r="H17" s="443">
        <f t="shared" si="8"/>
        <v>0</v>
      </c>
      <c r="I17" s="422"/>
    </row>
    <row r="18" spans="1:9">
      <c r="A18" s="431">
        <v>4</v>
      </c>
      <c r="B18" s="431" t="s">
        <v>142</v>
      </c>
      <c r="C18" s="443">
        <f>'CAPEX and PM'!$B$95/'FY wise Rental'!$H$3*'FY wise Rental'!C$3</f>
        <v>1875000</v>
      </c>
      <c r="D18" s="443">
        <f t="shared" si="5"/>
        <v>58.920126116657912</v>
      </c>
      <c r="E18" s="443">
        <f>'CAPEX and PM'!$B$95/'FY wise Rental'!$H$3*'FY wise Rental'!E$3</f>
        <v>625000</v>
      </c>
      <c r="F18" s="443">
        <f t="shared" si="6"/>
        <v>58.920126116657904</v>
      </c>
      <c r="G18" s="443">
        <f t="shared" si="7"/>
        <v>2500000</v>
      </c>
      <c r="H18" s="443">
        <f t="shared" si="8"/>
        <v>58.920126116657904</v>
      </c>
      <c r="I18" s="422"/>
    </row>
    <row r="19" spans="1:9">
      <c r="A19" s="431">
        <v>5</v>
      </c>
      <c r="B19" s="431" t="s">
        <v>143</v>
      </c>
      <c r="C19" s="443">
        <f>'Security Deposit'!$D$23/'FY wise Rental'!$H$3*'FY wise Rental'!C$3</f>
        <v>589454.25</v>
      </c>
      <c r="D19" s="443">
        <f t="shared" si="5"/>
        <v>18.523049999999998</v>
      </c>
      <c r="E19" s="443">
        <f>'Security Deposit'!$D$23/'FY wise Rental'!$H$3*'FY wise Rental'!E$3</f>
        <v>196484.75</v>
      </c>
      <c r="F19" s="443">
        <f t="shared" si="6"/>
        <v>18.523050000000001</v>
      </c>
      <c r="G19" s="443">
        <f t="shared" si="7"/>
        <v>785939</v>
      </c>
      <c r="H19" s="443">
        <f t="shared" si="8"/>
        <v>18.523050000000001</v>
      </c>
      <c r="I19" s="422"/>
    </row>
    <row r="20" spans="1:9">
      <c r="A20" s="431">
        <v>6</v>
      </c>
      <c r="B20" s="431" t="s">
        <v>155</v>
      </c>
      <c r="C20" s="443">
        <f>'Rent Calculation'!$F$98/'FY wise Rental'!$H$3*'FY wise Rental'!C$3</f>
        <v>0</v>
      </c>
      <c r="D20" s="443">
        <f t="shared" si="5"/>
        <v>0</v>
      </c>
      <c r="E20" s="443">
        <f>'Rent Calculation'!$G103*'FY wise Rental'!$C$1/'FY wise Rental'!$H$3*'FY wise Rental'!E$3</f>
        <v>0</v>
      </c>
      <c r="F20" s="443">
        <f t="shared" si="6"/>
        <v>0</v>
      </c>
      <c r="G20" s="443">
        <f t="shared" si="7"/>
        <v>0</v>
      </c>
      <c r="H20" s="443">
        <f t="shared" si="8"/>
        <v>0</v>
      </c>
      <c r="I20" s="422"/>
    </row>
    <row r="21" spans="1:9" s="432" customFormat="1" ht="13">
      <c r="A21" s="444">
        <v>7</v>
      </c>
      <c r="B21" s="444" t="s">
        <v>156</v>
      </c>
      <c r="C21" s="442">
        <f>SUM(C15:C20)</f>
        <v>27964454.25</v>
      </c>
      <c r="D21" s="442">
        <f t="shared" ref="D21:H21" si="9">SUM(D15:D20)</f>
        <v>878.75689130320541</v>
      </c>
      <c r="E21" s="442">
        <f t="shared" si="9"/>
        <v>9321484.75</v>
      </c>
      <c r="F21" s="442">
        <f t="shared" si="9"/>
        <v>878.75689130320541</v>
      </c>
      <c r="G21" s="442">
        <f t="shared" si="9"/>
        <v>37285939</v>
      </c>
      <c r="H21" s="442">
        <f t="shared" si="9"/>
        <v>878.75689130320541</v>
      </c>
      <c r="I21" s="425"/>
    </row>
    <row r="22" spans="1:9">
      <c r="A22" s="431"/>
      <c r="B22" s="431"/>
      <c r="C22" s="443"/>
      <c r="D22" s="443"/>
      <c r="E22" s="443"/>
      <c r="F22" s="443"/>
      <c r="G22" s="443"/>
      <c r="H22" s="443"/>
      <c r="I22" s="422"/>
    </row>
    <row r="23" spans="1:9" s="432" customFormat="1" ht="13">
      <c r="A23" s="765" t="s">
        <v>157</v>
      </c>
      <c r="B23" s="765"/>
      <c r="C23" s="442">
        <f>C13+C21</f>
        <v>85867160.55731459</v>
      </c>
      <c r="D23" s="445">
        <f t="shared" ref="D23:H23" si="10">D13+D21</f>
        <v>2698.2954289686872</v>
      </c>
      <c r="E23" s="442">
        <f t="shared" si="10"/>
        <v>12077366.415868025</v>
      </c>
      <c r="F23" s="445">
        <f t="shared" si="10"/>
        <v>1138.5599238080522</v>
      </c>
      <c r="G23" s="442">
        <f t="shared" si="10"/>
        <v>97944526.973182604</v>
      </c>
      <c r="H23" s="442">
        <f t="shared" si="10"/>
        <v>2308.3615526785284</v>
      </c>
      <c r="I23" s="425"/>
    </row>
    <row r="27" spans="1:9">
      <c r="C27" s="421"/>
      <c r="E27" s="421"/>
      <c r="G27" s="421"/>
    </row>
    <row r="28" spans="1:9">
      <c r="C28" s="421"/>
      <c r="E28" s="421"/>
      <c r="G28" s="421"/>
    </row>
    <row r="29" spans="1:9">
      <c r="C29" s="421"/>
      <c r="E29" s="421"/>
      <c r="G29" s="421"/>
    </row>
    <row r="30" spans="1:9">
      <c r="C30" s="420"/>
      <c r="E30" s="420"/>
      <c r="G30" s="420"/>
    </row>
  </sheetData>
  <mergeCells count="9">
    <mergeCell ref="A1:B1"/>
    <mergeCell ref="A2:B2"/>
    <mergeCell ref="A4:B4"/>
    <mergeCell ref="A23:B23"/>
    <mergeCell ref="C2:D2"/>
    <mergeCell ref="E2:F2"/>
    <mergeCell ref="G2:H2"/>
    <mergeCell ref="A3:B3"/>
    <mergeCell ref="A14:B14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zoomScale="110" zoomScaleNormal="110" workbookViewId="0">
      <pane ySplit="2" topLeftCell="A24" activePane="bottomLeft" state="frozen"/>
      <selection activeCell="B80" sqref="B80"/>
      <selection pane="bottomLeft" activeCell="H31" sqref="H31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451" bestFit="1" customWidth="1"/>
    <col min="15" max="15" width="15.08984375" style="451" bestFit="1" customWidth="1"/>
    <col min="16" max="16" width="14.08984375" style="451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338" t="s">
        <v>243</v>
      </c>
      <c r="C1" s="339"/>
      <c r="D1" s="339"/>
      <c r="E1" s="339"/>
      <c r="F1" s="339"/>
      <c r="G1" s="339"/>
      <c r="H1" s="339"/>
      <c r="I1" s="340"/>
      <c r="J1" s="339"/>
      <c r="K1" s="341">
        <v>10.763999999999999</v>
      </c>
      <c r="L1" s="342">
        <f>D24</f>
        <v>0</v>
      </c>
      <c r="M1" s="339"/>
      <c r="N1" s="351"/>
      <c r="O1" s="351"/>
      <c r="P1" s="351"/>
      <c r="Q1" s="339"/>
      <c r="R1" s="339"/>
      <c r="S1" s="339"/>
      <c r="T1" s="339"/>
    </row>
    <row r="2" spans="2:21" ht="21" hidden="1">
      <c r="B2" s="343" t="s">
        <v>244</v>
      </c>
      <c r="C2" s="343" t="s">
        <v>245</v>
      </c>
      <c r="D2" s="343" t="s">
        <v>246</v>
      </c>
      <c r="E2" s="343" t="s">
        <v>248</v>
      </c>
      <c r="F2" s="343" t="s">
        <v>247</v>
      </c>
      <c r="G2" s="343" t="s">
        <v>249</v>
      </c>
      <c r="H2" s="343" t="s">
        <v>250</v>
      </c>
      <c r="I2" s="344" t="s">
        <v>251</v>
      </c>
      <c r="J2" s="343" t="s">
        <v>66</v>
      </c>
      <c r="K2" s="344" t="s">
        <v>252</v>
      </c>
      <c r="L2" s="344" t="s">
        <v>253</v>
      </c>
      <c r="M2" s="344" t="s">
        <v>254</v>
      </c>
      <c r="N2" s="494" t="s">
        <v>255</v>
      </c>
      <c r="O2" s="495"/>
      <c r="P2" s="494" t="s">
        <v>237</v>
      </c>
      <c r="Q2" s="343" t="s">
        <v>65</v>
      </c>
      <c r="R2" s="343" t="s">
        <v>294</v>
      </c>
      <c r="S2" s="343" t="s">
        <v>66</v>
      </c>
      <c r="T2" s="343" t="s">
        <v>29</v>
      </c>
    </row>
    <row r="3" spans="2:21" hidden="1">
      <c r="B3" s="345">
        <v>45976</v>
      </c>
      <c r="C3" s="346">
        <v>46295</v>
      </c>
      <c r="D3" s="347">
        <f>ROUND((C3-B3)/30,0)-0.5</f>
        <v>10.5</v>
      </c>
      <c r="E3" s="347">
        <f>'Rent Calculation'!F21</f>
        <v>9515</v>
      </c>
      <c r="F3" s="347">
        <f>'Rent Calculation'!G21</f>
        <v>883.96506874767749</v>
      </c>
      <c r="G3" s="349"/>
      <c r="H3" s="348">
        <f>'Rent Calculation'!F37</f>
        <v>120</v>
      </c>
      <c r="I3" s="397">
        <f>E25</f>
        <v>0</v>
      </c>
      <c r="J3" s="347">
        <f>14.67723796875</f>
        <v>14.677237968749999</v>
      </c>
      <c r="K3" s="347">
        <f>H3*$K$1</f>
        <v>1291.6799999999998</v>
      </c>
      <c r="L3" s="348">
        <f t="shared" ref="L3:L10" si="0">I3/E3</f>
        <v>0</v>
      </c>
      <c r="M3" s="348">
        <f>J3*$K$1</f>
        <v>157.98578949562497</v>
      </c>
      <c r="N3" s="397">
        <f>K3+L3</f>
        <v>1291.6799999999998</v>
      </c>
      <c r="O3" s="351"/>
      <c r="P3" s="496">
        <f>YEAR(C3)</f>
        <v>2026</v>
      </c>
      <c r="Q3" s="397">
        <f t="shared" ref="Q3:Q10" si="1">D3*E3*H3</f>
        <v>11988900</v>
      </c>
      <c r="R3" s="397">
        <f t="shared" ref="R3:R8" si="2">$I$37*D3</f>
        <v>0</v>
      </c>
      <c r="S3" s="397">
        <f t="shared" ref="S3:S10" si="3">D3*E3*J3</f>
        <v>1466366.1523628905</v>
      </c>
      <c r="T3" s="397">
        <f>SUM(Q3:S3)</f>
        <v>13455266.152362891</v>
      </c>
      <c r="U3" s="467">
        <f>T3/12</f>
        <v>1121272.1793635741</v>
      </c>
    </row>
    <row r="4" spans="2:21" hidden="1">
      <c r="B4" s="345">
        <f>C3+1</f>
        <v>46296</v>
      </c>
      <c r="C4" s="345">
        <v>46340</v>
      </c>
      <c r="D4" s="347">
        <f t="shared" ref="D4:D8" si="4">ROUND((C4-B4)/30,0)+0.5</f>
        <v>1.5</v>
      </c>
      <c r="E4" s="347">
        <f>E3</f>
        <v>9515</v>
      </c>
      <c r="F4" s="347">
        <f>F3</f>
        <v>883.96506874767749</v>
      </c>
      <c r="G4" s="349"/>
      <c r="H4" s="348">
        <f>H3</f>
        <v>120</v>
      </c>
      <c r="I4" s="440">
        <f t="shared" ref="I4:J4" si="5">I3</f>
        <v>0</v>
      </c>
      <c r="J4" s="348">
        <f t="shared" si="5"/>
        <v>14.677237968749999</v>
      </c>
      <c r="K4" s="347">
        <f t="shared" ref="K4:K8" si="6">H4*$K$1</f>
        <v>1291.6799999999998</v>
      </c>
      <c r="L4" s="348">
        <f t="shared" si="0"/>
        <v>0</v>
      </c>
      <c r="M4" s="348">
        <f t="shared" ref="M4:M8" si="7">J4*$K$1</f>
        <v>157.98578949562497</v>
      </c>
      <c r="N4" s="397">
        <f t="shared" ref="N4:N8" si="8">K4+L4</f>
        <v>1291.6799999999998</v>
      </c>
      <c r="O4" s="351"/>
      <c r="P4" s="496">
        <f>P3+1</f>
        <v>2027</v>
      </c>
      <c r="Q4" s="397">
        <f t="shared" si="1"/>
        <v>1712700</v>
      </c>
      <c r="R4" s="397">
        <f t="shared" si="2"/>
        <v>0</v>
      </c>
      <c r="S4" s="397">
        <f t="shared" si="3"/>
        <v>209480.87890898436</v>
      </c>
      <c r="T4" s="397">
        <f t="shared" ref="T4:T10" si="9">SUM(Q4:S4)</f>
        <v>1922180.8789089844</v>
      </c>
    </row>
    <row r="5" spans="2:21" hidden="1">
      <c r="B5" s="345">
        <f>C4+1</f>
        <v>46341</v>
      </c>
      <c r="C5" s="346">
        <v>46660</v>
      </c>
      <c r="D5" s="347">
        <f>ROUND((C5-B5)/30,0)-0.5</f>
        <v>10.5</v>
      </c>
      <c r="E5" s="347">
        <f t="shared" ref="E5:E10" si="10">E4</f>
        <v>9515</v>
      </c>
      <c r="F5" s="347">
        <f t="shared" ref="F5:F10" si="11">F4</f>
        <v>883.96506874767749</v>
      </c>
      <c r="G5" s="349"/>
      <c r="H5" s="348">
        <f>H3</f>
        <v>120</v>
      </c>
      <c r="I5" s="397">
        <f>I3</f>
        <v>0</v>
      </c>
      <c r="J5" s="347">
        <f>J4*1.05</f>
        <v>15.411099867187501</v>
      </c>
      <c r="K5" s="347">
        <f t="shared" si="6"/>
        <v>1291.6799999999998</v>
      </c>
      <c r="L5" s="348">
        <f t="shared" si="0"/>
        <v>0</v>
      </c>
      <c r="M5" s="348">
        <f t="shared" si="7"/>
        <v>165.88507897040625</v>
      </c>
      <c r="N5" s="397">
        <f t="shared" si="8"/>
        <v>1291.6799999999998</v>
      </c>
      <c r="O5" s="351"/>
      <c r="P5" s="496">
        <f>P4</f>
        <v>2027</v>
      </c>
      <c r="Q5" s="397">
        <f t="shared" si="1"/>
        <v>11988900</v>
      </c>
      <c r="R5" s="397">
        <f t="shared" si="2"/>
        <v>0</v>
      </c>
      <c r="S5" s="397">
        <f t="shared" si="3"/>
        <v>1539684.4599810352</v>
      </c>
      <c r="T5" s="397">
        <f t="shared" si="9"/>
        <v>13528584.459981035</v>
      </c>
    </row>
    <row r="6" spans="2:21" hidden="1">
      <c r="B6" s="345">
        <f t="shared" ref="B6:B8" si="12">C5+1</f>
        <v>46661</v>
      </c>
      <c r="C6" s="345">
        <v>46705</v>
      </c>
      <c r="D6" s="347">
        <f t="shared" si="4"/>
        <v>1.5</v>
      </c>
      <c r="E6" s="347">
        <f t="shared" si="10"/>
        <v>9515</v>
      </c>
      <c r="F6" s="347">
        <f t="shared" si="11"/>
        <v>883.96506874767749</v>
      </c>
      <c r="G6" s="349"/>
      <c r="H6" s="348">
        <f t="shared" ref="H6:I6" si="13">H4</f>
        <v>120</v>
      </c>
      <c r="I6" s="397">
        <f t="shared" si="13"/>
        <v>0</v>
      </c>
      <c r="J6" s="347">
        <f>J5</f>
        <v>15.411099867187501</v>
      </c>
      <c r="K6" s="347">
        <f t="shared" si="6"/>
        <v>1291.6799999999998</v>
      </c>
      <c r="L6" s="348">
        <f t="shared" si="0"/>
        <v>0</v>
      </c>
      <c r="M6" s="348">
        <f t="shared" si="7"/>
        <v>165.88507897040625</v>
      </c>
      <c r="N6" s="397">
        <f t="shared" si="8"/>
        <v>1291.6799999999998</v>
      </c>
      <c r="O6" s="351"/>
      <c r="P6" s="496">
        <f>P5+1</f>
        <v>2028</v>
      </c>
      <c r="Q6" s="397">
        <f t="shared" si="1"/>
        <v>1712700</v>
      </c>
      <c r="R6" s="397">
        <f t="shared" si="2"/>
        <v>0</v>
      </c>
      <c r="S6" s="397">
        <f t="shared" si="3"/>
        <v>219954.92285443359</v>
      </c>
      <c r="T6" s="397">
        <f t="shared" si="9"/>
        <v>1932654.9228544335</v>
      </c>
    </row>
    <row r="7" spans="2:21" hidden="1">
      <c r="B7" s="345">
        <f t="shared" si="12"/>
        <v>46706</v>
      </c>
      <c r="C7" s="346">
        <v>47026</v>
      </c>
      <c r="D7" s="347">
        <f>ROUND((C7-B7)/30,0)-0.5</f>
        <v>10.5</v>
      </c>
      <c r="E7" s="347">
        <f t="shared" si="10"/>
        <v>9515</v>
      </c>
      <c r="F7" s="347">
        <f t="shared" si="11"/>
        <v>883.96506874767749</v>
      </c>
      <c r="G7" s="350"/>
      <c r="H7" s="348">
        <f t="shared" ref="H7:I7" si="14">H5</f>
        <v>120</v>
      </c>
      <c r="I7" s="397">
        <f t="shared" si="14"/>
        <v>0</v>
      </c>
      <c r="J7" s="347">
        <f t="shared" ref="J7" si="15">J6*1.05</f>
        <v>16.181654860546875</v>
      </c>
      <c r="K7" s="347">
        <f t="shared" si="6"/>
        <v>1291.6799999999998</v>
      </c>
      <c r="L7" s="348">
        <f t="shared" si="0"/>
        <v>0</v>
      </c>
      <c r="M7" s="348">
        <f t="shared" si="7"/>
        <v>174.17933291892655</v>
      </c>
      <c r="N7" s="397">
        <f t="shared" si="8"/>
        <v>1291.6799999999998</v>
      </c>
      <c r="O7" s="351"/>
      <c r="P7" s="496">
        <f>P6</f>
        <v>2028</v>
      </c>
      <c r="Q7" s="397">
        <f t="shared" si="1"/>
        <v>11988900</v>
      </c>
      <c r="R7" s="397">
        <f t="shared" si="2"/>
        <v>0</v>
      </c>
      <c r="S7" s="397">
        <f t="shared" si="3"/>
        <v>1616668.6829800869</v>
      </c>
      <c r="T7" s="397">
        <f t="shared" si="9"/>
        <v>13605568.682980087</v>
      </c>
    </row>
    <row r="8" spans="2:21" hidden="1">
      <c r="B8" s="345">
        <f t="shared" si="12"/>
        <v>47027</v>
      </c>
      <c r="C8" s="345">
        <v>47071</v>
      </c>
      <c r="D8" s="347">
        <f t="shared" si="4"/>
        <v>1.5</v>
      </c>
      <c r="E8" s="347">
        <f t="shared" si="10"/>
        <v>9515</v>
      </c>
      <c r="F8" s="347">
        <f t="shared" si="11"/>
        <v>883.96506874767749</v>
      </c>
      <c r="G8" s="350"/>
      <c r="H8" s="348">
        <f>H6+(H6*G8)</f>
        <v>120</v>
      </c>
      <c r="I8" s="440">
        <f>I6+(I6*G8)</f>
        <v>0</v>
      </c>
      <c r="J8" s="347">
        <f t="shared" ref="J8:J10" si="16">J7</f>
        <v>16.181654860546875</v>
      </c>
      <c r="K8" s="347">
        <f t="shared" si="6"/>
        <v>1291.6799999999998</v>
      </c>
      <c r="L8" s="348">
        <f t="shared" si="0"/>
        <v>0</v>
      </c>
      <c r="M8" s="348">
        <f t="shared" si="7"/>
        <v>174.17933291892655</v>
      </c>
      <c r="N8" s="397">
        <f t="shared" si="8"/>
        <v>1291.6799999999998</v>
      </c>
      <c r="O8" s="351"/>
      <c r="P8" s="496">
        <f>P7+1</f>
        <v>2029</v>
      </c>
      <c r="Q8" s="397">
        <f t="shared" si="1"/>
        <v>1712700</v>
      </c>
      <c r="R8" s="397">
        <f t="shared" si="2"/>
        <v>0</v>
      </c>
      <c r="S8" s="397">
        <f t="shared" si="3"/>
        <v>230952.66899715527</v>
      </c>
      <c r="T8" s="397">
        <f t="shared" si="9"/>
        <v>1943652.6689971553</v>
      </c>
    </row>
    <row r="9" spans="2:21" hidden="1">
      <c r="B9" s="345"/>
      <c r="C9" s="346"/>
      <c r="D9" s="347"/>
      <c r="E9" s="347">
        <f t="shared" si="10"/>
        <v>9515</v>
      </c>
      <c r="F9" s="347">
        <f t="shared" si="11"/>
        <v>883.96506874767749</v>
      </c>
      <c r="G9" s="350"/>
      <c r="H9" s="348">
        <f>H7+(H7*G9)</f>
        <v>120</v>
      </c>
      <c r="I9" s="440">
        <f>I7+(I7*G9)</f>
        <v>0</v>
      </c>
      <c r="J9" s="347">
        <f t="shared" si="16"/>
        <v>16.181654860546875</v>
      </c>
      <c r="K9" s="347">
        <f t="shared" ref="K9:K10" si="17">H9*$K$1</f>
        <v>1291.6799999999998</v>
      </c>
      <c r="L9" s="348">
        <f t="shared" si="0"/>
        <v>0</v>
      </c>
      <c r="M9" s="348">
        <f t="shared" ref="M9:M10" si="18">J9*$K$1</f>
        <v>174.17933291892655</v>
      </c>
      <c r="N9" s="397">
        <f t="shared" ref="N9:N10" si="19">K9+L9</f>
        <v>1291.6799999999998</v>
      </c>
      <c r="O9" s="351"/>
      <c r="P9" s="496">
        <f>P8</f>
        <v>2029</v>
      </c>
      <c r="Q9" s="397">
        <f t="shared" si="1"/>
        <v>0</v>
      </c>
      <c r="R9" s="397">
        <f>D9*$D$24*I9</f>
        <v>0</v>
      </c>
      <c r="S9" s="397">
        <f t="shared" si="3"/>
        <v>0</v>
      </c>
      <c r="T9" s="397">
        <f t="shared" si="9"/>
        <v>0</v>
      </c>
    </row>
    <row r="10" spans="2:21" hidden="1">
      <c r="B10" s="345"/>
      <c r="C10" s="345"/>
      <c r="D10" s="347"/>
      <c r="E10" s="347">
        <f t="shared" si="10"/>
        <v>9515</v>
      </c>
      <c r="F10" s="347">
        <f t="shared" si="11"/>
        <v>883.96506874767749</v>
      </c>
      <c r="G10" s="350"/>
      <c r="H10" s="348">
        <f>H8+(H8*G10)</f>
        <v>120</v>
      </c>
      <c r="I10" s="440">
        <f>I8+(I8*G10)</f>
        <v>0</v>
      </c>
      <c r="J10" s="347">
        <f t="shared" si="16"/>
        <v>16.181654860546875</v>
      </c>
      <c r="K10" s="347">
        <f t="shared" si="17"/>
        <v>1291.6799999999998</v>
      </c>
      <c r="L10" s="348">
        <f t="shared" si="0"/>
        <v>0</v>
      </c>
      <c r="M10" s="348">
        <f t="shared" si="18"/>
        <v>174.17933291892655</v>
      </c>
      <c r="N10" s="397">
        <f t="shared" si="19"/>
        <v>1291.6799999999998</v>
      </c>
      <c r="O10" s="351"/>
      <c r="P10" s="496">
        <f>P9+1</f>
        <v>2030</v>
      </c>
      <c r="Q10" s="397">
        <f t="shared" si="1"/>
        <v>0</v>
      </c>
      <c r="R10" s="397">
        <f>D10*$D$24*I10</f>
        <v>0</v>
      </c>
      <c r="S10" s="397">
        <f t="shared" si="3"/>
        <v>0</v>
      </c>
      <c r="T10" s="397">
        <f t="shared" si="9"/>
        <v>0</v>
      </c>
    </row>
    <row r="11" spans="2:21" s="362" customFormat="1" ht="13" hidden="1">
      <c r="B11" s="768" t="s">
        <v>29</v>
      </c>
      <c r="C11" s="768"/>
      <c r="D11" s="391">
        <v>42</v>
      </c>
      <c r="E11" s="391"/>
      <c r="F11" s="392"/>
      <c r="G11" s="393"/>
      <c r="H11" s="392"/>
      <c r="I11" s="394"/>
      <c r="J11" s="391"/>
      <c r="K11" s="391"/>
      <c r="L11" s="392"/>
      <c r="M11" s="392"/>
      <c r="N11" s="398"/>
      <c r="O11" s="497"/>
      <c r="P11" s="498" t="s">
        <v>29</v>
      </c>
      <c r="Q11" s="398">
        <f>SUM(Q3:Q10)</f>
        <v>41104800</v>
      </c>
      <c r="R11" s="398">
        <f>SUM(R3:R10)</f>
        <v>0</v>
      </c>
      <c r="S11" s="398">
        <f>SUM(S3:S10)</f>
        <v>5283107.7660845863</v>
      </c>
      <c r="T11" s="398">
        <f>SUM(T3:T10)</f>
        <v>46387907.766084582</v>
      </c>
    </row>
    <row r="12" spans="2:21" hidden="1">
      <c r="B12" s="339"/>
      <c r="C12" s="339"/>
      <c r="D12" s="339"/>
      <c r="E12" s="339"/>
      <c r="F12" s="339"/>
      <c r="G12" s="339"/>
      <c r="H12" s="339"/>
      <c r="I12" s="339"/>
      <c r="J12" s="339"/>
      <c r="K12" s="339"/>
      <c r="L12" s="339"/>
      <c r="M12" s="339"/>
      <c r="N12" s="351"/>
      <c r="O12" s="351"/>
      <c r="P12" s="351"/>
      <c r="Q12" s="339"/>
      <c r="R12" s="339"/>
      <c r="S12" s="339"/>
      <c r="T12" s="339"/>
    </row>
    <row r="13" spans="2:21" hidden="1">
      <c r="F13" s="339"/>
      <c r="G13" s="468"/>
      <c r="J13" s="532"/>
      <c r="K13" s="532"/>
      <c r="L13" s="339"/>
      <c r="M13" s="339"/>
      <c r="N13" s="533"/>
      <c r="O13" s="533"/>
      <c r="P13" s="533"/>
      <c r="Q13" s="533"/>
      <c r="R13" s="533"/>
      <c r="S13" s="351"/>
      <c r="T13" s="353"/>
    </row>
    <row r="14" spans="2:21" hidden="1">
      <c r="F14" s="339"/>
      <c r="G14" s="468"/>
      <c r="H14" s="468"/>
      <c r="L14" s="534"/>
      <c r="M14" s="534"/>
      <c r="N14" s="533"/>
      <c r="O14" s="533"/>
      <c r="P14" s="533"/>
      <c r="Q14" s="506"/>
      <c r="R14" s="339"/>
      <c r="S14" s="339"/>
      <c r="T14" s="339"/>
    </row>
    <row r="15" spans="2:21" hidden="1">
      <c r="F15" s="339"/>
      <c r="G15" s="468"/>
      <c r="H15" s="468"/>
      <c r="L15" s="534"/>
      <c r="M15" s="534"/>
      <c r="N15" s="533"/>
      <c r="O15" s="533"/>
      <c r="P15" s="533"/>
      <c r="Q15" s="506"/>
      <c r="R15" s="339"/>
      <c r="S15" s="339"/>
      <c r="T15" s="339"/>
    </row>
    <row r="16" spans="2:21" hidden="1">
      <c r="F16" s="354"/>
      <c r="G16" s="468"/>
      <c r="H16" s="468"/>
      <c r="L16" s="534"/>
      <c r="M16" s="534"/>
      <c r="N16" s="533"/>
      <c r="O16" s="533"/>
      <c r="P16" s="533"/>
      <c r="Q16" s="339"/>
      <c r="R16" s="339"/>
      <c r="S16" s="339"/>
      <c r="T16" s="339"/>
    </row>
    <row r="17" spans="1:20" ht="13">
      <c r="F17" s="354"/>
      <c r="G17" s="541" t="s">
        <v>405</v>
      </c>
      <c r="H17" s="468"/>
      <c r="L17" s="534"/>
      <c r="M17" s="534"/>
      <c r="N17" s="533"/>
      <c r="O17" s="533"/>
      <c r="P17" s="533"/>
      <c r="Q17" s="339"/>
      <c r="R17" s="339"/>
      <c r="S17" s="339"/>
      <c r="T17" s="339"/>
    </row>
    <row r="18" spans="1:20">
      <c r="F18" s="355"/>
      <c r="G18" s="586" t="s">
        <v>230</v>
      </c>
      <c r="H18" s="586" t="s">
        <v>246</v>
      </c>
      <c r="I18" s="586" t="s">
        <v>405</v>
      </c>
      <c r="J18" s="587" t="s">
        <v>66</v>
      </c>
      <c r="K18" s="587" t="s">
        <v>29</v>
      </c>
      <c r="M18" s="339"/>
      <c r="N18" s="351"/>
      <c r="O18" s="351"/>
      <c r="P18" s="351"/>
      <c r="Q18" s="339"/>
      <c r="R18" s="339"/>
      <c r="S18" s="339"/>
      <c r="T18" s="339"/>
    </row>
    <row r="19" spans="1:20">
      <c r="B19" s="355"/>
      <c r="C19" s="355"/>
      <c r="D19" s="355"/>
      <c r="E19" s="355"/>
      <c r="F19" s="355"/>
      <c r="G19" s="540">
        <v>2026</v>
      </c>
      <c r="H19" s="155">
        <f t="shared" ref="H19:H25" ca="1" si="20">SUMIF($A$31:$A$1048576,$G19,$D$31:$D$102)</f>
        <v>8</v>
      </c>
      <c r="I19" s="155">
        <f t="shared" ref="I19:I25" ca="1" si="21">SUMIF($A$31:$A$1048576,$G19,$K$31:$K$102)</f>
        <v>9134400</v>
      </c>
      <c r="J19" s="155">
        <f t="shared" ref="J19:J25" ca="1" si="22">SUMIF($A$31:$A$1048576,$G19,$L$31:$L$102)</f>
        <v>1178337.5999999999</v>
      </c>
      <c r="K19" s="240">
        <f ca="1">I19+J19</f>
        <v>10312737.6</v>
      </c>
      <c r="L19" s="339"/>
      <c r="M19" s="339"/>
      <c r="N19" s="351"/>
      <c r="O19" s="351"/>
      <c r="P19" s="351"/>
      <c r="Q19" s="339"/>
      <c r="R19" s="339"/>
      <c r="S19" s="339"/>
      <c r="T19" s="339"/>
    </row>
    <row r="20" spans="1:20">
      <c r="B20" s="355"/>
      <c r="C20" s="355"/>
      <c r="D20" s="355"/>
      <c r="E20" s="355"/>
      <c r="F20" s="355"/>
      <c r="G20" s="540">
        <f>G19+1</f>
        <v>2027</v>
      </c>
      <c r="H20" s="155">
        <f t="shared" ca="1" si="20"/>
        <v>12</v>
      </c>
      <c r="I20" s="155">
        <f t="shared" ca="1" si="21"/>
        <v>13701600</v>
      </c>
      <c r="J20" s="155">
        <f t="shared" ca="1" si="22"/>
        <v>1826423.2800000005</v>
      </c>
      <c r="K20" s="240">
        <f t="shared" ref="K20:K25" ca="1" si="23">I20+J20</f>
        <v>15528023.280000001</v>
      </c>
      <c r="L20" s="339"/>
      <c r="M20" s="339"/>
      <c r="N20" s="351"/>
      <c r="O20" s="351"/>
      <c r="P20" s="351"/>
      <c r="Q20" s="339"/>
      <c r="R20" s="339"/>
      <c r="S20" s="339"/>
      <c r="T20" s="339"/>
    </row>
    <row r="21" spans="1:20">
      <c r="B21" s="594" t="s">
        <v>256</v>
      </c>
      <c r="C21" s="594" t="s">
        <v>257</v>
      </c>
      <c r="D21" s="594" t="s">
        <v>258</v>
      </c>
      <c r="E21" s="594" t="s">
        <v>259</v>
      </c>
      <c r="F21" s="355"/>
      <c r="G21" s="540">
        <f t="shared" ref="G21:G25" si="24">G20+1</f>
        <v>2028</v>
      </c>
      <c r="H21" s="155">
        <f t="shared" ca="1" si="20"/>
        <v>12</v>
      </c>
      <c r="I21" s="155">
        <f t="shared" ca="1" si="21"/>
        <v>13701600</v>
      </c>
      <c r="J21" s="155">
        <f t="shared" ca="1" si="22"/>
        <v>1917744.4440000001</v>
      </c>
      <c r="K21" s="240">
        <f t="shared" ca="1" si="23"/>
        <v>15619344.444</v>
      </c>
      <c r="L21" s="339"/>
      <c r="M21" s="339"/>
      <c r="N21" s="351"/>
      <c r="O21" s="351"/>
      <c r="P21" s="351"/>
      <c r="Q21" s="339"/>
      <c r="R21" s="339"/>
      <c r="S21" s="339"/>
      <c r="T21" s="339"/>
    </row>
    <row r="22" spans="1:20">
      <c r="B22" s="352" t="s">
        <v>260</v>
      </c>
      <c r="C22" s="352"/>
      <c r="D22" s="395"/>
      <c r="E22" s="352">
        <f>C22*D22</f>
        <v>0</v>
      </c>
      <c r="F22" s="355"/>
      <c r="G22" s="540">
        <f t="shared" si="24"/>
        <v>2029</v>
      </c>
      <c r="H22" s="155">
        <f t="shared" ca="1" si="20"/>
        <v>12</v>
      </c>
      <c r="I22" s="155">
        <f t="shared" ca="1" si="21"/>
        <v>15243030</v>
      </c>
      <c r="J22" s="155">
        <f t="shared" ca="1" si="22"/>
        <v>2013631.6662000006</v>
      </c>
      <c r="K22" s="240">
        <f t="shared" ca="1" si="23"/>
        <v>17256661.666200001</v>
      </c>
      <c r="L22" s="339"/>
      <c r="M22" s="339"/>
      <c r="N22" s="351"/>
      <c r="O22" s="351"/>
      <c r="P22" s="351"/>
      <c r="Q22" s="339"/>
      <c r="R22" s="339"/>
      <c r="S22" s="339"/>
      <c r="T22" s="339"/>
    </row>
    <row r="23" spans="1:20">
      <c r="B23" s="352" t="s">
        <v>261</v>
      </c>
      <c r="C23" s="352"/>
      <c r="D23" s="395"/>
      <c r="E23" s="352">
        <f>C23*D23</f>
        <v>0</v>
      </c>
      <c r="F23" s="355"/>
      <c r="G23" s="540">
        <f t="shared" si="24"/>
        <v>2030</v>
      </c>
      <c r="H23" s="155">
        <f t="shared" ca="1" si="20"/>
        <v>12</v>
      </c>
      <c r="I23" s="155">
        <f t="shared" ca="1" si="21"/>
        <v>15756840</v>
      </c>
      <c r="J23" s="155">
        <f t="shared" ca="1" si="22"/>
        <v>2114313.2495100005</v>
      </c>
      <c r="K23" s="240">
        <f t="shared" ca="1" si="23"/>
        <v>17871153.249510001</v>
      </c>
      <c r="L23" s="339"/>
      <c r="M23" s="339"/>
      <c r="N23" s="351"/>
      <c r="O23" s="351"/>
      <c r="P23" s="351"/>
      <c r="Q23" s="339"/>
      <c r="R23" s="339"/>
      <c r="S23" s="339"/>
      <c r="T23" s="339"/>
    </row>
    <row r="24" spans="1:20">
      <c r="B24" s="396" t="s">
        <v>29</v>
      </c>
      <c r="C24" s="396"/>
      <c r="D24" s="396">
        <f>D22+D23</f>
        <v>0</v>
      </c>
      <c r="E24" s="396">
        <f>E22+E23</f>
        <v>0</v>
      </c>
      <c r="F24" s="355"/>
      <c r="G24" s="540">
        <f t="shared" si="24"/>
        <v>2031</v>
      </c>
      <c r="H24" s="155">
        <f t="shared" ca="1" si="20"/>
        <v>12</v>
      </c>
      <c r="I24" s="155">
        <f t="shared" ca="1" si="21"/>
        <v>15756840</v>
      </c>
      <c r="J24" s="155">
        <f t="shared" ca="1" si="22"/>
        <v>2220028.9119855007</v>
      </c>
      <c r="K24" s="240">
        <f t="shared" ca="1" si="23"/>
        <v>17976868.911985502</v>
      </c>
      <c r="L24" s="339"/>
      <c r="M24" s="339"/>
      <c r="N24" s="351"/>
      <c r="O24" s="351"/>
      <c r="P24" s="351"/>
      <c r="Q24" s="339"/>
      <c r="R24" s="339"/>
      <c r="S24" s="339"/>
      <c r="T24" s="339"/>
    </row>
    <row r="25" spans="1:20">
      <c r="B25" s="352"/>
      <c r="C25" s="352"/>
      <c r="D25" s="352"/>
      <c r="E25" s="352">
        <f>IFERROR(E24/D24,0)</f>
        <v>0</v>
      </c>
      <c r="F25" s="355"/>
      <c r="G25" s="540">
        <f t="shared" si="24"/>
        <v>2032</v>
      </c>
      <c r="H25" s="155">
        <f t="shared" ca="1" si="20"/>
        <v>4</v>
      </c>
      <c r="I25" s="155">
        <f t="shared" ca="1" si="21"/>
        <v>5252280</v>
      </c>
      <c r="J25" s="155">
        <f t="shared" ca="1" si="22"/>
        <v>751945.27664025011</v>
      </c>
      <c r="K25" s="155">
        <f t="shared" ca="1" si="23"/>
        <v>6004225.2766402503</v>
      </c>
      <c r="L25" s="339"/>
      <c r="M25" s="339"/>
      <c r="N25" s="351"/>
      <c r="O25" s="351"/>
      <c r="P25" s="351"/>
      <c r="Q25" s="339"/>
      <c r="R25" s="339"/>
      <c r="S25" s="339"/>
      <c r="T25" s="339"/>
    </row>
    <row r="26" spans="1:20" ht="13">
      <c r="B26" s="355"/>
      <c r="C26" s="355"/>
      <c r="D26" s="355"/>
      <c r="E26" s="355"/>
      <c r="F26" s="355"/>
      <c r="G26" s="540"/>
      <c r="H26" s="188">
        <f ca="1">SUM(H19:H25)</f>
        <v>72</v>
      </c>
      <c r="I26" s="188">
        <f ca="1">SUM(I19:I25)</f>
        <v>88546590</v>
      </c>
      <c r="J26" s="188">
        <f t="shared" ref="J26:K26" ca="1" si="25">SUM(J19:J25)</f>
        <v>12022424.428335754</v>
      </c>
      <c r="K26" s="188">
        <f t="shared" ca="1" si="25"/>
        <v>100569014.42833576</v>
      </c>
      <c r="L26" s="339"/>
      <c r="M26" s="339"/>
      <c r="N26" s="351"/>
      <c r="O26" s="351"/>
      <c r="P26" s="351"/>
      <c r="Q26" s="339"/>
      <c r="R26" s="339"/>
      <c r="S26" s="339"/>
      <c r="T26" s="339"/>
    </row>
    <row r="27" spans="1:20">
      <c r="B27" s="355"/>
      <c r="C27" s="355"/>
      <c r="D27" s="355"/>
      <c r="E27" s="355"/>
      <c r="F27" s="355"/>
      <c r="H27" s="339"/>
      <c r="I27" s="339"/>
      <c r="J27" s="339"/>
      <c r="K27" s="339"/>
      <c r="L27" s="339"/>
      <c r="M27" s="339"/>
      <c r="N27" s="351"/>
      <c r="O27" s="351"/>
      <c r="P27" s="351"/>
      <c r="Q27" s="339"/>
      <c r="R27" s="339"/>
      <c r="S27" s="339"/>
      <c r="T27" s="339"/>
    </row>
    <row r="28" spans="1:20">
      <c r="B28" s="355"/>
      <c r="C28" s="355"/>
      <c r="D28" s="355"/>
      <c r="E28" s="355"/>
      <c r="F28" s="355"/>
      <c r="H28" s="339"/>
      <c r="I28" s="339"/>
      <c r="J28" s="339"/>
      <c r="K28" s="339"/>
      <c r="L28" s="567"/>
      <c r="M28" s="339"/>
      <c r="N28" s="351"/>
      <c r="O28" s="351"/>
      <c r="P28" s="351"/>
      <c r="Q28" s="339"/>
      <c r="R28" s="339"/>
      <c r="S28" s="339"/>
      <c r="T28" s="339"/>
    </row>
    <row r="29" spans="1:20">
      <c r="M29" s="576"/>
      <c r="N29" s="577"/>
      <c r="O29" s="577"/>
    </row>
    <row r="30" spans="1:20" ht="26.5" thickBot="1">
      <c r="A30" s="588" t="s">
        <v>230</v>
      </c>
      <c r="B30" s="589" t="s">
        <v>244</v>
      </c>
      <c r="C30" s="589" t="s">
        <v>245</v>
      </c>
      <c r="D30" s="589" t="s">
        <v>246</v>
      </c>
      <c r="E30" s="589" t="s">
        <v>248</v>
      </c>
      <c r="F30" s="589" t="s">
        <v>247</v>
      </c>
      <c r="G30" s="589" t="s">
        <v>249</v>
      </c>
      <c r="H30" s="589" t="s">
        <v>250</v>
      </c>
      <c r="I30" s="590" t="s">
        <v>251</v>
      </c>
      <c r="J30" s="589" t="s">
        <v>66</v>
      </c>
      <c r="K30" s="590" t="s">
        <v>252</v>
      </c>
      <c r="L30" s="590" t="s">
        <v>254</v>
      </c>
      <c r="M30" s="591" t="s">
        <v>29</v>
      </c>
      <c r="N30" s="592" t="s">
        <v>405</v>
      </c>
      <c r="O30" s="593" t="s">
        <v>66</v>
      </c>
      <c r="P30"/>
    </row>
    <row r="31" spans="1:20" ht="13">
      <c r="A31" s="476">
        <v>2026</v>
      </c>
      <c r="B31" s="477">
        <v>46023</v>
      </c>
      <c r="C31" s="477">
        <f>B31+30</f>
        <v>46053</v>
      </c>
      <c r="D31" s="478">
        <v>1</v>
      </c>
      <c r="E31" s="479">
        <f>'Rent Calculation'!$F$23</f>
        <v>9515</v>
      </c>
      <c r="F31" s="479">
        <f>'Rent Calculation'!G23</f>
        <v>883.96506874767749</v>
      </c>
      <c r="G31" s="542"/>
      <c r="H31" s="481">
        <f>Main!B7</f>
        <v>120</v>
      </c>
      <c r="I31" s="479"/>
      <c r="J31" s="482">
        <f>15.48</f>
        <v>15.48</v>
      </c>
      <c r="K31" s="479">
        <f t="shared" ref="K31:K62" si="26">H31*E31</f>
        <v>1141800</v>
      </c>
      <c r="L31" s="481">
        <f t="shared" ref="L31:L62" si="27">J31*E31</f>
        <v>147292.20000000001</v>
      </c>
      <c r="M31" s="483">
        <f t="shared" ref="M31:M36" si="28">I31+K31+L31</f>
        <v>1289092.2</v>
      </c>
      <c r="N31" s="501"/>
      <c r="O31" s="543"/>
      <c r="P31" s="574"/>
    </row>
    <row r="32" spans="1:20" ht="13">
      <c r="A32" s="484">
        <f>A31</f>
        <v>2026</v>
      </c>
      <c r="B32" s="468">
        <f>C31+1</f>
        <v>46054</v>
      </c>
      <c r="C32" s="468">
        <f>B32+30-3</f>
        <v>46081</v>
      </c>
      <c r="D32">
        <v>1</v>
      </c>
      <c r="E32" s="485">
        <v>9515</v>
      </c>
      <c r="F32" s="485">
        <v>883.96506874767749</v>
      </c>
      <c r="G32" s="544"/>
      <c r="H32" s="486">
        <f>H31</f>
        <v>120</v>
      </c>
      <c r="I32" s="485"/>
      <c r="J32" s="469">
        <v>15.48</v>
      </c>
      <c r="K32" s="485">
        <f t="shared" si="26"/>
        <v>1141800</v>
      </c>
      <c r="L32" s="486">
        <f t="shared" si="27"/>
        <v>147292.20000000001</v>
      </c>
      <c r="M32" s="467">
        <f t="shared" si="28"/>
        <v>1289092.2</v>
      </c>
      <c r="N32" s="465"/>
      <c r="O32" s="545"/>
      <c r="P32"/>
    </row>
    <row r="33" spans="1:16" ht="13">
      <c r="A33" s="484">
        <f t="shared" ref="A33:A38" si="29">A32</f>
        <v>2026</v>
      </c>
      <c r="B33" s="468">
        <f>C32+1</f>
        <v>46082</v>
      </c>
      <c r="C33" s="468">
        <f>B33+30</f>
        <v>46112</v>
      </c>
      <c r="D33">
        <v>1</v>
      </c>
      <c r="E33" s="485">
        <f t="shared" ref="E33:E96" si="30">E32</f>
        <v>9515</v>
      </c>
      <c r="F33" s="485">
        <f t="shared" ref="F33:F96" si="31">F32</f>
        <v>883.96506874767749</v>
      </c>
      <c r="G33" s="544"/>
      <c r="H33" s="486">
        <f>H32</f>
        <v>120</v>
      </c>
      <c r="I33" s="485"/>
      <c r="J33" s="469">
        <f t="shared" ref="J33:J42" si="32">J32</f>
        <v>15.48</v>
      </c>
      <c r="K33" s="485">
        <f t="shared" si="26"/>
        <v>1141800</v>
      </c>
      <c r="L33" s="486">
        <f t="shared" si="27"/>
        <v>147292.20000000001</v>
      </c>
      <c r="M33" s="467">
        <f t="shared" si="28"/>
        <v>1289092.2</v>
      </c>
      <c r="N33" s="465"/>
      <c r="O33" s="545"/>
      <c r="P33"/>
    </row>
    <row r="34" spans="1:16" ht="13">
      <c r="A34" s="484">
        <f t="shared" si="29"/>
        <v>2026</v>
      </c>
      <c r="B34" s="468">
        <f>C33+1</f>
        <v>46113</v>
      </c>
      <c r="C34" s="468">
        <f>B34+30-1</f>
        <v>46142</v>
      </c>
      <c r="D34">
        <v>1</v>
      </c>
      <c r="E34" s="485">
        <f t="shared" si="30"/>
        <v>9515</v>
      </c>
      <c r="F34" s="485">
        <f t="shared" si="31"/>
        <v>883.96506874767749</v>
      </c>
      <c r="G34" s="544"/>
      <c r="H34" s="486">
        <f>H33</f>
        <v>120</v>
      </c>
      <c r="I34" s="485"/>
      <c r="J34" s="469">
        <f t="shared" si="32"/>
        <v>15.48</v>
      </c>
      <c r="K34" s="485">
        <f t="shared" si="26"/>
        <v>1141800</v>
      </c>
      <c r="L34" s="486">
        <f t="shared" si="27"/>
        <v>147292.20000000001</v>
      </c>
      <c r="M34" s="467">
        <f t="shared" si="28"/>
        <v>1289092.2</v>
      </c>
      <c r="N34" s="465"/>
      <c r="O34" s="545"/>
      <c r="P34"/>
    </row>
    <row r="35" spans="1:16" ht="13">
      <c r="A35" s="484">
        <f t="shared" si="29"/>
        <v>2026</v>
      </c>
      <c r="B35" s="468">
        <f t="shared" ref="B35:B36" si="33">C34+1</f>
        <v>46143</v>
      </c>
      <c r="C35" s="468">
        <f>B35+30</f>
        <v>46173</v>
      </c>
      <c r="D35">
        <v>1</v>
      </c>
      <c r="E35" s="485">
        <f t="shared" si="30"/>
        <v>9515</v>
      </c>
      <c r="F35" s="485">
        <f t="shared" si="31"/>
        <v>883.96506874767749</v>
      </c>
      <c r="G35" s="544"/>
      <c r="H35" s="486">
        <f t="shared" ref="H35:H65" si="34">H34</f>
        <v>120</v>
      </c>
      <c r="I35" s="485"/>
      <c r="J35" s="469">
        <f t="shared" si="32"/>
        <v>15.48</v>
      </c>
      <c r="K35" s="485">
        <f t="shared" si="26"/>
        <v>1141800</v>
      </c>
      <c r="L35" s="486">
        <f t="shared" si="27"/>
        <v>147292.20000000001</v>
      </c>
      <c r="M35" s="467">
        <f t="shared" si="28"/>
        <v>1289092.2</v>
      </c>
      <c r="N35" s="465"/>
      <c r="O35" s="545"/>
      <c r="P35"/>
    </row>
    <row r="36" spans="1:16" ht="13">
      <c r="A36" s="484">
        <f t="shared" si="29"/>
        <v>2026</v>
      </c>
      <c r="B36" s="468">
        <f t="shared" si="33"/>
        <v>46174</v>
      </c>
      <c r="C36" s="468">
        <f>B36+30-1</f>
        <v>46203</v>
      </c>
      <c r="D36">
        <v>1</v>
      </c>
      <c r="E36" s="485">
        <f t="shared" si="30"/>
        <v>9515</v>
      </c>
      <c r="F36" s="485">
        <f t="shared" si="31"/>
        <v>883.96506874767749</v>
      </c>
      <c r="G36" s="544"/>
      <c r="H36" s="486">
        <f t="shared" si="34"/>
        <v>120</v>
      </c>
      <c r="I36" s="485"/>
      <c r="J36" s="469">
        <f t="shared" si="32"/>
        <v>15.48</v>
      </c>
      <c r="K36" s="485">
        <f t="shared" si="26"/>
        <v>1141800</v>
      </c>
      <c r="L36" s="486">
        <f t="shared" si="27"/>
        <v>147292.20000000001</v>
      </c>
      <c r="M36" s="467">
        <f t="shared" si="28"/>
        <v>1289092.2</v>
      </c>
      <c r="N36" s="465"/>
      <c r="O36" s="545"/>
      <c r="P36"/>
    </row>
    <row r="37" spans="1:16">
      <c r="A37" s="484">
        <f t="shared" si="29"/>
        <v>2026</v>
      </c>
      <c r="B37" s="468">
        <f>C36+1</f>
        <v>46204</v>
      </c>
      <c r="C37" s="468">
        <f>B37+30-1</f>
        <v>46233</v>
      </c>
      <c r="D37">
        <v>1</v>
      </c>
      <c r="E37" s="485">
        <f t="shared" si="30"/>
        <v>9515</v>
      </c>
      <c r="F37" s="485">
        <f t="shared" si="31"/>
        <v>883.96506874767749</v>
      </c>
      <c r="H37" s="486">
        <f t="shared" si="34"/>
        <v>120</v>
      </c>
      <c r="I37" s="485"/>
      <c r="J37" s="469">
        <f t="shared" si="32"/>
        <v>15.48</v>
      </c>
      <c r="K37" s="485">
        <f t="shared" si="26"/>
        <v>1141800</v>
      </c>
      <c r="L37" s="486">
        <f t="shared" si="27"/>
        <v>147292.20000000001</v>
      </c>
      <c r="M37" s="467">
        <f>I37+K37+L37</f>
        <v>1289092.2</v>
      </c>
      <c r="N37" s="485"/>
      <c r="O37" s="504"/>
      <c r="P37" s="471"/>
    </row>
    <row r="38" spans="1:16" ht="13" thickBot="1">
      <c r="A38" s="487">
        <f t="shared" si="29"/>
        <v>2026</v>
      </c>
      <c r="B38" s="488">
        <f>C37+1</f>
        <v>46234</v>
      </c>
      <c r="C38" s="488">
        <f>B38+30</f>
        <v>46264</v>
      </c>
      <c r="D38" s="489">
        <v>1</v>
      </c>
      <c r="E38" s="490">
        <f t="shared" si="30"/>
        <v>9515</v>
      </c>
      <c r="F38" s="490">
        <f t="shared" si="31"/>
        <v>883.96506874767749</v>
      </c>
      <c r="G38" s="489"/>
      <c r="H38" s="491">
        <f t="shared" si="34"/>
        <v>120</v>
      </c>
      <c r="I38" s="490"/>
      <c r="J38" s="492">
        <f t="shared" si="32"/>
        <v>15.48</v>
      </c>
      <c r="K38" s="490">
        <f t="shared" si="26"/>
        <v>1141800</v>
      </c>
      <c r="L38" s="491">
        <f t="shared" si="27"/>
        <v>147292.20000000001</v>
      </c>
      <c r="M38" s="493">
        <f t="shared" ref="M38:M84" si="35">I38+K38+L38</f>
        <v>1289092.2</v>
      </c>
      <c r="N38" s="490"/>
      <c r="O38" s="508"/>
      <c r="P38"/>
    </row>
    <row r="39" spans="1:16">
      <c r="A39" s="484">
        <f>A38+1</f>
        <v>2027</v>
      </c>
      <c r="B39" s="468">
        <f t="shared" ref="B39:B84" si="36">C38+1</f>
        <v>46265</v>
      </c>
      <c r="C39" s="468">
        <f>B39+30</f>
        <v>46295</v>
      </c>
      <c r="D39">
        <v>1</v>
      </c>
      <c r="E39" s="485">
        <f t="shared" si="30"/>
        <v>9515</v>
      </c>
      <c r="F39" s="485">
        <f t="shared" si="31"/>
        <v>883.96506874767749</v>
      </c>
      <c r="H39" s="486">
        <f t="shared" si="34"/>
        <v>120</v>
      </c>
      <c r="I39" s="485"/>
      <c r="J39" s="469">
        <f t="shared" si="32"/>
        <v>15.48</v>
      </c>
      <c r="K39" s="485">
        <f t="shared" si="26"/>
        <v>1141800</v>
      </c>
      <c r="L39" s="486">
        <f t="shared" si="27"/>
        <v>147292.20000000001</v>
      </c>
      <c r="M39" s="467">
        <f t="shared" si="35"/>
        <v>1289092.2</v>
      </c>
      <c r="N39" s="485">
        <f>SUM(K31:K38)</f>
        <v>9134400</v>
      </c>
      <c r="O39" s="504">
        <f>SUM(L31:L38)</f>
        <v>1178337.5999999999</v>
      </c>
      <c r="P39"/>
    </row>
    <row r="40" spans="1:16">
      <c r="A40">
        <f>A39</f>
        <v>2027</v>
      </c>
      <c r="B40" s="468">
        <f t="shared" si="36"/>
        <v>46296</v>
      </c>
      <c r="C40" s="468">
        <f>B40+30</f>
        <v>46326</v>
      </c>
      <c r="D40">
        <v>1</v>
      </c>
      <c r="E40" s="485">
        <f t="shared" si="30"/>
        <v>9515</v>
      </c>
      <c r="F40" s="485">
        <f t="shared" si="31"/>
        <v>883.96506874767749</v>
      </c>
      <c r="H40" s="486">
        <f t="shared" si="34"/>
        <v>120</v>
      </c>
      <c r="I40" s="485"/>
      <c r="J40" s="469">
        <f t="shared" si="32"/>
        <v>15.48</v>
      </c>
      <c r="K40" s="485">
        <f t="shared" si="26"/>
        <v>1141800</v>
      </c>
      <c r="L40" s="486">
        <f t="shared" si="27"/>
        <v>147292.20000000001</v>
      </c>
      <c r="M40" s="467">
        <f t="shared" si="35"/>
        <v>1289092.2</v>
      </c>
      <c r="N40" s="485"/>
      <c r="O40" s="504"/>
      <c r="P40"/>
    </row>
    <row r="41" spans="1:16">
      <c r="A41" s="484">
        <f>A40</f>
        <v>2027</v>
      </c>
      <c r="B41" s="468">
        <f t="shared" si="36"/>
        <v>46327</v>
      </c>
      <c r="C41" s="468">
        <f>B41+30-1</f>
        <v>46356</v>
      </c>
      <c r="D41">
        <v>1</v>
      </c>
      <c r="E41" s="485">
        <f t="shared" si="30"/>
        <v>9515</v>
      </c>
      <c r="F41" s="485">
        <f t="shared" si="31"/>
        <v>883.96506874767749</v>
      </c>
      <c r="H41" s="486">
        <f t="shared" si="34"/>
        <v>120</v>
      </c>
      <c r="I41" s="485"/>
      <c r="J41" s="469">
        <f t="shared" si="32"/>
        <v>15.48</v>
      </c>
      <c r="K41" s="485">
        <f t="shared" si="26"/>
        <v>1141800</v>
      </c>
      <c r="L41" s="486">
        <f t="shared" si="27"/>
        <v>147292.20000000001</v>
      </c>
      <c r="M41" s="467">
        <f t="shared" si="35"/>
        <v>1289092.2</v>
      </c>
      <c r="N41" s="485"/>
      <c r="O41" s="504"/>
      <c r="P41"/>
    </row>
    <row r="42" spans="1:16">
      <c r="A42" s="484">
        <f>A41</f>
        <v>2027</v>
      </c>
      <c r="B42" s="468">
        <f t="shared" si="36"/>
        <v>46357</v>
      </c>
      <c r="C42" s="468">
        <f>B42+30</f>
        <v>46387</v>
      </c>
      <c r="D42">
        <v>1</v>
      </c>
      <c r="E42" s="485">
        <f t="shared" si="30"/>
        <v>9515</v>
      </c>
      <c r="F42" s="485">
        <f t="shared" si="31"/>
        <v>883.96506874767749</v>
      </c>
      <c r="H42" s="486">
        <f t="shared" si="34"/>
        <v>120</v>
      </c>
      <c r="I42" s="485"/>
      <c r="J42" s="469">
        <f t="shared" si="32"/>
        <v>15.48</v>
      </c>
      <c r="K42" s="485">
        <f t="shared" si="26"/>
        <v>1141800</v>
      </c>
      <c r="L42" s="486">
        <f t="shared" si="27"/>
        <v>147292.20000000001</v>
      </c>
      <c r="M42" s="467">
        <f t="shared" si="35"/>
        <v>1289092.2</v>
      </c>
      <c r="N42" s="485"/>
      <c r="O42" s="504"/>
      <c r="P42"/>
    </row>
    <row r="43" spans="1:16">
      <c r="A43" s="484">
        <f>A42</f>
        <v>2027</v>
      </c>
      <c r="B43" s="468">
        <f t="shared" si="36"/>
        <v>46388</v>
      </c>
      <c r="C43" s="468">
        <f>B43+30</f>
        <v>46418</v>
      </c>
      <c r="D43">
        <v>1</v>
      </c>
      <c r="E43" s="485">
        <f t="shared" si="30"/>
        <v>9515</v>
      </c>
      <c r="F43" s="485">
        <f t="shared" si="31"/>
        <v>883.96506874767749</v>
      </c>
      <c r="H43" s="486">
        <f t="shared" si="34"/>
        <v>120</v>
      </c>
      <c r="I43" s="485"/>
      <c r="J43" s="469">
        <f>J42*1.05</f>
        <v>16.254000000000001</v>
      </c>
      <c r="K43" s="485">
        <f t="shared" si="26"/>
        <v>1141800</v>
      </c>
      <c r="L43" s="486">
        <f t="shared" si="27"/>
        <v>154656.81000000003</v>
      </c>
      <c r="M43" s="467">
        <f t="shared" si="35"/>
        <v>1296456.81</v>
      </c>
      <c r="N43" s="485"/>
      <c r="O43" s="504"/>
      <c r="P43"/>
    </row>
    <row r="44" spans="1:16">
      <c r="A44" s="484">
        <f>A43</f>
        <v>2027</v>
      </c>
      <c r="B44" s="468">
        <f t="shared" si="36"/>
        <v>46419</v>
      </c>
      <c r="C44" s="468">
        <f>B44+30-3</f>
        <v>46446</v>
      </c>
      <c r="D44">
        <v>1</v>
      </c>
      <c r="E44" s="485">
        <f t="shared" si="30"/>
        <v>9515</v>
      </c>
      <c r="F44" s="485">
        <f t="shared" si="31"/>
        <v>883.96506874767749</v>
      </c>
      <c r="H44" s="486">
        <f t="shared" si="34"/>
        <v>120</v>
      </c>
      <c r="I44" s="485"/>
      <c r="J44" s="469">
        <f>J43</f>
        <v>16.254000000000001</v>
      </c>
      <c r="K44" s="485">
        <f t="shared" si="26"/>
        <v>1141800</v>
      </c>
      <c r="L44" s="486">
        <f t="shared" si="27"/>
        <v>154656.81000000003</v>
      </c>
      <c r="M44" s="467">
        <f t="shared" si="35"/>
        <v>1296456.81</v>
      </c>
      <c r="N44" s="485"/>
      <c r="O44" s="504"/>
      <c r="P44"/>
    </row>
    <row r="45" spans="1:16">
      <c r="A45" s="484">
        <f t="shared" ref="A45:A50" si="37">A44</f>
        <v>2027</v>
      </c>
      <c r="B45" s="468">
        <f t="shared" si="36"/>
        <v>46447</v>
      </c>
      <c r="C45" s="468">
        <f>B45+30</f>
        <v>46477</v>
      </c>
      <c r="D45">
        <v>1</v>
      </c>
      <c r="E45" s="485">
        <f t="shared" si="30"/>
        <v>9515</v>
      </c>
      <c r="F45" s="485">
        <f t="shared" si="31"/>
        <v>883.96506874767749</v>
      </c>
      <c r="H45" s="486">
        <f t="shared" si="34"/>
        <v>120</v>
      </c>
      <c r="I45" s="485"/>
      <c r="J45" s="469">
        <f t="shared" ref="J45:J54" si="38">J44</f>
        <v>16.254000000000001</v>
      </c>
      <c r="K45" s="485">
        <f t="shared" si="26"/>
        <v>1141800</v>
      </c>
      <c r="L45" s="486">
        <f t="shared" si="27"/>
        <v>154656.81000000003</v>
      </c>
      <c r="M45" s="467">
        <f t="shared" si="35"/>
        <v>1296456.81</v>
      </c>
      <c r="N45" s="485"/>
      <c r="O45" s="504"/>
      <c r="P45"/>
    </row>
    <row r="46" spans="1:16">
      <c r="A46" s="484">
        <f t="shared" si="37"/>
        <v>2027</v>
      </c>
      <c r="B46" s="468">
        <f t="shared" si="36"/>
        <v>46478</v>
      </c>
      <c r="C46" s="468">
        <f>B46+30-1</f>
        <v>46507</v>
      </c>
      <c r="D46">
        <v>1</v>
      </c>
      <c r="E46" s="485">
        <f t="shared" si="30"/>
        <v>9515</v>
      </c>
      <c r="F46" s="485">
        <f t="shared" si="31"/>
        <v>883.96506874767749</v>
      </c>
      <c r="H46" s="486">
        <f t="shared" si="34"/>
        <v>120</v>
      </c>
      <c r="I46" s="485"/>
      <c r="J46" s="469">
        <f t="shared" si="38"/>
        <v>16.254000000000001</v>
      </c>
      <c r="K46" s="485">
        <f t="shared" si="26"/>
        <v>1141800</v>
      </c>
      <c r="L46" s="486">
        <f t="shared" si="27"/>
        <v>154656.81000000003</v>
      </c>
      <c r="M46" s="467">
        <f t="shared" si="35"/>
        <v>1296456.81</v>
      </c>
      <c r="N46" s="485"/>
      <c r="O46" s="504"/>
      <c r="P46"/>
    </row>
    <row r="47" spans="1:16">
      <c r="A47" s="484">
        <f t="shared" si="37"/>
        <v>2027</v>
      </c>
      <c r="B47" s="468">
        <f t="shared" si="36"/>
        <v>46508</v>
      </c>
      <c r="C47" s="468">
        <f>B47+30</f>
        <v>46538</v>
      </c>
      <c r="D47">
        <v>1</v>
      </c>
      <c r="E47" s="485">
        <f t="shared" si="30"/>
        <v>9515</v>
      </c>
      <c r="F47" s="485">
        <f t="shared" si="31"/>
        <v>883.96506874767749</v>
      </c>
      <c r="H47" s="486">
        <f t="shared" si="34"/>
        <v>120</v>
      </c>
      <c r="I47" s="485"/>
      <c r="J47" s="469">
        <f t="shared" si="38"/>
        <v>16.254000000000001</v>
      </c>
      <c r="K47" s="485">
        <f t="shared" si="26"/>
        <v>1141800</v>
      </c>
      <c r="L47" s="486">
        <f t="shared" si="27"/>
        <v>154656.81000000003</v>
      </c>
      <c r="M47" s="467">
        <f t="shared" si="35"/>
        <v>1296456.81</v>
      </c>
      <c r="N47" s="485"/>
      <c r="O47" s="504"/>
      <c r="P47"/>
    </row>
    <row r="48" spans="1:16">
      <c r="A48" s="484">
        <f t="shared" si="37"/>
        <v>2027</v>
      </c>
      <c r="B48" s="468">
        <f t="shared" si="36"/>
        <v>46539</v>
      </c>
      <c r="C48" s="468">
        <f>B48+30-1</f>
        <v>46568</v>
      </c>
      <c r="D48">
        <v>1</v>
      </c>
      <c r="E48" s="485">
        <f t="shared" si="30"/>
        <v>9515</v>
      </c>
      <c r="F48" s="485">
        <f t="shared" si="31"/>
        <v>883.96506874767749</v>
      </c>
      <c r="H48" s="486">
        <f t="shared" si="34"/>
        <v>120</v>
      </c>
      <c r="I48" s="485"/>
      <c r="J48" s="469">
        <f t="shared" si="38"/>
        <v>16.254000000000001</v>
      </c>
      <c r="K48" s="485">
        <f t="shared" si="26"/>
        <v>1141800</v>
      </c>
      <c r="L48" s="486">
        <f t="shared" si="27"/>
        <v>154656.81000000003</v>
      </c>
      <c r="M48" s="467">
        <f t="shared" si="35"/>
        <v>1296456.81</v>
      </c>
      <c r="N48" s="485"/>
      <c r="O48" s="504"/>
      <c r="P48"/>
    </row>
    <row r="49" spans="1:16">
      <c r="A49" s="484">
        <f t="shared" si="37"/>
        <v>2027</v>
      </c>
      <c r="B49" s="468">
        <f t="shared" si="36"/>
        <v>46569</v>
      </c>
      <c r="C49" s="468">
        <f>B49+30</f>
        <v>46599</v>
      </c>
      <c r="D49">
        <v>1</v>
      </c>
      <c r="E49" s="485">
        <f t="shared" si="30"/>
        <v>9515</v>
      </c>
      <c r="F49" s="485">
        <f t="shared" si="31"/>
        <v>883.96506874767749</v>
      </c>
      <c r="H49" s="486">
        <f t="shared" si="34"/>
        <v>120</v>
      </c>
      <c r="I49" s="485"/>
      <c r="J49" s="469">
        <f t="shared" si="38"/>
        <v>16.254000000000001</v>
      </c>
      <c r="K49" s="485">
        <f t="shared" si="26"/>
        <v>1141800</v>
      </c>
      <c r="L49" s="486">
        <f t="shared" si="27"/>
        <v>154656.81000000003</v>
      </c>
      <c r="M49" s="467">
        <f t="shared" si="35"/>
        <v>1296456.81</v>
      </c>
      <c r="N49" s="485"/>
      <c r="O49" s="504"/>
      <c r="P49"/>
    </row>
    <row r="50" spans="1:16" ht="13" thickBot="1">
      <c r="A50" s="487">
        <f t="shared" si="37"/>
        <v>2027</v>
      </c>
      <c r="B50" s="488">
        <f t="shared" si="36"/>
        <v>46600</v>
      </c>
      <c r="C50" s="488">
        <f>B50+30</f>
        <v>46630</v>
      </c>
      <c r="D50" s="489">
        <v>1</v>
      </c>
      <c r="E50" s="490">
        <f t="shared" si="30"/>
        <v>9515</v>
      </c>
      <c r="F50" s="490">
        <f t="shared" si="31"/>
        <v>883.96506874767749</v>
      </c>
      <c r="G50" s="489"/>
      <c r="H50" s="491">
        <f t="shared" si="34"/>
        <v>120</v>
      </c>
      <c r="I50" s="490"/>
      <c r="J50" s="492">
        <f t="shared" si="38"/>
        <v>16.254000000000001</v>
      </c>
      <c r="K50" s="490">
        <f t="shared" si="26"/>
        <v>1141800</v>
      </c>
      <c r="L50" s="491">
        <f t="shared" si="27"/>
        <v>154656.81000000003</v>
      </c>
      <c r="M50" s="493">
        <f t="shared" si="35"/>
        <v>1296456.81</v>
      </c>
      <c r="N50" s="490"/>
      <c r="O50" s="508"/>
      <c r="P50"/>
    </row>
    <row r="51" spans="1:16">
      <c r="A51" s="484">
        <f>A50+1</f>
        <v>2028</v>
      </c>
      <c r="B51" s="468">
        <f t="shared" si="36"/>
        <v>46631</v>
      </c>
      <c r="C51" s="468">
        <f>B51+30-1</f>
        <v>46660</v>
      </c>
      <c r="D51">
        <v>1</v>
      </c>
      <c r="E51" s="485">
        <f t="shared" si="30"/>
        <v>9515</v>
      </c>
      <c r="F51" s="485">
        <f t="shared" si="31"/>
        <v>883.96506874767749</v>
      </c>
      <c r="H51" s="486">
        <f t="shared" si="34"/>
        <v>120</v>
      </c>
      <c r="I51" s="485"/>
      <c r="J51" s="469">
        <f t="shared" si="38"/>
        <v>16.254000000000001</v>
      </c>
      <c r="K51" s="485">
        <f t="shared" si="26"/>
        <v>1141800</v>
      </c>
      <c r="L51" s="486">
        <f t="shared" si="27"/>
        <v>154656.81000000003</v>
      </c>
      <c r="M51" s="467">
        <f t="shared" si="35"/>
        <v>1296456.81</v>
      </c>
      <c r="N51" s="485">
        <f>SUM(K39:K50)</f>
        <v>13701600</v>
      </c>
      <c r="O51" s="504">
        <f>SUM(L39:L50)</f>
        <v>1826423.2800000005</v>
      </c>
      <c r="P51"/>
    </row>
    <row r="52" spans="1:16">
      <c r="A52" s="484">
        <f>A51</f>
        <v>2028</v>
      </c>
      <c r="B52" s="468">
        <f t="shared" si="36"/>
        <v>46661</v>
      </c>
      <c r="C52" s="468">
        <f>B52+30</f>
        <v>46691</v>
      </c>
      <c r="D52">
        <v>1</v>
      </c>
      <c r="E52" s="485">
        <f t="shared" si="30"/>
        <v>9515</v>
      </c>
      <c r="F52" s="485">
        <f t="shared" si="31"/>
        <v>883.96506874767749</v>
      </c>
      <c r="H52" s="486">
        <f t="shared" si="34"/>
        <v>120</v>
      </c>
      <c r="I52" s="485"/>
      <c r="J52" s="469">
        <f t="shared" si="38"/>
        <v>16.254000000000001</v>
      </c>
      <c r="K52" s="485">
        <f t="shared" si="26"/>
        <v>1141800</v>
      </c>
      <c r="L52" s="486">
        <f t="shared" si="27"/>
        <v>154656.81000000003</v>
      </c>
      <c r="M52" s="467">
        <f t="shared" si="35"/>
        <v>1296456.81</v>
      </c>
      <c r="N52" s="485"/>
      <c r="O52" s="504"/>
      <c r="P52"/>
    </row>
    <row r="53" spans="1:16">
      <c r="A53" s="484">
        <f>A52</f>
        <v>2028</v>
      </c>
      <c r="B53" s="468">
        <f t="shared" si="36"/>
        <v>46692</v>
      </c>
      <c r="C53" s="468">
        <f>B53+30-1</f>
        <v>46721</v>
      </c>
      <c r="D53">
        <v>1</v>
      </c>
      <c r="E53" s="485">
        <f t="shared" si="30"/>
        <v>9515</v>
      </c>
      <c r="F53" s="485">
        <f t="shared" si="31"/>
        <v>883.96506874767749</v>
      </c>
      <c r="H53" s="486">
        <f t="shared" si="34"/>
        <v>120</v>
      </c>
      <c r="I53" s="485"/>
      <c r="J53" s="469">
        <f t="shared" si="38"/>
        <v>16.254000000000001</v>
      </c>
      <c r="K53" s="485">
        <f t="shared" si="26"/>
        <v>1141800</v>
      </c>
      <c r="L53" s="486">
        <f t="shared" si="27"/>
        <v>154656.81000000003</v>
      </c>
      <c r="M53" s="467">
        <f t="shared" si="35"/>
        <v>1296456.81</v>
      </c>
      <c r="N53" s="485"/>
      <c r="O53" s="504"/>
      <c r="P53"/>
    </row>
    <row r="54" spans="1:16">
      <c r="A54" s="484">
        <f t="shared" ref="A54:A62" si="39">A53</f>
        <v>2028</v>
      </c>
      <c r="B54" s="468">
        <f t="shared" si="36"/>
        <v>46722</v>
      </c>
      <c r="C54" s="468">
        <f>B54+30</f>
        <v>46752</v>
      </c>
      <c r="D54">
        <v>1</v>
      </c>
      <c r="E54" s="485">
        <f t="shared" si="30"/>
        <v>9515</v>
      </c>
      <c r="F54" s="485">
        <f t="shared" si="31"/>
        <v>883.96506874767749</v>
      </c>
      <c r="H54" s="486">
        <f>H53</f>
        <v>120</v>
      </c>
      <c r="I54" s="485"/>
      <c r="J54" s="469">
        <f t="shared" si="38"/>
        <v>16.254000000000001</v>
      </c>
      <c r="K54" s="485">
        <f t="shared" si="26"/>
        <v>1141800</v>
      </c>
      <c r="L54" s="486">
        <f t="shared" si="27"/>
        <v>154656.81000000003</v>
      </c>
      <c r="M54" s="467">
        <f t="shared" si="35"/>
        <v>1296456.81</v>
      </c>
      <c r="N54" s="485"/>
      <c r="O54" s="504"/>
      <c r="P54"/>
    </row>
    <row r="55" spans="1:16">
      <c r="A55" s="484">
        <f t="shared" si="39"/>
        <v>2028</v>
      </c>
      <c r="B55" s="468">
        <f t="shared" si="36"/>
        <v>46753</v>
      </c>
      <c r="C55" s="468">
        <f>B55+30</f>
        <v>46783</v>
      </c>
      <c r="D55">
        <v>1</v>
      </c>
      <c r="E55" s="485">
        <f t="shared" si="30"/>
        <v>9515</v>
      </c>
      <c r="F55" s="485">
        <f t="shared" si="31"/>
        <v>883.96506874767749</v>
      </c>
      <c r="H55" s="486">
        <f t="shared" si="34"/>
        <v>120</v>
      </c>
      <c r="I55" s="485"/>
      <c r="J55" s="469">
        <f>J54*1.05</f>
        <v>17.066700000000001</v>
      </c>
      <c r="K55" s="485">
        <f t="shared" si="26"/>
        <v>1141800</v>
      </c>
      <c r="L55" s="486">
        <f t="shared" si="27"/>
        <v>162389.65050000002</v>
      </c>
      <c r="M55" s="467">
        <f t="shared" si="35"/>
        <v>1304189.6505</v>
      </c>
      <c r="N55" s="485"/>
      <c r="O55" s="504"/>
      <c r="P55"/>
    </row>
    <row r="56" spans="1:16">
      <c r="A56" s="484">
        <f t="shared" si="39"/>
        <v>2028</v>
      </c>
      <c r="B56" s="468">
        <f t="shared" si="36"/>
        <v>46784</v>
      </c>
      <c r="C56" s="468">
        <f>B56+30-2</f>
        <v>46812</v>
      </c>
      <c r="D56">
        <v>1</v>
      </c>
      <c r="E56" s="485">
        <f t="shared" si="30"/>
        <v>9515</v>
      </c>
      <c r="F56" s="485">
        <f t="shared" si="31"/>
        <v>883.96506874767749</v>
      </c>
      <c r="H56" s="486">
        <f t="shared" si="34"/>
        <v>120</v>
      </c>
      <c r="I56" s="485"/>
      <c r="J56" s="469">
        <f>J55</f>
        <v>17.066700000000001</v>
      </c>
      <c r="K56" s="485">
        <f t="shared" si="26"/>
        <v>1141800</v>
      </c>
      <c r="L56" s="486">
        <f t="shared" si="27"/>
        <v>162389.65050000002</v>
      </c>
      <c r="M56" s="467">
        <f t="shared" si="35"/>
        <v>1304189.6505</v>
      </c>
      <c r="N56" s="485"/>
      <c r="O56" s="504"/>
      <c r="P56"/>
    </row>
    <row r="57" spans="1:16">
      <c r="A57" s="484">
        <f t="shared" si="39"/>
        <v>2028</v>
      </c>
      <c r="B57" s="468">
        <f t="shared" si="36"/>
        <v>46813</v>
      </c>
      <c r="C57" s="468">
        <f>B57+30</f>
        <v>46843</v>
      </c>
      <c r="D57">
        <v>1</v>
      </c>
      <c r="E57" s="485">
        <f t="shared" si="30"/>
        <v>9515</v>
      </c>
      <c r="F57" s="485">
        <f t="shared" si="31"/>
        <v>883.96506874767749</v>
      </c>
      <c r="H57" s="486">
        <f t="shared" si="34"/>
        <v>120</v>
      </c>
      <c r="I57" s="485"/>
      <c r="J57" s="469">
        <f t="shared" ref="J57:J59" si="40">J56</f>
        <v>17.066700000000001</v>
      </c>
      <c r="K57" s="485">
        <f t="shared" si="26"/>
        <v>1141800</v>
      </c>
      <c r="L57" s="486">
        <f t="shared" si="27"/>
        <v>162389.65050000002</v>
      </c>
      <c r="M57" s="467">
        <f t="shared" si="35"/>
        <v>1304189.6505</v>
      </c>
      <c r="N57" s="485"/>
      <c r="O57" s="504"/>
      <c r="P57"/>
    </row>
    <row r="58" spans="1:16">
      <c r="A58" s="484">
        <f t="shared" si="39"/>
        <v>2028</v>
      </c>
      <c r="B58" s="468">
        <f t="shared" si="36"/>
        <v>46844</v>
      </c>
      <c r="C58" s="468">
        <f>B58+30-1</f>
        <v>46873</v>
      </c>
      <c r="D58">
        <v>1</v>
      </c>
      <c r="E58" s="485">
        <f t="shared" si="30"/>
        <v>9515</v>
      </c>
      <c r="F58" s="485">
        <f t="shared" si="31"/>
        <v>883.96506874767749</v>
      </c>
      <c r="H58" s="486">
        <f t="shared" si="34"/>
        <v>120</v>
      </c>
      <c r="I58" s="485"/>
      <c r="J58" s="469">
        <f t="shared" si="40"/>
        <v>17.066700000000001</v>
      </c>
      <c r="K58" s="485">
        <f t="shared" si="26"/>
        <v>1141800</v>
      </c>
      <c r="L58" s="486">
        <f t="shared" si="27"/>
        <v>162389.65050000002</v>
      </c>
      <c r="M58" s="467">
        <f t="shared" si="35"/>
        <v>1304189.6505</v>
      </c>
      <c r="N58" s="485"/>
      <c r="O58" s="504"/>
      <c r="P58"/>
    </row>
    <row r="59" spans="1:16">
      <c r="A59" s="484">
        <f t="shared" si="39"/>
        <v>2028</v>
      </c>
      <c r="B59" s="468">
        <f t="shared" si="36"/>
        <v>46874</v>
      </c>
      <c r="C59" s="468">
        <f>B59+30</f>
        <v>46904</v>
      </c>
      <c r="D59">
        <v>1</v>
      </c>
      <c r="E59" s="485">
        <f t="shared" si="30"/>
        <v>9515</v>
      </c>
      <c r="F59" s="485">
        <f t="shared" si="31"/>
        <v>883.96506874767749</v>
      </c>
      <c r="H59" s="486">
        <f t="shared" si="34"/>
        <v>120</v>
      </c>
      <c r="I59" s="485"/>
      <c r="J59" s="469">
        <f t="shared" si="40"/>
        <v>17.066700000000001</v>
      </c>
      <c r="K59" s="485">
        <f t="shared" si="26"/>
        <v>1141800</v>
      </c>
      <c r="L59" s="486">
        <f t="shared" si="27"/>
        <v>162389.65050000002</v>
      </c>
      <c r="M59" s="467">
        <f t="shared" si="35"/>
        <v>1304189.6505</v>
      </c>
      <c r="N59" s="485"/>
      <c r="O59" s="504"/>
      <c r="P59"/>
    </row>
    <row r="60" spans="1:16">
      <c r="A60" s="484">
        <f t="shared" si="39"/>
        <v>2028</v>
      </c>
      <c r="B60" s="468">
        <f t="shared" si="36"/>
        <v>46905</v>
      </c>
      <c r="C60" s="468">
        <f>B60+30-1</f>
        <v>46934</v>
      </c>
      <c r="D60">
        <v>1</v>
      </c>
      <c r="E60" s="485">
        <f t="shared" si="30"/>
        <v>9515</v>
      </c>
      <c r="F60" s="485">
        <f t="shared" si="31"/>
        <v>883.96506874767749</v>
      </c>
      <c r="H60" s="486">
        <f t="shared" si="34"/>
        <v>120</v>
      </c>
      <c r="I60" s="485"/>
      <c r="J60" s="469">
        <f t="shared" ref="J60:J84" si="41">J59</f>
        <v>17.066700000000001</v>
      </c>
      <c r="K60" s="485">
        <f t="shared" si="26"/>
        <v>1141800</v>
      </c>
      <c r="L60" s="486">
        <f t="shared" si="27"/>
        <v>162389.65050000002</v>
      </c>
      <c r="M60" s="467">
        <f t="shared" si="35"/>
        <v>1304189.6505</v>
      </c>
      <c r="N60" s="485"/>
      <c r="O60" s="504"/>
      <c r="P60"/>
    </row>
    <row r="61" spans="1:16">
      <c r="A61" s="484">
        <f t="shared" si="39"/>
        <v>2028</v>
      </c>
      <c r="B61" s="468">
        <f t="shared" si="36"/>
        <v>46935</v>
      </c>
      <c r="C61" s="468">
        <f>B61+30</f>
        <v>46965</v>
      </c>
      <c r="D61">
        <v>1</v>
      </c>
      <c r="E61" s="485">
        <f t="shared" si="30"/>
        <v>9515</v>
      </c>
      <c r="F61" s="485">
        <f t="shared" si="31"/>
        <v>883.96506874767749</v>
      </c>
      <c r="H61" s="486">
        <f t="shared" si="34"/>
        <v>120</v>
      </c>
      <c r="I61" s="485"/>
      <c r="J61" s="469">
        <f>J60</f>
        <v>17.066700000000001</v>
      </c>
      <c r="K61" s="485">
        <f t="shared" si="26"/>
        <v>1141800</v>
      </c>
      <c r="L61" s="486">
        <f t="shared" si="27"/>
        <v>162389.65050000002</v>
      </c>
      <c r="M61" s="467">
        <f t="shared" si="35"/>
        <v>1304189.6505</v>
      </c>
      <c r="N61" s="485"/>
      <c r="O61" s="504"/>
      <c r="P61"/>
    </row>
    <row r="62" spans="1:16" ht="13" thickBot="1">
      <c r="A62" s="487">
        <f t="shared" si="39"/>
        <v>2028</v>
      </c>
      <c r="B62" s="488">
        <f t="shared" si="36"/>
        <v>46966</v>
      </c>
      <c r="C62" s="488">
        <f>B62+30</f>
        <v>46996</v>
      </c>
      <c r="D62" s="489">
        <v>1</v>
      </c>
      <c r="E62" s="490">
        <f t="shared" si="30"/>
        <v>9515</v>
      </c>
      <c r="F62" s="490">
        <f t="shared" si="31"/>
        <v>883.96506874767749</v>
      </c>
      <c r="G62" s="489"/>
      <c r="H62" s="491">
        <f t="shared" si="34"/>
        <v>120</v>
      </c>
      <c r="I62" s="490"/>
      <c r="J62" s="492">
        <f>J61</f>
        <v>17.066700000000001</v>
      </c>
      <c r="K62" s="490">
        <f t="shared" si="26"/>
        <v>1141800</v>
      </c>
      <c r="L62" s="491">
        <f t="shared" si="27"/>
        <v>162389.65050000002</v>
      </c>
      <c r="M62" s="493">
        <f t="shared" si="35"/>
        <v>1304189.6505</v>
      </c>
      <c r="N62" s="490"/>
      <c r="O62" s="508"/>
      <c r="P62"/>
    </row>
    <row r="63" spans="1:16">
      <c r="A63">
        <f>A62+1</f>
        <v>2029</v>
      </c>
      <c r="B63" s="468">
        <f t="shared" si="36"/>
        <v>46997</v>
      </c>
      <c r="C63" s="468">
        <f>B63+30-1</f>
        <v>47026</v>
      </c>
      <c r="D63">
        <v>1</v>
      </c>
      <c r="E63" s="485">
        <f t="shared" si="30"/>
        <v>9515</v>
      </c>
      <c r="F63" s="485">
        <f t="shared" si="31"/>
        <v>883.96506874767749</v>
      </c>
      <c r="H63" s="486">
        <f t="shared" si="34"/>
        <v>120</v>
      </c>
      <c r="I63" s="485"/>
      <c r="J63" s="469">
        <f t="shared" ref="J63:J72" si="42">J62</f>
        <v>17.066700000000001</v>
      </c>
      <c r="K63" s="485">
        <f t="shared" ref="K63:K94" si="43">H63*E63</f>
        <v>1141800</v>
      </c>
      <c r="L63" s="486">
        <f t="shared" ref="L63:L94" si="44">J63*E63</f>
        <v>162389.65050000002</v>
      </c>
      <c r="M63" s="467">
        <f t="shared" si="35"/>
        <v>1304189.6505</v>
      </c>
      <c r="N63" s="485">
        <f>SUM(K51:K62)</f>
        <v>13701600</v>
      </c>
      <c r="O63" s="504">
        <f>SUM(L51:L62)</f>
        <v>1917744.4440000001</v>
      </c>
      <c r="P63"/>
    </row>
    <row r="64" spans="1:16">
      <c r="A64" s="484">
        <f>A63</f>
        <v>2029</v>
      </c>
      <c r="B64" s="468">
        <f t="shared" si="36"/>
        <v>47027</v>
      </c>
      <c r="C64" s="468">
        <f>B64+30</f>
        <v>47057</v>
      </c>
      <c r="D64">
        <v>1</v>
      </c>
      <c r="E64" s="485">
        <f t="shared" si="30"/>
        <v>9515</v>
      </c>
      <c r="F64" s="485">
        <f t="shared" si="31"/>
        <v>883.96506874767749</v>
      </c>
      <c r="H64" s="486">
        <f t="shared" si="34"/>
        <v>120</v>
      </c>
      <c r="I64" s="485"/>
      <c r="J64" s="469">
        <f t="shared" si="42"/>
        <v>17.066700000000001</v>
      </c>
      <c r="K64" s="485">
        <f t="shared" si="43"/>
        <v>1141800</v>
      </c>
      <c r="L64" s="486">
        <f t="shared" si="44"/>
        <v>162389.65050000002</v>
      </c>
      <c r="M64" s="467">
        <f t="shared" si="35"/>
        <v>1304189.6505</v>
      </c>
      <c r="N64" s="485"/>
      <c r="O64" s="504"/>
      <c r="P64"/>
    </row>
    <row r="65" spans="1:16">
      <c r="A65" s="484">
        <f>A64</f>
        <v>2029</v>
      </c>
      <c r="B65" s="468">
        <f t="shared" si="36"/>
        <v>47058</v>
      </c>
      <c r="C65" s="468">
        <f>B65+30-1</f>
        <v>47087</v>
      </c>
      <c r="D65">
        <v>1</v>
      </c>
      <c r="E65" s="485">
        <f t="shared" si="30"/>
        <v>9515</v>
      </c>
      <c r="F65" s="485">
        <f t="shared" si="31"/>
        <v>883.96506874767749</v>
      </c>
      <c r="H65" s="486">
        <f t="shared" si="34"/>
        <v>120</v>
      </c>
      <c r="I65" s="485"/>
      <c r="J65" s="469">
        <f t="shared" si="42"/>
        <v>17.066700000000001</v>
      </c>
      <c r="K65" s="485">
        <f t="shared" si="43"/>
        <v>1141800</v>
      </c>
      <c r="L65" s="486">
        <f t="shared" si="44"/>
        <v>162389.65050000002</v>
      </c>
      <c r="M65" s="467">
        <f t="shared" si="35"/>
        <v>1304189.6505</v>
      </c>
      <c r="N65" s="485"/>
      <c r="O65" s="504"/>
      <c r="P65"/>
    </row>
    <row r="66" spans="1:16">
      <c r="A66" s="484">
        <f t="shared" ref="A66:A74" si="45">A65</f>
        <v>2029</v>
      </c>
      <c r="B66" s="468">
        <f t="shared" si="36"/>
        <v>47088</v>
      </c>
      <c r="C66" s="468">
        <f>B66+30</f>
        <v>47118</v>
      </c>
      <c r="D66">
        <v>1</v>
      </c>
      <c r="E66" s="485">
        <f t="shared" si="30"/>
        <v>9515</v>
      </c>
      <c r="F66" s="485">
        <f t="shared" si="31"/>
        <v>883.96506874767749</v>
      </c>
      <c r="H66" s="486">
        <f>H65*1.15</f>
        <v>138</v>
      </c>
      <c r="I66" s="485"/>
      <c r="J66" s="469">
        <f t="shared" si="42"/>
        <v>17.066700000000001</v>
      </c>
      <c r="K66" s="485">
        <f t="shared" si="43"/>
        <v>1313070</v>
      </c>
      <c r="L66" s="486">
        <f t="shared" si="44"/>
        <v>162389.65050000002</v>
      </c>
      <c r="M66" s="467">
        <f t="shared" si="35"/>
        <v>1475459.6505</v>
      </c>
      <c r="N66" s="485"/>
      <c r="O66" s="504"/>
      <c r="P66"/>
    </row>
    <row r="67" spans="1:16">
      <c r="A67" s="484">
        <f t="shared" si="45"/>
        <v>2029</v>
      </c>
      <c r="B67" s="468">
        <f t="shared" si="36"/>
        <v>47119</v>
      </c>
      <c r="C67" s="468">
        <f>B67+30</f>
        <v>47149</v>
      </c>
      <c r="D67">
        <v>1</v>
      </c>
      <c r="E67" s="485">
        <f t="shared" si="30"/>
        <v>9515</v>
      </c>
      <c r="F67" s="485">
        <f t="shared" si="31"/>
        <v>883.96506874767749</v>
      </c>
      <c r="H67" s="486">
        <f>H66</f>
        <v>138</v>
      </c>
      <c r="I67" s="485"/>
      <c r="J67" s="469">
        <f>J66*1.05</f>
        <v>17.920035000000002</v>
      </c>
      <c r="K67" s="485">
        <f t="shared" si="43"/>
        <v>1313070</v>
      </c>
      <c r="L67" s="486">
        <f t="shared" si="44"/>
        <v>170509.13302500002</v>
      </c>
      <c r="M67" s="467">
        <f t="shared" si="35"/>
        <v>1483579.1330250001</v>
      </c>
      <c r="N67" s="485"/>
      <c r="O67" s="504"/>
      <c r="P67"/>
    </row>
    <row r="68" spans="1:16">
      <c r="A68" s="484">
        <f t="shared" si="45"/>
        <v>2029</v>
      </c>
      <c r="B68" s="468">
        <f t="shared" si="36"/>
        <v>47150</v>
      </c>
      <c r="C68" s="468">
        <f>B68+30-3</f>
        <v>47177</v>
      </c>
      <c r="D68">
        <v>1</v>
      </c>
      <c r="E68" s="485">
        <f t="shared" si="30"/>
        <v>9515</v>
      </c>
      <c r="F68" s="485">
        <f t="shared" si="31"/>
        <v>883.96506874767749</v>
      </c>
      <c r="H68" s="486">
        <f>H67</f>
        <v>138</v>
      </c>
      <c r="I68" s="485"/>
      <c r="J68" s="469">
        <f>J67</f>
        <v>17.920035000000002</v>
      </c>
      <c r="K68" s="485">
        <f t="shared" si="43"/>
        <v>1313070</v>
      </c>
      <c r="L68" s="486">
        <f t="shared" si="44"/>
        <v>170509.13302500002</v>
      </c>
      <c r="M68" s="467">
        <f t="shared" si="35"/>
        <v>1483579.1330250001</v>
      </c>
      <c r="N68" s="485"/>
      <c r="O68" s="504"/>
      <c r="P68"/>
    </row>
    <row r="69" spans="1:16">
      <c r="A69" s="484">
        <f t="shared" si="45"/>
        <v>2029</v>
      </c>
      <c r="B69" s="468">
        <f t="shared" si="36"/>
        <v>47178</v>
      </c>
      <c r="C69" s="468">
        <f>B69+30</f>
        <v>47208</v>
      </c>
      <c r="D69">
        <v>1</v>
      </c>
      <c r="E69" s="485">
        <f t="shared" si="30"/>
        <v>9515</v>
      </c>
      <c r="F69" s="485">
        <f t="shared" si="31"/>
        <v>883.96506874767749</v>
      </c>
      <c r="H69" s="486">
        <f t="shared" ref="H69:H102" si="46">H68</f>
        <v>138</v>
      </c>
      <c r="I69" s="485"/>
      <c r="J69" s="469">
        <f t="shared" si="42"/>
        <v>17.920035000000002</v>
      </c>
      <c r="K69" s="485">
        <f t="shared" si="43"/>
        <v>1313070</v>
      </c>
      <c r="L69" s="486">
        <f t="shared" si="44"/>
        <v>170509.13302500002</v>
      </c>
      <c r="M69" s="467">
        <f t="shared" si="35"/>
        <v>1483579.1330250001</v>
      </c>
      <c r="N69" s="485"/>
      <c r="O69" s="504"/>
      <c r="P69"/>
    </row>
    <row r="70" spans="1:16">
      <c r="A70" s="484">
        <f t="shared" si="45"/>
        <v>2029</v>
      </c>
      <c r="B70" s="468">
        <f t="shared" si="36"/>
        <v>47209</v>
      </c>
      <c r="C70" s="468">
        <f>B70+30-1</f>
        <v>47238</v>
      </c>
      <c r="D70">
        <v>1</v>
      </c>
      <c r="E70" s="485">
        <f t="shared" si="30"/>
        <v>9515</v>
      </c>
      <c r="F70" s="485">
        <f t="shared" si="31"/>
        <v>883.96506874767749</v>
      </c>
      <c r="H70" s="486">
        <f t="shared" si="46"/>
        <v>138</v>
      </c>
      <c r="I70" s="485"/>
      <c r="J70" s="469">
        <f t="shared" si="42"/>
        <v>17.920035000000002</v>
      </c>
      <c r="K70" s="485">
        <f t="shared" si="43"/>
        <v>1313070</v>
      </c>
      <c r="L70" s="486">
        <f t="shared" si="44"/>
        <v>170509.13302500002</v>
      </c>
      <c r="M70" s="467">
        <f t="shared" si="35"/>
        <v>1483579.1330250001</v>
      </c>
      <c r="N70" s="485"/>
      <c r="O70" s="504"/>
      <c r="P70"/>
    </row>
    <row r="71" spans="1:16">
      <c r="A71" s="484">
        <f t="shared" si="45"/>
        <v>2029</v>
      </c>
      <c r="B71" s="468">
        <f t="shared" si="36"/>
        <v>47239</v>
      </c>
      <c r="C71" s="468">
        <f>B71+30</f>
        <v>47269</v>
      </c>
      <c r="D71">
        <v>1</v>
      </c>
      <c r="E71" s="485">
        <f t="shared" si="30"/>
        <v>9515</v>
      </c>
      <c r="F71" s="485">
        <f t="shared" si="31"/>
        <v>883.96506874767749</v>
      </c>
      <c r="H71" s="486">
        <f t="shared" si="46"/>
        <v>138</v>
      </c>
      <c r="I71" s="485"/>
      <c r="J71" s="469">
        <f t="shared" si="42"/>
        <v>17.920035000000002</v>
      </c>
      <c r="K71" s="485">
        <f t="shared" si="43"/>
        <v>1313070</v>
      </c>
      <c r="L71" s="486">
        <f t="shared" si="44"/>
        <v>170509.13302500002</v>
      </c>
      <c r="M71" s="467">
        <f t="shared" si="35"/>
        <v>1483579.1330250001</v>
      </c>
      <c r="N71" s="485"/>
      <c r="O71" s="504"/>
      <c r="P71"/>
    </row>
    <row r="72" spans="1:16">
      <c r="A72" s="484">
        <f t="shared" si="45"/>
        <v>2029</v>
      </c>
      <c r="B72" s="468">
        <f t="shared" si="36"/>
        <v>47270</v>
      </c>
      <c r="C72" s="468">
        <f>B72+30-1</f>
        <v>47299</v>
      </c>
      <c r="D72">
        <v>1</v>
      </c>
      <c r="E72" s="485">
        <f t="shared" si="30"/>
        <v>9515</v>
      </c>
      <c r="F72" s="485">
        <f t="shared" si="31"/>
        <v>883.96506874767749</v>
      </c>
      <c r="H72" s="486">
        <f t="shared" si="46"/>
        <v>138</v>
      </c>
      <c r="I72" s="485"/>
      <c r="J72" s="469">
        <f t="shared" si="42"/>
        <v>17.920035000000002</v>
      </c>
      <c r="K72" s="485">
        <f t="shared" si="43"/>
        <v>1313070</v>
      </c>
      <c r="L72" s="486">
        <f t="shared" si="44"/>
        <v>170509.13302500002</v>
      </c>
      <c r="M72" s="467">
        <f t="shared" si="35"/>
        <v>1483579.1330250001</v>
      </c>
      <c r="N72" s="485"/>
      <c r="O72" s="504"/>
      <c r="P72"/>
    </row>
    <row r="73" spans="1:16">
      <c r="A73" s="484">
        <f t="shared" si="45"/>
        <v>2029</v>
      </c>
      <c r="B73" s="468">
        <f t="shared" si="36"/>
        <v>47300</v>
      </c>
      <c r="C73" s="468">
        <f>B73+30</f>
        <v>47330</v>
      </c>
      <c r="D73">
        <v>1</v>
      </c>
      <c r="E73" s="485">
        <f t="shared" si="30"/>
        <v>9515</v>
      </c>
      <c r="F73" s="485">
        <f t="shared" si="31"/>
        <v>883.96506874767749</v>
      </c>
      <c r="H73" s="486">
        <f t="shared" si="46"/>
        <v>138</v>
      </c>
      <c r="I73" s="485"/>
      <c r="J73" s="469">
        <f>J72</f>
        <v>17.920035000000002</v>
      </c>
      <c r="K73" s="485">
        <f t="shared" si="43"/>
        <v>1313070</v>
      </c>
      <c r="L73" s="486">
        <f t="shared" si="44"/>
        <v>170509.13302500002</v>
      </c>
      <c r="M73" s="467">
        <f t="shared" si="35"/>
        <v>1483579.1330250001</v>
      </c>
      <c r="N73" s="485"/>
      <c r="O73" s="504"/>
      <c r="P73"/>
    </row>
    <row r="74" spans="1:16" ht="13" thickBot="1">
      <c r="A74" s="487">
        <f t="shared" si="45"/>
        <v>2029</v>
      </c>
      <c r="B74" s="488">
        <f t="shared" si="36"/>
        <v>47331</v>
      </c>
      <c r="C74" s="488">
        <f t="shared" ref="C74" si="47">B74+30</f>
        <v>47361</v>
      </c>
      <c r="D74" s="489">
        <v>1</v>
      </c>
      <c r="E74" s="490">
        <f t="shared" si="30"/>
        <v>9515</v>
      </c>
      <c r="F74" s="490">
        <f t="shared" si="31"/>
        <v>883.96506874767749</v>
      </c>
      <c r="G74" s="489"/>
      <c r="H74" s="491">
        <f t="shared" si="46"/>
        <v>138</v>
      </c>
      <c r="I74" s="490"/>
      <c r="J74" s="492">
        <f t="shared" si="41"/>
        <v>17.920035000000002</v>
      </c>
      <c r="K74" s="490">
        <f t="shared" si="43"/>
        <v>1313070</v>
      </c>
      <c r="L74" s="491">
        <f t="shared" si="44"/>
        <v>170509.13302500002</v>
      </c>
      <c r="M74" s="493">
        <f t="shared" si="35"/>
        <v>1483579.1330250001</v>
      </c>
      <c r="N74" s="490"/>
      <c r="O74" s="508"/>
      <c r="P74"/>
    </row>
    <row r="75" spans="1:16">
      <c r="A75">
        <f>A74+1</f>
        <v>2030</v>
      </c>
      <c r="B75" s="468">
        <f t="shared" si="36"/>
        <v>47362</v>
      </c>
      <c r="C75" s="468">
        <f>B75+30-1</f>
        <v>47391</v>
      </c>
      <c r="D75">
        <v>1</v>
      </c>
      <c r="E75" s="485">
        <f t="shared" si="30"/>
        <v>9515</v>
      </c>
      <c r="F75" s="485">
        <f t="shared" si="31"/>
        <v>883.96506874767749</v>
      </c>
      <c r="H75" s="486">
        <f t="shared" si="46"/>
        <v>138</v>
      </c>
      <c r="I75" s="485"/>
      <c r="J75" s="469">
        <f t="shared" si="41"/>
        <v>17.920035000000002</v>
      </c>
      <c r="K75" s="485">
        <f t="shared" si="43"/>
        <v>1313070</v>
      </c>
      <c r="L75" s="486">
        <f t="shared" si="44"/>
        <v>170509.13302500002</v>
      </c>
      <c r="M75" s="467">
        <f t="shared" si="35"/>
        <v>1483579.1330250001</v>
      </c>
      <c r="N75" s="485">
        <f>SUM(K63:K74)</f>
        <v>15243030</v>
      </c>
      <c r="O75" s="504">
        <f>SUM(L63:L74)</f>
        <v>2013631.6662000006</v>
      </c>
      <c r="P75"/>
    </row>
    <row r="76" spans="1:16">
      <c r="A76" s="484">
        <f>A75</f>
        <v>2030</v>
      </c>
      <c r="B76" s="468">
        <f t="shared" si="36"/>
        <v>47392</v>
      </c>
      <c r="C76" s="468">
        <f>B76+30</f>
        <v>47422</v>
      </c>
      <c r="D76">
        <v>1</v>
      </c>
      <c r="E76" s="485">
        <f t="shared" si="30"/>
        <v>9515</v>
      </c>
      <c r="F76" s="485">
        <f t="shared" si="31"/>
        <v>883.96506874767749</v>
      </c>
      <c r="H76" s="486">
        <f t="shared" si="46"/>
        <v>138</v>
      </c>
      <c r="I76" s="485"/>
      <c r="J76" s="469">
        <f t="shared" si="41"/>
        <v>17.920035000000002</v>
      </c>
      <c r="K76" s="485">
        <f t="shared" si="43"/>
        <v>1313070</v>
      </c>
      <c r="L76" s="486">
        <f t="shared" si="44"/>
        <v>170509.13302500002</v>
      </c>
      <c r="M76" s="467">
        <f t="shared" si="35"/>
        <v>1483579.1330250001</v>
      </c>
      <c r="N76" s="485"/>
      <c r="O76" s="504"/>
      <c r="P76"/>
    </row>
    <row r="77" spans="1:16">
      <c r="A77" s="484">
        <f>A76</f>
        <v>2030</v>
      </c>
      <c r="B77" s="468">
        <f t="shared" si="36"/>
        <v>47423</v>
      </c>
      <c r="C77" s="468">
        <f>B77+30-1</f>
        <v>47452</v>
      </c>
      <c r="D77">
        <v>1</v>
      </c>
      <c r="E77" s="485">
        <f t="shared" si="30"/>
        <v>9515</v>
      </c>
      <c r="F77" s="485">
        <f t="shared" si="31"/>
        <v>883.96506874767749</v>
      </c>
      <c r="H77" s="486">
        <f t="shared" si="46"/>
        <v>138</v>
      </c>
      <c r="I77" s="485"/>
      <c r="J77" s="469">
        <f t="shared" si="41"/>
        <v>17.920035000000002</v>
      </c>
      <c r="K77" s="485">
        <f t="shared" si="43"/>
        <v>1313070</v>
      </c>
      <c r="L77" s="486">
        <f t="shared" si="44"/>
        <v>170509.13302500002</v>
      </c>
      <c r="M77" s="467">
        <f t="shared" si="35"/>
        <v>1483579.1330250001</v>
      </c>
      <c r="N77" s="485"/>
      <c r="O77" s="504"/>
      <c r="P77"/>
    </row>
    <row r="78" spans="1:16">
      <c r="A78" s="484">
        <f t="shared" ref="A78:A86" si="48">A77</f>
        <v>2030</v>
      </c>
      <c r="B78" s="468">
        <f t="shared" si="36"/>
        <v>47453</v>
      </c>
      <c r="C78" s="468">
        <f>B78+30</f>
        <v>47483</v>
      </c>
      <c r="D78">
        <v>1</v>
      </c>
      <c r="E78" s="485">
        <f t="shared" si="30"/>
        <v>9515</v>
      </c>
      <c r="F78" s="485">
        <f t="shared" si="31"/>
        <v>883.96506874767749</v>
      </c>
      <c r="H78" s="486">
        <f t="shared" si="46"/>
        <v>138</v>
      </c>
      <c r="I78" s="485"/>
      <c r="J78" s="469">
        <f t="shared" si="41"/>
        <v>17.920035000000002</v>
      </c>
      <c r="K78" s="485">
        <f t="shared" si="43"/>
        <v>1313070</v>
      </c>
      <c r="L78" s="486">
        <f t="shared" si="44"/>
        <v>170509.13302500002</v>
      </c>
      <c r="M78" s="467">
        <f t="shared" si="35"/>
        <v>1483579.1330250001</v>
      </c>
      <c r="N78" s="485"/>
      <c r="O78" s="504"/>
      <c r="P78"/>
    </row>
    <row r="79" spans="1:16">
      <c r="A79" s="484">
        <f t="shared" si="48"/>
        <v>2030</v>
      </c>
      <c r="B79" s="468">
        <f t="shared" si="36"/>
        <v>47484</v>
      </c>
      <c r="C79" s="468">
        <f>B79+30</f>
        <v>47514</v>
      </c>
      <c r="D79">
        <v>1</v>
      </c>
      <c r="E79" s="485">
        <f t="shared" si="30"/>
        <v>9515</v>
      </c>
      <c r="F79" s="485">
        <f t="shared" si="31"/>
        <v>883.96506874767749</v>
      </c>
      <c r="H79" s="486">
        <f t="shared" si="46"/>
        <v>138</v>
      </c>
      <c r="I79" s="485"/>
      <c r="J79" s="469">
        <f>J78*1.05</f>
        <v>18.816036750000002</v>
      </c>
      <c r="K79" s="485">
        <f t="shared" si="43"/>
        <v>1313070</v>
      </c>
      <c r="L79" s="486">
        <f t="shared" si="44"/>
        <v>179034.58967625003</v>
      </c>
      <c r="M79" s="467">
        <f t="shared" si="35"/>
        <v>1492104.58967625</v>
      </c>
      <c r="N79" s="485"/>
      <c r="O79" s="504"/>
      <c r="P79"/>
    </row>
    <row r="80" spans="1:16">
      <c r="A80" s="484">
        <f t="shared" si="48"/>
        <v>2030</v>
      </c>
      <c r="B80" s="468">
        <f t="shared" si="36"/>
        <v>47515</v>
      </c>
      <c r="C80" s="468">
        <f>B80+30-3</f>
        <v>47542</v>
      </c>
      <c r="D80">
        <v>1</v>
      </c>
      <c r="E80" s="485">
        <f t="shared" si="30"/>
        <v>9515</v>
      </c>
      <c r="F80" s="485">
        <f t="shared" si="31"/>
        <v>883.96506874767749</v>
      </c>
      <c r="H80" s="486">
        <f t="shared" si="46"/>
        <v>138</v>
      </c>
      <c r="I80" s="485"/>
      <c r="J80" s="469">
        <f>J79</f>
        <v>18.816036750000002</v>
      </c>
      <c r="K80" s="485">
        <f t="shared" si="43"/>
        <v>1313070</v>
      </c>
      <c r="L80" s="486">
        <f t="shared" si="44"/>
        <v>179034.58967625003</v>
      </c>
      <c r="M80" s="467">
        <f t="shared" si="35"/>
        <v>1492104.58967625</v>
      </c>
      <c r="N80" s="485"/>
      <c r="O80" s="504"/>
      <c r="P80"/>
    </row>
    <row r="81" spans="1:16">
      <c r="A81" s="484">
        <f t="shared" si="48"/>
        <v>2030</v>
      </c>
      <c r="B81" s="468">
        <f t="shared" si="36"/>
        <v>47543</v>
      </c>
      <c r="C81" s="468">
        <f>B81+30</f>
        <v>47573</v>
      </c>
      <c r="D81">
        <v>1</v>
      </c>
      <c r="E81" s="485">
        <f t="shared" si="30"/>
        <v>9515</v>
      </c>
      <c r="F81" s="485">
        <f t="shared" si="31"/>
        <v>883.96506874767749</v>
      </c>
      <c r="H81" s="486">
        <f t="shared" si="46"/>
        <v>138</v>
      </c>
      <c r="I81" s="485"/>
      <c r="J81" s="469">
        <f t="shared" si="41"/>
        <v>18.816036750000002</v>
      </c>
      <c r="K81" s="485">
        <f t="shared" si="43"/>
        <v>1313070</v>
      </c>
      <c r="L81" s="486">
        <f t="shared" si="44"/>
        <v>179034.58967625003</v>
      </c>
      <c r="M81" s="467">
        <f t="shared" si="35"/>
        <v>1492104.58967625</v>
      </c>
      <c r="N81" s="485"/>
      <c r="O81" s="504"/>
      <c r="P81"/>
    </row>
    <row r="82" spans="1:16">
      <c r="A82" s="484">
        <f t="shared" si="48"/>
        <v>2030</v>
      </c>
      <c r="B82" s="468">
        <f t="shared" si="36"/>
        <v>47574</v>
      </c>
      <c r="C82" s="468">
        <f>B82+30-1</f>
        <v>47603</v>
      </c>
      <c r="D82">
        <v>1</v>
      </c>
      <c r="E82" s="485">
        <f t="shared" si="30"/>
        <v>9515</v>
      </c>
      <c r="F82" s="485">
        <f t="shared" si="31"/>
        <v>883.96506874767749</v>
      </c>
      <c r="H82" s="486">
        <f t="shared" si="46"/>
        <v>138</v>
      </c>
      <c r="I82" s="485"/>
      <c r="J82" s="469">
        <f t="shared" si="41"/>
        <v>18.816036750000002</v>
      </c>
      <c r="K82" s="485">
        <f t="shared" si="43"/>
        <v>1313070</v>
      </c>
      <c r="L82" s="486">
        <f t="shared" si="44"/>
        <v>179034.58967625003</v>
      </c>
      <c r="M82" s="467">
        <f t="shared" si="35"/>
        <v>1492104.58967625</v>
      </c>
      <c r="N82" s="485"/>
      <c r="O82" s="504"/>
      <c r="P82"/>
    </row>
    <row r="83" spans="1:16">
      <c r="A83" s="484">
        <f t="shared" si="48"/>
        <v>2030</v>
      </c>
      <c r="B83" s="468">
        <f t="shared" si="36"/>
        <v>47604</v>
      </c>
      <c r="C83" s="468">
        <f>B83+30</f>
        <v>47634</v>
      </c>
      <c r="D83">
        <v>1</v>
      </c>
      <c r="E83" s="485">
        <f t="shared" si="30"/>
        <v>9515</v>
      </c>
      <c r="F83" s="485">
        <f t="shared" si="31"/>
        <v>883.96506874767749</v>
      </c>
      <c r="H83" s="486">
        <f t="shared" si="46"/>
        <v>138</v>
      </c>
      <c r="I83" s="485"/>
      <c r="J83" s="469">
        <f t="shared" si="41"/>
        <v>18.816036750000002</v>
      </c>
      <c r="K83" s="485">
        <f t="shared" si="43"/>
        <v>1313070</v>
      </c>
      <c r="L83" s="486">
        <f t="shared" si="44"/>
        <v>179034.58967625003</v>
      </c>
      <c r="M83" s="467">
        <f t="shared" si="35"/>
        <v>1492104.58967625</v>
      </c>
      <c r="N83" s="485"/>
      <c r="O83" s="504"/>
      <c r="P83"/>
    </row>
    <row r="84" spans="1:16">
      <c r="A84" s="484">
        <f t="shared" si="48"/>
        <v>2030</v>
      </c>
      <c r="B84" s="468">
        <f t="shared" si="36"/>
        <v>47635</v>
      </c>
      <c r="C84" s="468">
        <f>B84+30-1</f>
        <v>47664</v>
      </c>
      <c r="D84">
        <v>1</v>
      </c>
      <c r="E84" s="485">
        <f t="shared" si="30"/>
        <v>9515</v>
      </c>
      <c r="F84" s="485">
        <f t="shared" si="31"/>
        <v>883.96506874767749</v>
      </c>
      <c r="H84" s="486">
        <f t="shared" si="46"/>
        <v>138</v>
      </c>
      <c r="I84" s="485"/>
      <c r="J84" s="469">
        <f t="shared" si="41"/>
        <v>18.816036750000002</v>
      </c>
      <c r="K84" s="485">
        <f t="shared" si="43"/>
        <v>1313070</v>
      </c>
      <c r="L84" s="486">
        <f t="shared" si="44"/>
        <v>179034.58967625003</v>
      </c>
      <c r="M84" s="467">
        <f t="shared" si="35"/>
        <v>1492104.58967625</v>
      </c>
      <c r="N84" s="485"/>
      <c r="O84" s="504"/>
      <c r="P84"/>
    </row>
    <row r="85" spans="1:16">
      <c r="A85" s="484">
        <f t="shared" si="48"/>
        <v>2030</v>
      </c>
      <c r="B85" s="468">
        <f t="shared" ref="B85:B96" si="49">C84+1</f>
        <v>47665</v>
      </c>
      <c r="C85" s="468">
        <f t="shared" ref="C85:C90" si="50">B85+30</f>
        <v>47695</v>
      </c>
      <c r="D85">
        <v>1</v>
      </c>
      <c r="E85" s="485">
        <f t="shared" si="30"/>
        <v>9515</v>
      </c>
      <c r="F85" s="485">
        <f t="shared" si="31"/>
        <v>883.96506874767749</v>
      </c>
      <c r="H85" s="486">
        <f t="shared" si="46"/>
        <v>138</v>
      </c>
      <c r="I85" s="485"/>
      <c r="J85" s="469">
        <f t="shared" ref="J85" si="51">J84</f>
        <v>18.816036750000002</v>
      </c>
      <c r="K85" s="485">
        <f t="shared" si="43"/>
        <v>1313070</v>
      </c>
      <c r="L85" s="486">
        <f t="shared" si="44"/>
        <v>179034.58967625003</v>
      </c>
      <c r="M85" s="467">
        <f t="shared" ref="M85:M96" si="52">I85+K85+L85</f>
        <v>1492104.58967625</v>
      </c>
      <c r="N85" s="485"/>
      <c r="O85" s="504"/>
      <c r="P85"/>
    </row>
    <row r="86" spans="1:16" ht="13" thickBot="1">
      <c r="A86" s="487">
        <f t="shared" si="48"/>
        <v>2030</v>
      </c>
      <c r="B86" s="488">
        <f t="shared" si="49"/>
        <v>47696</v>
      </c>
      <c r="C86" s="488">
        <f t="shared" si="50"/>
        <v>47726</v>
      </c>
      <c r="D86" s="489">
        <v>1</v>
      </c>
      <c r="E86" s="490">
        <f t="shared" si="30"/>
        <v>9515</v>
      </c>
      <c r="F86" s="490">
        <f t="shared" si="31"/>
        <v>883.96506874767749</v>
      </c>
      <c r="G86" s="489"/>
      <c r="H86" s="491">
        <f t="shared" si="46"/>
        <v>138</v>
      </c>
      <c r="I86" s="490"/>
      <c r="J86" s="492">
        <f t="shared" ref="J86" si="53">J85</f>
        <v>18.816036750000002</v>
      </c>
      <c r="K86" s="490">
        <f t="shared" si="43"/>
        <v>1313070</v>
      </c>
      <c r="L86" s="491">
        <f t="shared" si="44"/>
        <v>179034.58967625003</v>
      </c>
      <c r="M86" s="493">
        <f t="shared" si="52"/>
        <v>1492104.58967625</v>
      </c>
      <c r="N86" s="490"/>
      <c r="O86" s="508"/>
      <c r="P86"/>
    </row>
    <row r="87" spans="1:16">
      <c r="A87" s="476">
        <f>A86+1</f>
        <v>2031</v>
      </c>
      <c r="B87" s="477">
        <f t="shared" si="49"/>
        <v>47727</v>
      </c>
      <c r="C87" s="477">
        <f>B87+30-1</f>
        <v>47756</v>
      </c>
      <c r="D87" s="478">
        <v>1</v>
      </c>
      <c r="E87" s="479">
        <f t="shared" si="30"/>
        <v>9515</v>
      </c>
      <c r="F87" s="485">
        <f t="shared" si="31"/>
        <v>883.96506874767749</v>
      </c>
      <c r="H87" s="486">
        <f t="shared" si="46"/>
        <v>138</v>
      </c>
      <c r="I87" s="485"/>
      <c r="J87" s="469">
        <f t="shared" ref="J87" si="54">J86</f>
        <v>18.816036750000002</v>
      </c>
      <c r="K87" s="485">
        <f t="shared" si="43"/>
        <v>1313070</v>
      </c>
      <c r="L87" s="486">
        <f t="shared" si="44"/>
        <v>179034.58967625003</v>
      </c>
      <c r="M87" s="467">
        <f t="shared" si="52"/>
        <v>1492104.58967625</v>
      </c>
      <c r="N87" s="485">
        <f>SUM(K75:K86)</f>
        <v>15756840</v>
      </c>
      <c r="O87" s="504">
        <f>SUM(L75:L86)</f>
        <v>2114313.2495100005</v>
      </c>
      <c r="P87"/>
    </row>
    <row r="88" spans="1:16">
      <c r="A88" s="484">
        <f>A87</f>
        <v>2031</v>
      </c>
      <c r="B88" s="468">
        <f t="shared" si="49"/>
        <v>47757</v>
      </c>
      <c r="C88" s="468">
        <f t="shared" si="50"/>
        <v>47787</v>
      </c>
      <c r="D88">
        <v>1</v>
      </c>
      <c r="E88" s="485">
        <f t="shared" si="30"/>
        <v>9515</v>
      </c>
      <c r="F88" s="485">
        <f t="shared" si="31"/>
        <v>883.96506874767749</v>
      </c>
      <c r="H88" s="486">
        <f t="shared" si="46"/>
        <v>138</v>
      </c>
      <c r="I88" s="485"/>
      <c r="J88" s="469">
        <f t="shared" ref="J88" si="55">J87</f>
        <v>18.816036750000002</v>
      </c>
      <c r="K88" s="485">
        <f t="shared" si="43"/>
        <v>1313070</v>
      </c>
      <c r="L88" s="486">
        <f t="shared" si="44"/>
        <v>179034.58967625003</v>
      </c>
      <c r="M88" s="467">
        <f t="shared" si="52"/>
        <v>1492104.58967625</v>
      </c>
      <c r="N88" s="485"/>
      <c r="O88" s="504"/>
      <c r="P88"/>
    </row>
    <row r="89" spans="1:16">
      <c r="A89" s="484">
        <f>A88</f>
        <v>2031</v>
      </c>
      <c r="B89" s="468">
        <f t="shared" si="49"/>
        <v>47788</v>
      </c>
      <c r="C89" s="468">
        <f>B89+30-1</f>
        <v>47817</v>
      </c>
      <c r="D89">
        <v>1</v>
      </c>
      <c r="E89" s="485">
        <f t="shared" si="30"/>
        <v>9515</v>
      </c>
      <c r="F89" s="485">
        <f t="shared" si="31"/>
        <v>883.96506874767749</v>
      </c>
      <c r="H89" s="486">
        <f t="shared" si="46"/>
        <v>138</v>
      </c>
      <c r="I89" s="485"/>
      <c r="J89" s="469">
        <f t="shared" ref="J89" si="56">J88</f>
        <v>18.816036750000002</v>
      </c>
      <c r="K89" s="485">
        <f t="shared" si="43"/>
        <v>1313070</v>
      </c>
      <c r="L89" s="486">
        <f t="shared" si="44"/>
        <v>179034.58967625003</v>
      </c>
      <c r="M89" s="467">
        <f t="shared" si="52"/>
        <v>1492104.58967625</v>
      </c>
      <c r="N89" s="485"/>
      <c r="O89" s="504"/>
      <c r="P89"/>
    </row>
    <row r="90" spans="1:16">
      <c r="A90" s="484">
        <f t="shared" ref="A90:A98" si="57">A89</f>
        <v>2031</v>
      </c>
      <c r="B90" s="468">
        <f t="shared" si="49"/>
        <v>47818</v>
      </c>
      <c r="C90" s="468">
        <f t="shared" si="50"/>
        <v>47848</v>
      </c>
      <c r="D90">
        <v>1</v>
      </c>
      <c r="E90" s="485">
        <f t="shared" si="30"/>
        <v>9515</v>
      </c>
      <c r="F90" s="485">
        <f t="shared" si="31"/>
        <v>883.96506874767749</v>
      </c>
      <c r="H90" s="486">
        <f t="shared" si="46"/>
        <v>138</v>
      </c>
      <c r="I90" s="485"/>
      <c r="J90" s="469">
        <f t="shared" ref="J90" si="58">J89</f>
        <v>18.816036750000002</v>
      </c>
      <c r="K90" s="485">
        <f t="shared" si="43"/>
        <v>1313070</v>
      </c>
      <c r="L90" s="486">
        <f t="shared" si="44"/>
        <v>179034.58967625003</v>
      </c>
      <c r="M90" s="467">
        <f t="shared" si="52"/>
        <v>1492104.58967625</v>
      </c>
      <c r="N90" s="485"/>
      <c r="O90" s="504"/>
      <c r="P90"/>
    </row>
    <row r="91" spans="1:16">
      <c r="A91" s="484">
        <f t="shared" si="57"/>
        <v>2031</v>
      </c>
      <c r="B91" s="468">
        <f t="shared" si="49"/>
        <v>47849</v>
      </c>
      <c r="C91" s="468">
        <f>B91+30</f>
        <v>47879</v>
      </c>
      <c r="D91">
        <v>1</v>
      </c>
      <c r="E91" s="485">
        <f t="shared" si="30"/>
        <v>9515</v>
      </c>
      <c r="F91" s="485">
        <f t="shared" si="31"/>
        <v>883.96506874767749</v>
      </c>
      <c r="H91" s="486">
        <f t="shared" si="46"/>
        <v>138</v>
      </c>
      <c r="I91" s="485"/>
      <c r="J91" s="469">
        <f>J90*1.05</f>
        <v>19.756838587500003</v>
      </c>
      <c r="K91" s="485">
        <f t="shared" si="43"/>
        <v>1313070</v>
      </c>
      <c r="L91" s="486">
        <f t="shared" si="44"/>
        <v>187986.31916006253</v>
      </c>
      <c r="M91" s="467">
        <f t="shared" si="52"/>
        <v>1501056.3191600626</v>
      </c>
      <c r="N91" s="485"/>
      <c r="O91" s="504"/>
      <c r="P91"/>
    </row>
    <row r="92" spans="1:16">
      <c r="A92" s="484">
        <f t="shared" si="57"/>
        <v>2031</v>
      </c>
      <c r="B92" s="468">
        <f t="shared" si="49"/>
        <v>47880</v>
      </c>
      <c r="C92" s="468">
        <f>B92+30-3</f>
        <v>47907</v>
      </c>
      <c r="D92">
        <v>1</v>
      </c>
      <c r="E92" s="485">
        <f t="shared" si="30"/>
        <v>9515</v>
      </c>
      <c r="F92" s="485">
        <f t="shared" si="31"/>
        <v>883.96506874767749</v>
      </c>
      <c r="H92" s="486">
        <f t="shared" si="46"/>
        <v>138</v>
      </c>
      <c r="I92" s="485"/>
      <c r="J92" s="469">
        <f>J91</f>
        <v>19.756838587500003</v>
      </c>
      <c r="K92" s="485">
        <f t="shared" si="43"/>
        <v>1313070</v>
      </c>
      <c r="L92" s="486">
        <f t="shared" si="44"/>
        <v>187986.31916006253</v>
      </c>
      <c r="M92" s="467">
        <f t="shared" si="52"/>
        <v>1501056.3191600626</v>
      </c>
      <c r="N92" s="485"/>
      <c r="O92" s="504"/>
      <c r="P92"/>
    </row>
    <row r="93" spans="1:16">
      <c r="A93" s="484">
        <f t="shared" si="57"/>
        <v>2031</v>
      </c>
      <c r="B93" s="468">
        <f t="shared" si="49"/>
        <v>47908</v>
      </c>
      <c r="C93" s="468">
        <f>B93+30</f>
        <v>47938</v>
      </c>
      <c r="D93">
        <v>1</v>
      </c>
      <c r="E93" s="485">
        <f t="shared" si="30"/>
        <v>9515</v>
      </c>
      <c r="F93" s="485">
        <f t="shared" si="31"/>
        <v>883.96506874767749</v>
      </c>
      <c r="H93" s="486">
        <f t="shared" si="46"/>
        <v>138</v>
      </c>
      <c r="I93" s="485"/>
      <c r="J93" s="469">
        <f t="shared" ref="J93" si="59">J92</f>
        <v>19.756838587500003</v>
      </c>
      <c r="K93" s="485">
        <f t="shared" si="43"/>
        <v>1313070</v>
      </c>
      <c r="L93" s="486">
        <f t="shared" si="44"/>
        <v>187986.31916006253</v>
      </c>
      <c r="M93" s="467">
        <f t="shared" si="52"/>
        <v>1501056.3191600626</v>
      </c>
      <c r="N93" s="485"/>
      <c r="O93" s="504"/>
      <c r="P93"/>
    </row>
    <row r="94" spans="1:16">
      <c r="A94" s="484">
        <f t="shared" si="57"/>
        <v>2031</v>
      </c>
      <c r="B94" s="468">
        <f t="shared" si="49"/>
        <v>47939</v>
      </c>
      <c r="C94" s="468">
        <f>B94+30-1</f>
        <v>47968</v>
      </c>
      <c r="D94">
        <v>1</v>
      </c>
      <c r="E94" s="485">
        <f t="shared" si="30"/>
        <v>9515</v>
      </c>
      <c r="F94" s="485">
        <f t="shared" si="31"/>
        <v>883.96506874767749</v>
      </c>
      <c r="H94" s="486">
        <f t="shared" si="46"/>
        <v>138</v>
      </c>
      <c r="I94" s="485"/>
      <c r="J94" s="469">
        <f t="shared" ref="J94" si="60">J93</f>
        <v>19.756838587500003</v>
      </c>
      <c r="K94" s="485">
        <f t="shared" si="43"/>
        <v>1313070</v>
      </c>
      <c r="L94" s="486">
        <f t="shared" si="44"/>
        <v>187986.31916006253</v>
      </c>
      <c r="M94" s="467">
        <f t="shared" si="52"/>
        <v>1501056.3191600626</v>
      </c>
      <c r="N94" s="485"/>
      <c r="O94" s="504"/>
      <c r="P94"/>
    </row>
    <row r="95" spans="1:16">
      <c r="A95" s="484">
        <f t="shared" si="57"/>
        <v>2031</v>
      </c>
      <c r="B95" s="468">
        <f t="shared" si="49"/>
        <v>47969</v>
      </c>
      <c r="C95" s="468">
        <f>B95+30</f>
        <v>47999</v>
      </c>
      <c r="D95">
        <v>1</v>
      </c>
      <c r="E95" s="485">
        <f t="shared" si="30"/>
        <v>9515</v>
      </c>
      <c r="F95" s="485">
        <f t="shared" si="31"/>
        <v>883.96506874767749</v>
      </c>
      <c r="H95" s="486">
        <f t="shared" si="46"/>
        <v>138</v>
      </c>
      <c r="I95" s="485"/>
      <c r="J95" s="469">
        <f t="shared" ref="J95" si="61">J94</f>
        <v>19.756838587500003</v>
      </c>
      <c r="K95" s="485">
        <f t="shared" ref="K95:K102" si="62">H95*E95</f>
        <v>1313070</v>
      </c>
      <c r="L95" s="486">
        <f t="shared" ref="L95:L102" si="63">J95*E95</f>
        <v>187986.31916006253</v>
      </c>
      <c r="M95" s="467">
        <f t="shared" si="52"/>
        <v>1501056.3191600626</v>
      </c>
      <c r="N95" s="485"/>
      <c r="O95" s="504"/>
      <c r="P95"/>
    </row>
    <row r="96" spans="1:16">
      <c r="A96" s="484">
        <f t="shared" si="57"/>
        <v>2031</v>
      </c>
      <c r="B96" s="468">
        <f t="shared" si="49"/>
        <v>48000</v>
      </c>
      <c r="C96" s="468">
        <f>B96+30-1</f>
        <v>48029</v>
      </c>
      <c r="D96">
        <v>1</v>
      </c>
      <c r="E96" s="485">
        <f t="shared" si="30"/>
        <v>9515</v>
      </c>
      <c r="F96" s="485">
        <f t="shared" si="31"/>
        <v>883.96506874767749</v>
      </c>
      <c r="H96" s="486">
        <f t="shared" si="46"/>
        <v>138</v>
      </c>
      <c r="I96" s="485"/>
      <c r="J96" s="469">
        <f t="shared" ref="J96" si="64">J95</f>
        <v>19.756838587500003</v>
      </c>
      <c r="K96" s="485">
        <f t="shared" si="62"/>
        <v>1313070</v>
      </c>
      <c r="L96" s="486">
        <f t="shared" si="63"/>
        <v>187986.31916006253</v>
      </c>
      <c r="M96" s="467">
        <f t="shared" si="52"/>
        <v>1501056.3191600626</v>
      </c>
      <c r="N96" s="485"/>
      <c r="O96" s="504"/>
      <c r="P96"/>
    </row>
    <row r="97" spans="1:18">
      <c r="A97" s="484">
        <f t="shared" si="57"/>
        <v>2031</v>
      </c>
      <c r="B97" s="468">
        <f t="shared" ref="B97:B102" si="65">C96+1</f>
        <v>48030</v>
      </c>
      <c r="C97" s="468">
        <f t="shared" ref="C97:C102" si="66">B97+30</f>
        <v>48060</v>
      </c>
      <c r="D97">
        <v>1</v>
      </c>
      <c r="E97" s="485">
        <f t="shared" ref="E97:F102" si="67">E96</f>
        <v>9515</v>
      </c>
      <c r="F97" s="485">
        <f t="shared" si="67"/>
        <v>883.96506874767749</v>
      </c>
      <c r="H97" s="486">
        <f t="shared" si="46"/>
        <v>138</v>
      </c>
      <c r="I97" s="485"/>
      <c r="J97" s="469">
        <f t="shared" ref="J97" si="68">J96</f>
        <v>19.756838587500003</v>
      </c>
      <c r="K97" s="485">
        <f t="shared" si="62"/>
        <v>1313070</v>
      </c>
      <c r="L97" s="486">
        <f t="shared" si="63"/>
        <v>187986.31916006253</v>
      </c>
      <c r="M97" s="467">
        <f t="shared" ref="M97:M102" si="69">I97+K97+L97</f>
        <v>1501056.3191600626</v>
      </c>
      <c r="N97" s="485"/>
      <c r="O97" s="504"/>
      <c r="P97"/>
    </row>
    <row r="98" spans="1:18" ht="13" thickBot="1">
      <c r="A98" s="487">
        <f t="shared" si="57"/>
        <v>2031</v>
      </c>
      <c r="B98" s="488">
        <f t="shared" si="65"/>
        <v>48061</v>
      </c>
      <c r="C98" s="488">
        <f t="shared" si="66"/>
        <v>48091</v>
      </c>
      <c r="D98" s="489">
        <v>1</v>
      </c>
      <c r="E98" s="490">
        <f t="shared" si="67"/>
        <v>9515</v>
      </c>
      <c r="F98" s="490">
        <f t="shared" si="67"/>
        <v>883.96506874767749</v>
      </c>
      <c r="G98" s="489"/>
      <c r="H98" s="491">
        <f t="shared" si="46"/>
        <v>138</v>
      </c>
      <c r="I98" s="490"/>
      <c r="J98" s="492">
        <f t="shared" ref="J98" si="70">J97</f>
        <v>19.756838587500003</v>
      </c>
      <c r="K98" s="490">
        <f t="shared" si="62"/>
        <v>1313070</v>
      </c>
      <c r="L98" s="491">
        <f t="shared" si="63"/>
        <v>187986.31916006253</v>
      </c>
      <c r="M98" s="493">
        <f t="shared" si="69"/>
        <v>1501056.3191600626</v>
      </c>
      <c r="N98" s="490"/>
      <c r="O98" s="508"/>
      <c r="P98"/>
    </row>
    <row r="99" spans="1:18">
      <c r="A99" s="484">
        <f>A98+1</f>
        <v>2032</v>
      </c>
      <c r="B99" s="468">
        <f t="shared" si="65"/>
        <v>48092</v>
      </c>
      <c r="C99" s="468">
        <f>B99+30-1</f>
        <v>48121</v>
      </c>
      <c r="D99">
        <v>1</v>
      </c>
      <c r="E99" s="485">
        <f t="shared" si="67"/>
        <v>9515</v>
      </c>
      <c r="F99" s="485">
        <f t="shared" si="67"/>
        <v>883.96506874767749</v>
      </c>
      <c r="H99" s="486">
        <f t="shared" si="46"/>
        <v>138</v>
      </c>
      <c r="I99" s="485"/>
      <c r="J99" s="469">
        <f t="shared" ref="J99" si="71">J98</f>
        <v>19.756838587500003</v>
      </c>
      <c r="K99" s="485">
        <f t="shared" si="62"/>
        <v>1313070</v>
      </c>
      <c r="L99" s="486">
        <f t="shared" si="63"/>
        <v>187986.31916006253</v>
      </c>
      <c r="M99" s="467">
        <f t="shared" si="69"/>
        <v>1501056.3191600626</v>
      </c>
      <c r="N99" s="485">
        <f>SUM(K87:K98)</f>
        <v>15756840</v>
      </c>
      <c r="O99" s="504">
        <f>SUM(L87:L98)</f>
        <v>2220028.9119855007</v>
      </c>
      <c r="P99"/>
    </row>
    <row r="100" spans="1:18">
      <c r="A100" s="484">
        <f>A99</f>
        <v>2032</v>
      </c>
      <c r="B100" s="468">
        <f t="shared" si="65"/>
        <v>48122</v>
      </c>
      <c r="C100" s="468">
        <f t="shared" si="66"/>
        <v>48152</v>
      </c>
      <c r="D100">
        <v>1</v>
      </c>
      <c r="E100" s="485">
        <f t="shared" si="67"/>
        <v>9515</v>
      </c>
      <c r="F100" s="485">
        <f t="shared" si="67"/>
        <v>883.96506874767749</v>
      </c>
      <c r="H100" s="486">
        <f t="shared" si="46"/>
        <v>138</v>
      </c>
      <c r="I100" s="485"/>
      <c r="J100" s="469">
        <f t="shared" ref="J100" si="72">J99</f>
        <v>19.756838587500003</v>
      </c>
      <c r="K100" s="485">
        <f t="shared" si="62"/>
        <v>1313070</v>
      </c>
      <c r="L100" s="486">
        <f t="shared" si="63"/>
        <v>187986.31916006253</v>
      </c>
      <c r="M100" s="467">
        <f t="shared" si="69"/>
        <v>1501056.3191600626</v>
      </c>
      <c r="N100" s="485"/>
      <c r="O100" s="504"/>
      <c r="P100"/>
    </row>
    <row r="101" spans="1:18">
      <c r="A101" s="484">
        <f t="shared" ref="A101:A102" si="73">A100</f>
        <v>2032</v>
      </c>
      <c r="B101" s="468">
        <f t="shared" si="65"/>
        <v>48153</v>
      </c>
      <c r="C101" s="468">
        <f>B101+30-1</f>
        <v>48182</v>
      </c>
      <c r="D101">
        <v>1</v>
      </c>
      <c r="E101" s="485">
        <f t="shared" si="67"/>
        <v>9515</v>
      </c>
      <c r="F101" s="485">
        <f t="shared" si="67"/>
        <v>883.96506874767749</v>
      </c>
      <c r="H101" s="486">
        <f t="shared" si="46"/>
        <v>138</v>
      </c>
      <c r="I101" s="485"/>
      <c r="J101" s="469">
        <f t="shared" ref="J101" si="74">J100</f>
        <v>19.756838587500003</v>
      </c>
      <c r="K101" s="485">
        <f t="shared" si="62"/>
        <v>1313070</v>
      </c>
      <c r="L101" s="486">
        <f t="shared" si="63"/>
        <v>187986.31916006253</v>
      </c>
      <c r="M101" s="467">
        <f t="shared" si="69"/>
        <v>1501056.3191600626</v>
      </c>
      <c r="N101" s="485"/>
      <c r="O101" s="504"/>
      <c r="P101"/>
    </row>
    <row r="102" spans="1:18" ht="13" thickBot="1">
      <c r="A102" s="487">
        <f t="shared" si="73"/>
        <v>2032</v>
      </c>
      <c r="B102" s="488">
        <f t="shared" si="65"/>
        <v>48183</v>
      </c>
      <c r="C102" s="488">
        <f t="shared" si="66"/>
        <v>48213</v>
      </c>
      <c r="D102" s="489">
        <v>1</v>
      </c>
      <c r="E102" s="490">
        <f t="shared" si="67"/>
        <v>9515</v>
      </c>
      <c r="F102" s="490">
        <f t="shared" si="67"/>
        <v>883.96506874767749</v>
      </c>
      <c r="G102" s="489"/>
      <c r="H102" s="491">
        <f t="shared" si="46"/>
        <v>138</v>
      </c>
      <c r="I102" s="490"/>
      <c r="J102" s="492">
        <f t="shared" ref="J102" si="75">J101</f>
        <v>19.756838587500003</v>
      </c>
      <c r="K102" s="490">
        <f t="shared" si="62"/>
        <v>1313070</v>
      </c>
      <c r="L102" s="491">
        <f t="shared" si="63"/>
        <v>187986.31916006253</v>
      </c>
      <c r="M102" s="493">
        <f t="shared" si="69"/>
        <v>1501056.3191600626</v>
      </c>
      <c r="N102" s="490"/>
      <c r="O102" s="508"/>
      <c r="P102"/>
    </row>
    <row r="103" spans="1:18">
      <c r="N103" s="485">
        <f>SUM(K99:K102)</f>
        <v>5252280</v>
      </c>
      <c r="O103" s="504">
        <f>SUM(L99:L102)</f>
        <v>751945.27664025011</v>
      </c>
      <c r="P103" s="471"/>
      <c r="Q103" s="471"/>
      <c r="R103" s="471"/>
    </row>
    <row r="104" spans="1:18">
      <c r="K104" s="471">
        <f>SUM(K31:K102)</f>
        <v>88546590</v>
      </c>
      <c r="L104" s="471">
        <f>SUM(L31:L102)</f>
        <v>12022424.428335754</v>
      </c>
      <c r="M104" s="471">
        <f>SUM(M31:M102)</f>
        <v>100569014.42833562</v>
      </c>
      <c r="N104" s="471">
        <f>SUM(N31:N103)</f>
        <v>88546590</v>
      </c>
      <c r="O104" s="575">
        <f>SUM(O31:O103)</f>
        <v>12022424.428335754</v>
      </c>
    </row>
    <row r="105" spans="1:18">
      <c r="K105" s="531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E5F74-A790-46D1-AD28-DC5353FD5B7B}">
  <sheetPr codeName="Sheet8"/>
  <dimension ref="A1:U90"/>
  <sheetViews>
    <sheetView zoomScale="110" zoomScaleNormal="110" workbookViewId="0">
      <pane ySplit="2" topLeftCell="A24" activePane="bottomLeft" state="frozen"/>
      <selection pane="bottomLeft" activeCell="B33" sqref="B33"/>
    </sheetView>
  </sheetViews>
  <sheetFormatPr defaultRowHeight="12.5"/>
  <cols>
    <col min="2" max="3" width="10.08984375" bestFit="1" customWidth="1"/>
    <col min="5" max="5" width="10.36328125" bestFit="1" customWidth="1"/>
    <col min="6" max="6" width="9.36328125" bestFit="1" customWidth="1"/>
    <col min="7" max="8" width="9.90625" bestFit="1" customWidth="1"/>
    <col min="9" max="9" width="11.6328125" bestFit="1" customWidth="1"/>
    <col min="10" max="10" width="9.90625" customWidth="1"/>
    <col min="11" max="11" width="12.6328125" bestFit="1" customWidth="1"/>
    <col min="12" max="12" width="13.08984375" bestFit="1" customWidth="1"/>
    <col min="13" max="13" width="15.36328125" bestFit="1" customWidth="1"/>
    <col min="14" max="14" width="15" style="451" bestFit="1" customWidth="1"/>
    <col min="15" max="15" width="15.08984375" style="451" bestFit="1" customWidth="1"/>
    <col min="16" max="16" width="14.08984375" style="451" bestFit="1" customWidth="1"/>
    <col min="17" max="17" width="10.45312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>
      <c r="B1" s="338" t="s">
        <v>243</v>
      </c>
      <c r="C1" s="339"/>
      <c r="D1" s="339"/>
      <c r="E1" s="339"/>
      <c r="F1" s="339"/>
      <c r="G1" s="339"/>
      <c r="H1" s="339"/>
      <c r="I1" s="340"/>
      <c r="J1" s="339"/>
      <c r="K1" s="341">
        <v>10.763999999999999</v>
      </c>
      <c r="L1" s="342">
        <f>D16</f>
        <v>163.5</v>
      </c>
      <c r="M1" s="339"/>
      <c r="N1" s="351"/>
      <c r="O1" s="351"/>
      <c r="P1" s="351"/>
      <c r="Q1" s="339"/>
      <c r="R1" s="339"/>
      <c r="S1" s="339"/>
      <c r="T1" s="339"/>
    </row>
    <row r="2" spans="2:21" ht="21">
      <c r="B2" s="343" t="s">
        <v>244</v>
      </c>
      <c r="C2" s="343" t="s">
        <v>245</v>
      </c>
      <c r="D2" s="343" t="s">
        <v>246</v>
      </c>
      <c r="E2" s="343" t="s">
        <v>248</v>
      </c>
      <c r="F2" s="343" t="s">
        <v>247</v>
      </c>
      <c r="G2" s="343" t="s">
        <v>249</v>
      </c>
      <c r="H2" s="343" t="s">
        <v>250</v>
      </c>
      <c r="I2" s="344" t="s">
        <v>251</v>
      </c>
      <c r="J2" s="343" t="s">
        <v>66</v>
      </c>
      <c r="K2" s="344" t="s">
        <v>252</v>
      </c>
      <c r="L2" s="344" t="s">
        <v>253</v>
      </c>
      <c r="M2" s="344" t="s">
        <v>254</v>
      </c>
      <c r="N2" s="494" t="s">
        <v>255</v>
      </c>
      <c r="O2" s="495"/>
      <c r="P2" s="494" t="s">
        <v>237</v>
      </c>
      <c r="Q2" s="343" t="s">
        <v>65</v>
      </c>
      <c r="R2" s="343" t="s">
        <v>294</v>
      </c>
      <c r="S2" s="343" t="s">
        <v>66</v>
      </c>
      <c r="T2" s="343" t="s">
        <v>29</v>
      </c>
    </row>
    <row r="3" spans="2:21">
      <c r="B3" s="345">
        <v>45976</v>
      </c>
      <c r="C3" s="346">
        <v>46295</v>
      </c>
      <c r="D3" s="347">
        <f>ROUND((C3-B3)/30,0)-0.5</f>
        <v>10.5</v>
      </c>
      <c r="E3" s="347">
        <f>'Rent Calculation'!F21</f>
        <v>9515</v>
      </c>
      <c r="F3" s="347">
        <f>'Rent Calculation'!G21</f>
        <v>883.96506874767749</v>
      </c>
      <c r="G3" s="349"/>
      <c r="H3" s="348">
        <f>'Rent Calculation'!F37</f>
        <v>120</v>
      </c>
      <c r="I3" s="397">
        <f>E17</f>
        <v>3258.3333333333335</v>
      </c>
      <c r="J3" s="347">
        <f>14.67723796875</f>
        <v>14.677237968749999</v>
      </c>
      <c r="K3" s="347">
        <f>H3*$K$1</f>
        <v>1291.6799999999998</v>
      </c>
      <c r="L3" s="348">
        <f>I3/E3</f>
        <v>0.34244175862672976</v>
      </c>
      <c r="M3" s="348">
        <f>J3*$K$1</f>
        <v>157.98578949562497</v>
      </c>
      <c r="N3" s="397">
        <f>K3+L3</f>
        <v>1292.0224417586267</v>
      </c>
      <c r="O3" s="351"/>
      <c r="P3" s="496">
        <f>YEAR(C3)</f>
        <v>2026</v>
      </c>
      <c r="Q3" s="397">
        <f>D3*E3*H3</f>
        <v>11988900</v>
      </c>
      <c r="R3" s="397">
        <f t="shared" ref="R3:R8" si="0">$I$36*D3</f>
        <v>5131875</v>
      </c>
      <c r="S3" s="397">
        <f>D3*E3*J3</f>
        <v>1466366.1523628905</v>
      </c>
      <c r="T3" s="397">
        <f>SUM(Q3:S3)</f>
        <v>18587141.152362891</v>
      </c>
      <c r="U3" s="467">
        <f>T3/12</f>
        <v>1548928.4293635741</v>
      </c>
    </row>
    <row r="4" spans="2:21">
      <c r="B4" s="345">
        <f>C3+1</f>
        <v>46296</v>
      </c>
      <c r="C4" s="345">
        <v>46340</v>
      </c>
      <c r="D4" s="347">
        <f t="shared" ref="D4:D8" si="1">ROUND((C4-B4)/30,0)+0.5</f>
        <v>1.5</v>
      </c>
      <c r="E4" s="347">
        <f>E3</f>
        <v>9515</v>
      </c>
      <c r="F4" s="347">
        <f>F3</f>
        <v>883.96506874767749</v>
      </c>
      <c r="G4" s="349"/>
      <c r="H4" s="348">
        <f>H3</f>
        <v>120</v>
      </c>
      <c r="I4" s="440">
        <f t="shared" ref="I4:J4" si="2">I3</f>
        <v>3258.3333333333335</v>
      </c>
      <c r="J4" s="348">
        <f t="shared" si="2"/>
        <v>14.677237968749999</v>
      </c>
      <c r="K4" s="347">
        <f t="shared" ref="K4:K10" si="3">H4*$K$1</f>
        <v>1291.6799999999998</v>
      </c>
      <c r="L4" s="348">
        <f t="shared" ref="L4:L10" si="4">I4/E4</f>
        <v>0.34244175862672976</v>
      </c>
      <c r="M4" s="348">
        <f t="shared" ref="M4:M10" si="5">J4*$K$1</f>
        <v>157.98578949562497</v>
      </c>
      <c r="N4" s="397">
        <f t="shared" ref="N4:N10" si="6">K4+L4</f>
        <v>1292.0224417586267</v>
      </c>
      <c r="O4" s="351"/>
      <c r="P4" s="496">
        <f>P3+1</f>
        <v>2027</v>
      </c>
      <c r="Q4" s="397">
        <f t="shared" ref="Q4:Q10" si="7">D4*E4*H4</f>
        <v>1712700</v>
      </c>
      <c r="R4" s="397">
        <f t="shared" si="0"/>
        <v>733125</v>
      </c>
      <c r="S4" s="397">
        <f t="shared" ref="S4:S10" si="8">D4*E4*J4</f>
        <v>209480.87890898436</v>
      </c>
      <c r="T4" s="397">
        <f t="shared" ref="T4:T10" si="9">SUM(Q4:S4)</f>
        <v>2655305.8789089844</v>
      </c>
    </row>
    <row r="5" spans="2:21">
      <c r="B5" s="345">
        <f>C4+1</f>
        <v>46341</v>
      </c>
      <c r="C5" s="346">
        <v>46660</v>
      </c>
      <c r="D5" s="347">
        <f>ROUND((C5-B5)/30,0)-0.5</f>
        <v>10.5</v>
      </c>
      <c r="E5" s="347">
        <f t="shared" ref="E5:F10" si="10">E4</f>
        <v>9515</v>
      </c>
      <c r="F5" s="347">
        <f t="shared" si="10"/>
        <v>883.96506874767749</v>
      </c>
      <c r="G5" s="349"/>
      <c r="H5" s="348">
        <f>H3</f>
        <v>120</v>
      </c>
      <c r="I5" s="397">
        <f>I3</f>
        <v>3258.3333333333335</v>
      </c>
      <c r="J5" s="347">
        <f>J4*1.05</f>
        <v>15.411099867187501</v>
      </c>
      <c r="K5" s="347">
        <f t="shared" si="3"/>
        <v>1291.6799999999998</v>
      </c>
      <c r="L5" s="348">
        <f t="shared" si="4"/>
        <v>0.34244175862672976</v>
      </c>
      <c r="M5" s="348">
        <f t="shared" si="5"/>
        <v>165.88507897040625</v>
      </c>
      <c r="N5" s="397">
        <f t="shared" si="6"/>
        <v>1292.0224417586267</v>
      </c>
      <c r="O5" s="351"/>
      <c r="P5" s="496">
        <f>P4</f>
        <v>2027</v>
      </c>
      <c r="Q5" s="397">
        <f t="shared" si="7"/>
        <v>11988900</v>
      </c>
      <c r="R5" s="397">
        <f t="shared" si="0"/>
        <v>5131875</v>
      </c>
      <c r="S5" s="397">
        <f t="shared" si="8"/>
        <v>1539684.4599810352</v>
      </c>
      <c r="T5" s="397">
        <f t="shared" si="9"/>
        <v>18660459.459981035</v>
      </c>
    </row>
    <row r="6" spans="2:21">
      <c r="B6" s="345">
        <f t="shared" ref="B6:B8" si="11">C5+1</f>
        <v>46661</v>
      </c>
      <c r="C6" s="345">
        <v>46705</v>
      </c>
      <c r="D6" s="347">
        <f t="shared" si="1"/>
        <v>1.5</v>
      </c>
      <c r="E6" s="347">
        <f t="shared" si="10"/>
        <v>9515</v>
      </c>
      <c r="F6" s="347">
        <f t="shared" si="10"/>
        <v>883.96506874767749</v>
      </c>
      <c r="G6" s="349"/>
      <c r="H6" s="348">
        <f t="shared" ref="H6:I7" si="12">H4</f>
        <v>120</v>
      </c>
      <c r="I6" s="397">
        <f t="shared" si="12"/>
        <v>3258.3333333333335</v>
      </c>
      <c r="J6" s="347">
        <f>J5</f>
        <v>15.411099867187501</v>
      </c>
      <c r="K6" s="347">
        <f t="shared" si="3"/>
        <v>1291.6799999999998</v>
      </c>
      <c r="L6" s="348">
        <f t="shared" si="4"/>
        <v>0.34244175862672976</v>
      </c>
      <c r="M6" s="348">
        <f t="shared" si="5"/>
        <v>165.88507897040625</v>
      </c>
      <c r="N6" s="397">
        <f t="shared" si="6"/>
        <v>1292.0224417586267</v>
      </c>
      <c r="O6" s="351"/>
      <c r="P6" s="496">
        <f>P5+1</f>
        <v>2028</v>
      </c>
      <c r="Q6" s="397">
        <f t="shared" si="7"/>
        <v>1712700</v>
      </c>
      <c r="R6" s="397">
        <f t="shared" si="0"/>
        <v>733125</v>
      </c>
      <c r="S6" s="397">
        <f t="shared" si="8"/>
        <v>219954.92285443359</v>
      </c>
      <c r="T6" s="397">
        <f t="shared" si="9"/>
        <v>2665779.9228544338</v>
      </c>
    </row>
    <row r="7" spans="2:21">
      <c r="B7" s="345">
        <f t="shared" si="11"/>
        <v>46706</v>
      </c>
      <c r="C7" s="346">
        <v>47026</v>
      </c>
      <c r="D7" s="347">
        <f>ROUND((C7-B7)/30,0)-0.5</f>
        <v>10.5</v>
      </c>
      <c r="E7" s="347">
        <f t="shared" si="10"/>
        <v>9515</v>
      </c>
      <c r="F7" s="347">
        <f t="shared" si="10"/>
        <v>883.96506874767749</v>
      </c>
      <c r="G7" s="350"/>
      <c r="H7" s="348">
        <f t="shared" si="12"/>
        <v>120</v>
      </c>
      <c r="I7" s="397">
        <f t="shared" si="12"/>
        <v>3258.3333333333335</v>
      </c>
      <c r="J7" s="347">
        <f t="shared" ref="J7" si="13">J6*1.05</f>
        <v>16.181654860546875</v>
      </c>
      <c r="K7" s="347">
        <f t="shared" si="3"/>
        <v>1291.6799999999998</v>
      </c>
      <c r="L7" s="348">
        <f t="shared" si="4"/>
        <v>0.34244175862672976</v>
      </c>
      <c r="M7" s="348">
        <f t="shared" si="5"/>
        <v>174.17933291892655</v>
      </c>
      <c r="N7" s="397">
        <f t="shared" si="6"/>
        <v>1292.0224417586267</v>
      </c>
      <c r="O7" s="351"/>
      <c r="P7" s="496">
        <f>P6</f>
        <v>2028</v>
      </c>
      <c r="Q7" s="397">
        <f t="shared" si="7"/>
        <v>11988900</v>
      </c>
      <c r="R7" s="397">
        <f t="shared" si="0"/>
        <v>5131875</v>
      </c>
      <c r="S7" s="397">
        <f t="shared" si="8"/>
        <v>1616668.6829800869</v>
      </c>
      <c r="T7" s="397">
        <f t="shared" si="9"/>
        <v>18737443.682980087</v>
      </c>
    </row>
    <row r="8" spans="2:21">
      <c r="B8" s="345">
        <f t="shared" si="11"/>
        <v>47027</v>
      </c>
      <c r="C8" s="345">
        <v>47071</v>
      </c>
      <c r="D8" s="347">
        <f t="shared" si="1"/>
        <v>1.5</v>
      </c>
      <c r="E8" s="347">
        <f t="shared" si="10"/>
        <v>9515</v>
      </c>
      <c r="F8" s="347">
        <f t="shared" si="10"/>
        <v>883.96506874767749</v>
      </c>
      <c r="G8" s="350"/>
      <c r="H8" s="348">
        <f>H6+(H6*G8)</f>
        <v>120</v>
      </c>
      <c r="I8" s="440">
        <f>I6+(I6*G8)</f>
        <v>3258.3333333333335</v>
      </c>
      <c r="J8" s="347">
        <f t="shared" ref="J8:J10" si="14">J7</f>
        <v>16.181654860546875</v>
      </c>
      <c r="K8" s="347">
        <f t="shared" si="3"/>
        <v>1291.6799999999998</v>
      </c>
      <c r="L8" s="348">
        <f t="shared" si="4"/>
        <v>0.34244175862672976</v>
      </c>
      <c r="M8" s="348">
        <f t="shared" si="5"/>
        <v>174.17933291892655</v>
      </c>
      <c r="N8" s="397">
        <f t="shared" si="6"/>
        <v>1292.0224417586267</v>
      </c>
      <c r="O8" s="351"/>
      <c r="P8" s="496">
        <f>P7+1</f>
        <v>2029</v>
      </c>
      <c r="Q8" s="397">
        <f t="shared" si="7"/>
        <v>1712700</v>
      </c>
      <c r="R8" s="397">
        <f t="shared" si="0"/>
        <v>733125</v>
      </c>
      <c r="S8" s="397">
        <f t="shared" si="8"/>
        <v>230952.66899715527</v>
      </c>
      <c r="T8" s="397">
        <f t="shared" si="9"/>
        <v>2676777.6689971555</v>
      </c>
    </row>
    <row r="9" spans="2:21">
      <c r="B9" s="345"/>
      <c r="C9" s="346"/>
      <c r="D9" s="347"/>
      <c r="E9" s="347">
        <f t="shared" si="10"/>
        <v>9515</v>
      </c>
      <c r="F9" s="347">
        <f t="shared" si="10"/>
        <v>883.96506874767749</v>
      </c>
      <c r="G9" s="350"/>
      <c r="H9" s="348">
        <f t="shared" ref="H9:H10" si="15">H7+(H7*G9)</f>
        <v>120</v>
      </c>
      <c r="I9" s="440">
        <f t="shared" ref="I9:I10" si="16">I7+(I7*G9)</f>
        <v>3258.3333333333335</v>
      </c>
      <c r="J9" s="347">
        <f t="shared" si="14"/>
        <v>16.181654860546875</v>
      </c>
      <c r="K9" s="347">
        <f t="shared" si="3"/>
        <v>1291.6799999999998</v>
      </c>
      <c r="L9" s="348">
        <f t="shared" si="4"/>
        <v>0.34244175862672976</v>
      </c>
      <c r="M9" s="348">
        <f t="shared" si="5"/>
        <v>174.17933291892655</v>
      </c>
      <c r="N9" s="397">
        <f t="shared" si="6"/>
        <v>1292.0224417586267</v>
      </c>
      <c r="O9" s="351"/>
      <c r="P9" s="496">
        <f>P8</f>
        <v>2029</v>
      </c>
      <c r="Q9" s="397">
        <f t="shared" si="7"/>
        <v>0</v>
      </c>
      <c r="R9" s="397">
        <f t="shared" ref="R9:R10" si="17">D9*$D$16*I9</f>
        <v>0</v>
      </c>
      <c r="S9" s="397">
        <f t="shared" si="8"/>
        <v>0</v>
      </c>
      <c r="T9" s="397">
        <f t="shared" si="9"/>
        <v>0</v>
      </c>
    </row>
    <row r="10" spans="2:21">
      <c r="B10" s="345"/>
      <c r="C10" s="345"/>
      <c r="D10" s="347"/>
      <c r="E10" s="347">
        <f t="shared" si="10"/>
        <v>9515</v>
      </c>
      <c r="F10" s="347">
        <f t="shared" si="10"/>
        <v>883.96506874767749</v>
      </c>
      <c r="G10" s="350"/>
      <c r="H10" s="348">
        <f t="shared" si="15"/>
        <v>120</v>
      </c>
      <c r="I10" s="440">
        <f t="shared" si="16"/>
        <v>3258.3333333333335</v>
      </c>
      <c r="J10" s="347">
        <f t="shared" si="14"/>
        <v>16.181654860546875</v>
      </c>
      <c r="K10" s="347">
        <f t="shared" si="3"/>
        <v>1291.6799999999998</v>
      </c>
      <c r="L10" s="348">
        <f t="shared" si="4"/>
        <v>0.34244175862672976</v>
      </c>
      <c r="M10" s="348">
        <f t="shared" si="5"/>
        <v>174.17933291892655</v>
      </c>
      <c r="N10" s="397">
        <f t="shared" si="6"/>
        <v>1292.0224417586267</v>
      </c>
      <c r="O10" s="351"/>
      <c r="P10" s="496">
        <f>P9+1</f>
        <v>2030</v>
      </c>
      <c r="Q10" s="397">
        <f t="shared" si="7"/>
        <v>0</v>
      </c>
      <c r="R10" s="397">
        <f t="shared" si="17"/>
        <v>0</v>
      </c>
      <c r="S10" s="397">
        <f t="shared" si="8"/>
        <v>0</v>
      </c>
      <c r="T10" s="397">
        <f t="shared" si="9"/>
        <v>0</v>
      </c>
    </row>
    <row r="11" spans="2:21" s="362" customFormat="1" ht="13">
      <c r="B11" s="768" t="s">
        <v>29</v>
      </c>
      <c r="C11" s="768"/>
      <c r="D11" s="391">
        <v>42</v>
      </c>
      <c r="E11" s="391"/>
      <c r="F11" s="392"/>
      <c r="G11" s="393"/>
      <c r="H11" s="392"/>
      <c r="I11" s="394"/>
      <c r="J11" s="391"/>
      <c r="K11" s="391"/>
      <c r="L11" s="392"/>
      <c r="M11" s="392"/>
      <c r="N11" s="398"/>
      <c r="O11" s="497"/>
      <c r="P11" s="498" t="s">
        <v>29</v>
      </c>
      <c r="Q11" s="398">
        <f>SUM(Q3:Q10)</f>
        <v>41104800</v>
      </c>
      <c r="R11" s="398">
        <f>SUM(R3:R10)</f>
        <v>17595000</v>
      </c>
      <c r="S11" s="398">
        <f>SUM(S3:S10)</f>
        <v>5283107.7660845863</v>
      </c>
      <c r="T11" s="398">
        <f>SUM(T3:T10)</f>
        <v>63982907.766084582</v>
      </c>
    </row>
    <row r="12" spans="2:21">
      <c r="B12" s="339"/>
      <c r="C12" s="339"/>
      <c r="D12" s="339"/>
      <c r="E12" s="339"/>
      <c r="F12" s="339"/>
      <c r="G12" s="339"/>
      <c r="H12" s="339"/>
      <c r="I12" s="339"/>
      <c r="J12" s="339"/>
      <c r="K12" s="339"/>
      <c r="L12" s="339"/>
      <c r="M12" s="339"/>
      <c r="N12" s="351"/>
      <c r="O12" s="351"/>
      <c r="P12" s="351"/>
      <c r="Q12" s="339"/>
      <c r="R12" s="339"/>
      <c r="S12" s="339"/>
      <c r="T12" s="339"/>
    </row>
    <row r="13" spans="2:21" ht="34.5">
      <c r="B13" s="344" t="s">
        <v>256</v>
      </c>
      <c r="C13" s="344" t="s">
        <v>257</v>
      </c>
      <c r="D13" s="344" t="s">
        <v>258</v>
      </c>
      <c r="E13" s="344" t="s">
        <v>259</v>
      </c>
      <c r="F13" s="339"/>
      <c r="G13" s="468" t="s">
        <v>381</v>
      </c>
      <c r="J13" s="473" t="s">
        <v>400</v>
      </c>
      <c r="K13" s="473" t="s">
        <v>401</v>
      </c>
      <c r="L13" s="339"/>
      <c r="M13" s="339"/>
      <c r="N13" s="351"/>
      <c r="O13" s="351"/>
      <c r="P13" s="351"/>
      <c r="Q13" s="351"/>
      <c r="R13" s="351"/>
      <c r="S13" s="351"/>
      <c r="T13" s="353"/>
    </row>
    <row r="14" spans="2:21">
      <c r="B14" s="352" t="s">
        <v>260</v>
      </c>
      <c r="C14" s="352">
        <v>5175</v>
      </c>
      <c r="D14" s="395">
        <v>54.5</v>
      </c>
      <c r="E14" s="352">
        <f>C14*D14</f>
        <v>282037.5</v>
      </c>
      <c r="F14" s="339"/>
      <c r="G14" s="468" t="s">
        <v>382</v>
      </c>
      <c r="H14" s="468" t="s">
        <v>383</v>
      </c>
      <c r="J14" s="518">
        <v>4500</v>
      </c>
      <c r="K14" s="518">
        <v>2000</v>
      </c>
      <c r="L14" s="472" t="s">
        <v>398</v>
      </c>
      <c r="M14" s="472">
        <f>E36/750</f>
        <v>12.686666666666667</v>
      </c>
      <c r="N14" s="351">
        <f>M14/2</f>
        <v>6.3433333333333337</v>
      </c>
      <c r="O14" s="351">
        <v>5175</v>
      </c>
      <c r="P14" s="351">
        <v>109</v>
      </c>
      <c r="Q14" s="506">
        <f>P14/2</f>
        <v>54.5</v>
      </c>
      <c r="R14" s="339"/>
      <c r="S14" s="339"/>
      <c r="T14" s="339"/>
    </row>
    <row r="15" spans="2:21">
      <c r="B15" s="352" t="s">
        <v>261</v>
      </c>
      <c r="C15" s="352">
        <v>2300</v>
      </c>
      <c r="D15" s="395">
        <v>109</v>
      </c>
      <c r="E15" s="352">
        <f>C15*D15</f>
        <v>250700</v>
      </c>
      <c r="F15" s="339"/>
      <c r="G15" s="468" t="s">
        <v>384</v>
      </c>
      <c r="H15" s="468" t="s">
        <v>385</v>
      </c>
      <c r="J15" s="518">
        <v>4500</v>
      </c>
      <c r="K15" s="518">
        <v>2000</v>
      </c>
      <c r="L15" s="472" t="s">
        <v>399</v>
      </c>
      <c r="M15" s="472">
        <f>M14*2</f>
        <v>25.373333333333335</v>
      </c>
      <c r="N15" s="351">
        <f>M15/2</f>
        <v>12.686666666666667</v>
      </c>
      <c r="O15" s="351">
        <v>2300</v>
      </c>
      <c r="P15" s="351">
        <v>218</v>
      </c>
      <c r="Q15" s="506">
        <f>P15/2</f>
        <v>109</v>
      </c>
      <c r="R15" s="339"/>
      <c r="S15" s="339"/>
      <c r="T15" s="339"/>
    </row>
    <row r="16" spans="2:21">
      <c r="B16" s="396" t="s">
        <v>29</v>
      </c>
      <c r="C16" s="396"/>
      <c r="D16" s="396">
        <f>D14+D15</f>
        <v>163.5</v>
      </c>
      <c r="E16" s="396">
        <f>E14+E15</f>
        <v>532737.5</v>
      </c>
      <c r="F16" s="354"/>
      <c r="G16" s="468" t="s">
        <v>386</v>
      </c>
      <c r="H16" s="468" t="s">
        <v>387</v>
      </c>
      <c r="J16" s="518">
        <v>4500</v>
      </c>
      <c r="K16" s="518">
        <v>2000</v>
      </c>
      <c r="L16" s="472"/>
      <c r="M16" s="472"/>
      <c r="N16" s="351"/>
      <c r="O16" s="351"/>
      <c r="P16" s="351"/>
      <c r="Q16" s="339"/>
      <c r="R16" s="339"/>
      <c r="S16" s="339"/>
      <c r="T16" s="339"/>
    </row>
    <row r="17" spans="1:20">
      <c r="B17" s="352"/>
      <c r="C17" s="352"/>
      <c r="D17" s="352"/>
      <c r="E17" s="352">
        <f>IFERROR(E16/D16,0)</f>
        <v>3258.3333333333335</v>
      </c>
      <c r="F17" s="355"/>
      <c r="G17" s="468" t="s">
        <v>388</v>
      </c>
      <c r="H17" s="468" t="s">
        <v>389</v>
      </c>
      <c r="I17" s="451"/>
      <c r="J17" s="518">
        <f>J16*1.15</f>
        <v>5175</v>
      </c>
      <c r="K17" s="518">
        <f>K16*1.15</f>
        <v>2300</v>
      </c>
      <c r="L17" s="339"/>
      <c r="M17" s="339"/>
      <c r="N17" s="351">
        <v>81771.12</v>
      </c>
      <c r="O17" s="351"/>
      <c r="P17" s="351"/>
      <c r="Q17" s="339"/>
      <c r="R17" s="339"/>
      <c r="S17" s="339"/>
      <c r="T17" s="339"/>
    </row>
    <row r="18" spans="1:20">
      <c r="B18" s="355"/>
      <c r="C18" s="355"/>
      <c r="D18" s="355"/>
      <c r="E18" s="355"/>
      <c r="F18" s="355"/>
      <c r="G18" s="468" t="s">
        <v>390</v>
      </c>
      <c r="H18" s="468" t="s">
        <v>391</v>
      </c>
      <c r="I18" s="451"/>
      <c r="J18" s="518">
        <f>J17</f>
        <v>5175</v>
      </c>
      <c r="K18" s="518">
        <f>K17</f>
        <v>2300</v>
      </c>
      <c r="L18" s="339"/>
      <c r="M18" s="339"/>
      <c r="N18" s="351">
        <f>N17/750</f>
        <v>109.02816</v>
      </c>
      <c r="O18" s="351">
        <f>N18/2</f>
        <v>54.51408</v>
      </c>
      <c r="P18" s="351"/>
      <c r="Q18" s="339"/>
      <c r="R18" s="339"/>
      <c r="S18" s="339"/>
      <c r="T18" s="339"/>
    </row>
    <row r="19" spans="1:20">
      <c r="B19" s="355"/>
      <c r="C19" s="355"/>
      <c r="D19" s="355"/>
      <c r="E19" s="355"/>
      <c r="F19" s="355"/>
      <c r="G19" s="468" t="s">
        <v>392</v>
      </c>
      <c r="H19" s="468" t="s">
        <v>393</v>
      </c>
      <c r="I19" s="451"/>
      <c r="J19" s="518">
        <f>J18</f>
        <v>5175</v>
      </c>
      <c r="K19" s="518">
        <f>K18</f>
        <v>2300</v>
      </c>
      <c r="L19" s="339"/>
      <c r="M19" s="339"/>
      <c r="N19" s="351">
        <f>N18*2</f>
        <v>218.05632</v>
      </c>
      <c r="O19" s="351">
        <f>N19/2</f>
        <v>109.02816</v>
      </c>
      <c r="P19" s="351"/>
      <c r="Q19" s="339"/>
      <c r="R19" s="339"/>
      <c r="S19" s="339"/>
      <c r="T19" s="339"/>
    </row>
    <row r="20" spans="1:20">
      <c r="B20" s="355"/>
      <c r="C20" s="355"/>
      <c r="D20" s="355"/>
      <c r="E20" s="355"/>
      <c r="F20" s="355"/>
      <c r="G20" s="468" t="s">
        <v>394</v>
      </c>
      <c r="H20" s="468" t="s">
        <v>395</v>
      </c>
      <c r="I20" s="471"/>
      <c r="J20" s="519">
        <f>J19*1.15</f>
        <v>5951.2499999999991</v>
      </c>
      <c r="K20" s="519">
        <f>K19*1.15</f>
        <v>2645</v>
      </c>
      <c r="L20" s="339"/>
      <c r="M20" s="339"/>
      <c r="N20" s="351"/>
      <c r="O20" s="351"/>
      <c r="P20" s="351"/>
      <c r="Q20" s="339"/>
      <c r="R20" s="339"/>
      <c r="S20" s="339"/>
      <c r="T20" s="339"/>
    </row>
    <row r="21" spans="1:20">
      <c r="B21" s="355"/>
      <c r="C21" s="355"/>
      <c r="D21" s="355"/>
      <c r="E21" s="355"/>
      <c r="F21" s="355"/>
      <c r="G21" s="468" t="s">
        <v>396</v>
      </c>
      <c r="H21" s="468" t="s">
        <v>397</v>
      </c>
      <c r="I21" s="471"/>
      <c r="J21" s="519">
        <f>J20</f>
        <v>5951.2499999999991</v>
      </c>
      <c r="K21" s="519">
        <f>K20</f>
        <v>2645</v>
      </c>
      <c r="L21" s="339"/>
      <c r="M21" s="339"/>
      <c r="N21" s="351"/>
      <c r="O21" s="351"/>
      <c r="P21" s="351"/>
      <c r="Q21" s="339"/>
      <c r="R21" s="339"/>
      <c r="S21" s="339"/>
      <c r="T21" s="339"/>
    </row>
    <row r="22" spans="1:20">
      <c r="B22" s="355"/>
      <c r="C22" s="355"/>
      <c r="D22" s="355"/>
      <c r="E22" s="355"/>
      <c r="F22" s="355"/>
      <c r="G22" s="468" t="s">
        <v>403</v>
      </c>
      <c r="H22" s="468" t="s">
        <v>404</v>
      </c>
      <c r="I22" s="339"/>
      <c r="J22" s="519">
        <f>J21</f>
        <v>5951.2499999999991</v>
      </c>
      <c r="K22" s="519">
        <f>K21</f>
        <v>2645</v>
      </c>
      <c r="L22" s="339"/>
      <c r="M22" s="339"/>
      <c r="N22" s="351"/>
      <c r="O22" s="351"/>
      <c r="P22" s="351"/>
      <c r="Q22" s="339"/>
      <c r="R22" s="339"/>
      <c r="S22" s="339"/>
      <c r="T22" s="339"/>
    </row>
    <row r="23" spans="1:20">
      <c r="B23" s="355"/>
      <c r="C23" s="355"/>
      <c r="D23" s="355"/>
      <c r="E23" s="355"/>
      <c r="F23" s="355"/>
      <c r="G23" s="468" t="s">
        <v>402</v>
      </c>
      <c r="H23" s="468" t="s">
        <v>404</v>
      </c>
      <c r="I23" s="339"/>
      <c r="J23" s="339"/>
      <c r="K23" s="339"/>
      <c r="L23" s="339">
        <f>11.5*1.05^4</f>
        <v>13.978321875000001</v>
      </c>
      <c r="M23" s="339"/>
      <c r="N23" s="351"/>
      <c r="O23" s="351"/>
      <c r="P23" s="351"/>
      <c r="Q23" s="339"/>
      <c r="R23" s="339"/>
      <c r="S23" s="339"/>
      <c r="T23" s="339"/>
    </row>
    <row r="24" spans="1:20">
      <c r="B24" s="355"/>
      <c r="C24" s="355"/>
      <c r="D24" s="355"/>
      <c r="E24" s="355"/>
      <c r="F24" s="355"/>
      <c r="G24" s="339"/>
      <c r="H24" s="339"/>
      <c r="I24" s="339"/>
      <c r="J24" s="339"/>
      <c r="K24" s="339"/>
      <c r="L24" s="339">
        <f>L23*1.05</f>
        <v>14.677237968750001</v>
      </c>
      <c r="M24" s="339"/>
      <c r="N24" s="351"/>
      <c r="O24" s="351"/>
      <c r="P24" s="351"/>
      <c r="Q24" s="339"/>
      <c r="R24" s="339"/>
      <c r="S24" s="339"/>
      <c r="T24" s="339"/>
    </row>
    <row r="25" spans="1:20">
      <c r="B25" s="355"/>
      <c r="C25" s="355"/>
      <c r="D25" s="355"/>
      <c r="E25" s="355"/>
      <c r="F25" s="355"/>
      <c r="G25" s="339"/>
      <c r="H25" s="339"/>
      <c r="I25" s="339"/>
      <c r="J25" s="506">
        <f>J19*55</f>
        <v>284625</v>
      </c>
      <c r="K25" s="506">
        <f>K20*100</f>
        <v>264500</v>
      </c>
      <c r="L25" s="339"/>
      <c r="M25" s="339"/>
      <c r="N25" s="351"/>
      <c r="O25" s="351"/>
      <c r="P25" s="351"/>
      <c r="Q25" s="339"/>
      <c r="R25" s="339"/>
      <c r="S25" s="339"/>
      <c r="T25" s="339"/>
    </row>
    <row r="26" spans="1:20">
      <c r="B26" s="355"/>
      <c r="C26" s="355"/>
      <c r="D26" s="355"/>
      <c r="E26" s="355"/>
      <c r="F26" s="355"/>
      <c r="G26" s="339"/>
      <c r="H26" s="339"/>
      <c r="I26" s="339"/>
      <c r="J26" s="339"/>
      <c r="K26" s="339"/>
      <c r="L26" s="339"/>
      <c r="M26" s="339"/>
      <c r="N26" s="351"/>
      <c r="O26" s="351"/>
      <c r="P26" s="351"/>
      <c r="Q26" s="339"/>
      <c r="R26" s="339"/>
      <c r="S26" s="339"/>
      <c r="T26" s="339"/>
    </row>
    <row r="27" spans="1:20">
      <c r="B27" s="355"/>
      <c r="C27" s="355"/>
      <c r="D27" s="355"/>
      <c r="E27" s="355"/>
      <c r="F27" s="355"/>
      <c r="G27" s="339"/>
      <c r="H27" s="339"/>
      <c r="I27" s="339"/>
      <c r="J27" s="339"/>
      <c r="K27" s="339"/>
      <c r="L27" s="339"/>
      <c r="M27" s="339"/>
      <c r="N27" s="351"/>
      <c r="O27" s="351"/>
      <c r="P27" s="351"/>
      <c r="Q27" s="339"/>
      <c r="R27" s="339"/>
      <c r="S27" s="339"/>
      <c r="T27" s="339"/>
    </row>
    <row r="29" spans="1:20" ht="21.5" thickBot="1">
      <c r="A29" t="s">
        <v>230</v>
      </c>
      <c r="B29" s="474" t="s">
        <v>244</v>
      </c>
      <c r="C29" s="474" t="s">
        <v>245</v>
      </c>
      <c r="D29" s="474" t="s">
        <v>246</v>
      </c>
      <c r="E29" s="474" t="s">
        <v>248</v>
      </c>
      <c r="F29" s="474" t="s">
        <v>247</v>
      </c>
      <c r="G29" s="474" t="s">
        <v>249</v>
      </c>
      <c r="H29" s="474" t="s">
        <v>250</v>
      </c>
      <c r="I29" s="475" t="s">
        <v>251</v>
      </c>
      <c r="J29" s="474" t="s">
        <v>66</v>
      </c>
      <c r="K29" s="475" t="s">
        <v>252</v>
      </c>
      <c r="L29" s="475" t="s">
        <v>254</v>
      </c>
      <c r="M29" s="470" t="s">
        <v>29</v>
      </c>
      <c r="N29" s="499" t="s">
        <v>294</v>
      </c>
      <c r="O29" s="500" t="s">
        <v>405</v>
      </c>
      <c r="P29" s="499" t="s">
        <v>66</v>
      </c>
    </row>
    <row r="30" spans="1:20">
      <c r="A30" s="476">
        <v>2025</v>
      </c>
      <c r="B30" s="477">
        <v>45778</v>
      </c>
      <c r="C30" s="477">
        <f>B30+30</f>
        <v>45808</v>
      </c>
      <c r="D30" s="478">
        <v>1</v>
      </c>
      <c r="E30" s="479">
        <v>0</v>
      </c>
      <c r="F30" s="479">
        <v>0</v>
      </c>
      <c r="G30" s="480"/>
      <c r="H30" s="481">
        <v>0</v>
      </c>
      <c r="I30" s="479">
        <v>0</v>
      </c>
      <c r="J30" s="482">
        <v>0</v>
      </c>
      <c r="K30" s="479">
        <f t="shared" ref="K30:K35" si="18">H30*E30</f>
        <v>0</v>
      </c>
      <c r="L30" s="481">
        <f t="shared" ref="L30:L35" si="19">J30*E30</f>
        <v>0</v>
      </c>
      <c r="M30" s="483">
        <f t="shared" ref="M30:M35" si="20">I30+K30+L30</f>
        <v>0</v>
      </c>
      <c r="N30" s="501"/>
      <c r="O30" s="501"/>
      <c r="P30" s="502"/>
    </row>
    <row r="31" spans="1:20">
      <c r="A31" s="484">
        <v>2025</v>
      </c>
      <c r="B31" s="468">
        <f>C30+1</f>
        <v>45809</v>
      </c>
      <c r="C31" s="468">
        <f>B31+30-1</f>
        <v>45838</v>
      </c>
      <c r="D31">
        <v>1</v>
      </c>
      <c r="E31" s="485">
        <f>E30</f>
        <v>0</v>
      </c>
      <c r="F31" s="485">
        <f>F30</f>
        <v>0</v>
      </c>
      <c r="G31" s="507"/>
      <c r="H31" s="486">
        <v>0</v>
      </c>
      <c r="I31" s="485">
        <v>0</v>
      </c>
      <c r="J31" s="469">
        <v>0</v>
      </c>
      <c r="K31" s="485">
        <f t="shared" si="18"/>
        <v>0</v>
      </c>
      <c r="L31" s="486">
        <f t="shared" si="19"/>
        <v>0</v>
      </c>
      <c r="M31" s="467">
        <f t="shared" si="20"/>
        <v>0</v>
      </c>
      <c r="N31" s="465"/>
      <c r="O31" s="465"/>
      <c r="P31" s="503"/>
    </row>
    <row r="32" spans="1:20">
      <c r="A32" s="484">
        <v>2025</v>
      </c>
      <c r="B32" s="468">
        <f>C31+1</f>
        <v>45839</v>
      </c>
      <c r="C32" s="468">
        <f>B32+30</f>
        <v>45869</v>
      </c>
      <c r="D32">
        <v>1</v>
      </c>
      <c r="E32" s="485">
        <f t="shared" ref="E32:E83" si="21">E31</f>
        <v>0</v>
      </c>
      <c r="F32" s="485">
        <f t="shared" ref="F32:F83" si="22">F31</f>
        <v>0</v>
      </c>
      <c r="G32" s="507"/>
      <c r="H32" s="486">
        <v>0</v>
      </c>
      <c r="I32" s="485">
        <v>0</v>
      </c>
      <c r="J32" s="469">
        <v>0</v>
      </c>
      <c r="K32" s="485">
        <f t="shared" si="18"/>
        <v>0</v>
      </c>
      <c r="L32" s="486">
        <f t="shared" si="19"/>
        <v>0</v>
      </c>
      <c r="M32" s="467">
        <f t="shared" si="20"/>
        <v>0</v>
      </c>
      <c r="N32" s="465"/>
      <c r="O32" s="465"/>
      <c r="P32" s="503"/>
    </row>
    <row r="33" spans="1:16">
      <c r="A33" s="484">
        <v>2025</v>
      </c>
      <c r="B33" s="468">
        <f>C32+1</f>
        <v>45870</v>
      </c>
      <c r="C33" s="468">
        <f>B33+30</f>
        <v>45900</v>
      </c>
      <c r="D33">
        <v>1</v>
      </c>
      <c r="E33" s="485">
        <f t="shared" si="21"/>
        <v>0</v>
      </c>
      <c r="F33" s="485">
        <f t="shared" si="22"/>
        <v>0</v>
      </c>
      <c r="G33" s="507"/>
      <c r="H33" s="486">
        <v>0</v>
      </c>
      <c r="I33" s="485">
        <v>0</v>
      </c>
      <c r="J33" s="469">
        <v>0</v>
      </c>
      <c r="K33" s="485">
        <f t="shared" si="18"/>
        <v>0</v>
      </c>
      <c r="L33" s="486">
        <f t="shared" si="19"/>
        <v>0</v>
      </c>
      <c r="M33" s="467">
        <f t="shared" si="20"/>
        <v>0</v>
      </c>
      <c r="N33" s="465"/>
      <c r="O33" s="465"/>
      <c r="P33" s="503"/>
    </row>
    <row r="34" spans="1:16">
      <c r="A34" s="484">
        <v>2026</v>
      </c>
      <c r="B34" s="468">
        <f t="shared" ref="B34:B35" si="23">C33+1</f>
        <v>45901</v>
      </c>
      <c r="C34" s="468">
        <f>B34+30-1</f>
        <v>45930</v>
      </c>
      <c r="D34">
        <v>1</v>
      </c>
      <c r="E34" s="485">
        <f>'Rent Calculation'!F23</f>
        <v>9515</v>
      </c>
      <c r="F34" s="485">
        <f>'Rent Calculation'!G23</f>
        <v>883.96506874767749</v>
      </c>
      <c r="G34" s="507"/>
      <c r="H34" s="486">
        <v>109.25</v>
      </c>
      <c r="I34" s="485">
        <f>($J$19*50)+($K$19*100)</f>
        <v>488750</v>
      </c>
      <c r="J34" s="469">
        <f>13.98</f>
        <v>13.98</v>
      </c>
      <c r="K34" s="485">
        <f t="shared" si="18"/>
        <v>1039513.75</v>
      </c>
      <c r="L34" s="486">
        <f t="shared" si="19"/>
        <v>133019.70000000001</v>
      </c>
      <c r="M34" s="467">
        <f t="shared" si="20"/>
        <v>1661283.45</v>
      </c>
      <c r="N34" s="465"/>
      <c r="O34" s="465"/>
      <c r="P34" s="503"/>
    </row>
    <row r="35" spans="1:16" ht="13" thickBot="1">
      <c r="A35">
        <v>2026</v>
      </c>
      <c r="B35" s="468">
        <f t="shared" si="23"/>
        <v>45931</v>
      </c>
      <c r="C35" s="468">
        <f t="shared" ref="C35" si="24">B35+30</f>
        <v>45961</v>
      </c>
      <c r="D35">
        <v>1</v>
      </c>
      <c r="E35" s="485">
        <f t="shared" si="21"/>
        <v>9515</v>
      </c>
      <c r="F35" s="485">
        <f t="shared" si="22"/>
        <v>883.96506874767749</v>
      </c>
      <c r="G35" s="507"/>
      <c r="H35" s="486">
        <v>109.25</v>
      </c>
      <c r="I35" s="485">
        <f>($J$19*50)+($K$19*100)</f>
        <v>488750</v>
      </c>
      <c r="J35" s="469">
        <f>13.98</f>
        <v>13.98</v>
      </c>
      <c r="K35" s="485">
        <f t="shared" si="18"/>
        <v>1039513.75</v>
      </c>
      <c r="L35" s="486">
        <f t="shared" si="19"/>
        <v>133019.70000000001</v>
      </c>
      <c r="M35" s="467">
        <f t="shared" si="20"/>
        <v>1661283.45</v>
      </c>
      <c r="N35" s="465"/>
      <c r="O35" s="465"/>
      <c r="P35" s="509"/>
    </row>
    <row r="36" spans="1:16">
      <c r="A36" s="476">
        <v>2026</v>
      </c>
      <c r="B36" s="477">
        <f>C35+1</f>
        <v>45962</v>
      </c>
      <c r="C36" s="477">
        <f>B36+30-1</f>
        <v>45991</v>
      </c>
      <c r="D36" s="478">
        <v>1</v>
      </c>
      <c r="E36" s="479">
        <f t="shared" si="21"/>
        <v>9515</v>
      </c>
      <c r="F36" s="479">
        <f t="shared" si="22"/>
        <v>883.96506874767749</v>
      </c>
      <c r="G36" s="478"/>
      <c r="H36" s="481">
        <v>109.25</v>
      </c>
      <c r="I36" s="479">
        <f t="shared" ref="I36:I47" si="25">($J$19*50)+($K$19*100)</f>
        <v>488750</v>
      </c>
      <c r="J36" s="482">
        <f>13.98*1.05</f>
        <v>14.679</v>
      </c>
      <c r="K36" s="479">
        <f>H36*E36</f>
        <v>1039513.75</v>
      </c>
      <c r="L36" s="481">
        <f>J36*E36</f>
        <v>139670.685</v>
      </c>
      <c r="M36" s="483">
        <f>I36+K36+L36</f>
        <v>1667934.4350000001</v>
      </c>
      <c r="N36" s="479"/>
      <c r="O36" s="479"/>
      <c r="P36" s="505"/>
    </row>
    <row r="37" spans="1:16">
      <c r="A37" s="484">
        <v>2026</v>
      </c>
      <c r="B37" s="468">
        <f>C36+1</f>
        <v>45992</v>
      </c>
      <c r="C37" s="468">
        <f>B37+30</f>
        <v>46022</v>
      </c>
      <c r="D37">
        <v>1</v>
      </c>
      <c r="E37" s="485">
        <f t="shared" si="21"/>
        <v>9515</v>
      </c>
      <c r="F37" s="485">
        <f t="shared" si="22"/>
        <v>883.96506874767749</v>
      </c>
      <c r="H37" s="486">
        <v>109.25</v>
      </c>
      <c r="I37" s="485">
        <f t="shared" si="25"/>
        <v>488750</v>
      </c>
      <c r="J37" s="469">
        <f t="shared" ref="J37:J47" si="26">13.98*1.05</f>
        <v>14.679</v>
      </c>
      <c r="K37" s="485">
        <f t="shared" ref="K37:K83" si="27">H37*E37</f>
        <v>1039513.75</v>
      </c>
      <c r="L37" s="486">
        <f t="shared" ref="L37:L83" si="28">J37*E37</f>
        <v>139670.685</v>
      </c>
      <c r="M37" s="467">
        <f t="shared" ref="M37:M83" si="29">I37+K37+L37</f>
        <v>1667934.4350000001</v>
      </c>
      <c r="N37" s="485"/>
      <c r="O37" s="485"/>
      <c r="P37" s="504"/>
    </row>
    <row r="38" spans="1:16">
      <c r="A38" s="484">
        <v>2026</v>
      </c>
      <c r="B38" s="468">
        <f t="shared" ref="B38:B83" si="30">C37+1</f>
        <v>46023</v>
      </c>
      <c r="C38" s="468">
        <f>B38+30</f>
        <v>46053</v>
      </c>
      <c r="D38">
        <v>1</v>
      </c>
      <c r="E38" s="485">
        <f t="shared" si="21"/>
        <v>9515</v>
      </c>
      <c r="F38" s="485">
        <f t="shared" si="22"/>
        <v>883.96506874767749</v>
      </c>
      <c r="H38" s="486">
        <v>109.25</v>
      </c>
      <c r="I38" s="485">
        <f t="shared" si="25"/>
        <v>488750</v>
      </c>
      <c r="J38" s="469">
        <f t="shared" si="26"/>
        <v>14.679</v>
      </c>
      <c r="K38" s="485">
        <f t="shared" si="27"/>
        <v>1039513.75</v>
      </c>
      <c r="L38" s="486">
        <f t="shared" si="28"/>
        <v>139670.685</v>
      </c>
      <c r="M38" s="467">
        <f t="shared" si="29"/>
        <v>1667934.4350000001</v>
      </c>
      <c r="N38" s="485"/>
      <c r="O38" s="485"/>
      <c r="P38" s="504"/>
    </row>
    <row r="39" spans="1:16">
      <c r="A39" s="484">
        <v>2026</v>
      </c>
      <c r="B39" s="468">
        <f t="shared" si="30"/>
        <v>46054</v>
      </c>
      <c r="C39" s="468">
        <f>B39+30-3</f>
        <v>46081</v>
      </c>
      <c r="D39">
        <v>1</v>
      </c>
      <c r="E39" s="485">
        <f t="shared" si="21"/>
        <v>9515</v>
      </c>
      <c r="F39" s="485">
        <f t="shared" si="22"/>
        <v>883.96506874767749</v>
      </c>
      <c r="H39" s="486">
        <v>109.25</v>
      </c>
      <c r="I39" s="485">
        <f t="shared" si="25"/>
        <v>488750</v>
      </c>
      <c r="J39" s="469">
        <f t="shared" si="26"/>
        <v>14.679</v>
      </c>
      <c r="K39" s="485">
        <f t="shared" si="27"/>
        <v>1039513.75</v>
      </c>
      <c r="L39" s="486">
        <f t="shared" si="28"/>
        <v>139670.685</v>
      </c>
      <c r="M39" s="467">
        <f t="shared" si="29"/>
        <v>1667934.4350000001</v>
      </c>
      <c r="N39" s="485"/>
      <c r="O39" s="485"/>
      <c r="P39" s="504"/>
    </row>
    <row r="40" spans="1:16">
      <c r="A40" s="484">
        <v>2026</v>
      </c>
      <c r="B40" s="468">
        <f t="shared" si="30"/>
        <v>46082</v>
      </c>
      <c r="C40" s="468">
        <f>B40+30</f>
        <v>46112</v>
      </c>
      <c r="D40">
        <v>1</v>
      </c>
      <c r="E40" s="485">
        <f t="shared" si="21"/>
        <v>9515</v>
      </c>
      <c r="F40" s="485">
        <f t="shared" si="22"/>
        <v>883.96506874767749</v>
      </c>
      <c r="H40" s="486">
        <v>109.25</v>
      </c>
      <c r="I40" s="485">
        <f t="shared" si="25"/>
        <v>488750</v>
      </c>
      <c r="J40" s="469">
        <f t="shared" si="26"/>
        <v>14.679</v>
      </c>
      <c r="K40" s="485">
        <f t="shared" si="27"/>
        <v>1039513.75</v>
      </c>
      <c r="L40" s="486">
        <f t="shared" si="28"/>
        <v>139670.685</v>
      </c>
      <c r="M40" s="467">
        <f t="shared" si="29"/>
        <v>1667934.4350000001</v>
      </c>
      <c r="N40" s="485"/>
      <c r="O40" s="485"/>
      <c r="P40" s="504"/>
    </row>
    <row r="41" spans="1:16">
      <c r="A41" s="484">
        <v>2026</v>
      </c>
      <c r="B41" s="468">
        <f t="shared" si="30"/>
        <v>46113</v>
      </c>
      <c r="C41" s="468">
        <f t="shared" ref="C41:C70" si="31">B41+30-1</f>
        <v>46142</v>
      </c>
      <c r="D41">
        <v>1</v>
      </c>
      <c r="E41" s="485">
        <f t="shared" si="21"/>
        <v>9515</v>
      </c>
      <c r="F41" s="485">
        <f t="shared" si="22"/>
        <v>883.96506874767749</v>
      </c>
      <c r="H41" s="486">
        <v>109.25</v>
      </c>
      <c r="I41" s="485">
        <f t="shared" si="25"/>
        <v>488750</v>
      </c>
      <c r="J41" s="469">
        <f t="shared" si="26"/>
        <v>14.679</v>
      </c>
      <c r="K41" s="485">
        <f t="shared" si="27"/>
        <v>1039513.75</v>
      </c>
      <c r="L41" s="486">
        <f t="shared" si="28"/>
        <v>139670.685</v>
      </c>
      <c r="M41" s="467">
        <f t="shared" si="29"/>
        <v>1667934.4350000001</v>
      </c>
      <c r="N41" s="485"/>
      <c r="O41" s="485"/>
      <c r="P41" s="504"/>
    </row>
    <row r="42" spans="1:16">
      <c r="A42" s="484">
        <v>2026</v>
      </c>
      <c r="B42" s="468">
        <f t="shared" si="30"/>
        <v>46143</v>
      </c>
      <c r="C42" s="468">
        <f>B42+30</f>
        <v>46173</v>
      </c>
      <c r="D42">
        <v>1</v>
      </c>
      <c r="E42" s="485">
        <f t="shared" si="21"/>
        <v>9515</v>
      </c>
      <c r="F42" s="485">
        <f t="shared" si="22"/>
        <v>883.96506874767749</v>
      </c>
      <c r="H42" s="486">
        <v>109.25</v>
      </c>
      <c r="I42" s="485">
        <f t="shared" si="25"/>
        <v>488750</v>
      </c>
      <c r="J42" s="469">
        <f t="shared" si="26"/>
        <v>14.679</v>
      </c>
      <c r="K42" s="485">
        <f t="shared" si="27"/>
        <v>1039513.75</v>
      </c>
      <c r="L42" s="486">
        <f t="shared" si="28"/>
        <v>139670.685</v>
      </c>
      <c r="M42" s="467">
        <f t="shared" si="29"/>
        <v>1667934.4350000001</v>
      </c>
      <c r="N42" s="485"/>
      <c r="O42" s="485"/>
      <c r="P42" s="504"/>
    </row>
    <row r="43" spans="1:16">
      <c r="A43" s="484">
        <v>2026</v>
      </c>
      <c r="B43" s="468">
        <f t="shared" si="30"/>
        <v>46174</v>
      </c>
      <c r="C43" s="468">
        <f t="shared" si="31"/>
        <v>46203</v>
      </c>
      <c r="D43">
        <v>1</v>
      </c>
      <c r="E43" s="485">
        <f t="shared" si="21"/>
        <v>9515</v>
      </c>
      <c r="F43" s="485">
        <f t="shared" si="22"/>
        <v>883.96506874767749</v>
      </c>
      <c r="H43" s="486">
        <v>109.25</v>
      </c>
      <c r="I43" s="485">
        <f t="shared" si="25"/>
        <v>488750</v>
      </c>
      <c r="J43" s="469">
        <f t="shared" si="26"/>
        <v>14.679</v>
      </c>
      <c r="K43" s="485">
        <f t="shared" si="27"/>
        <v>1039513.75</v>
      </c>
      <c r="L43" s="486">
        <f t="shared" si="28"/>
        <v>139670.685</v>
      </c>
      <c r="M43" s="467">
        <f t="shared" si="29"/>
        <v>1667934.4350000001</v>
      </c>
      <c r="N43" s="485"/>
      <c r="O43" s="485"/>
      <c r="P43" s="504"/>
    </row>
    <row r="44" spans="1:16">
      <c r="A44" s="484">
        <v>2026</v>
      </c>
      <c r="B44" s="468">
        <f t="shared" si="30"/>
        <v>46204</v>
      </c>
      <c r="C44" s="468">
        <f>B44+30</f>
        <v>46234</v>
      </c>
      <c r="D44">
        <v>1</v>
      </c>
      <c r="E44" s="485">
        <f t="shared" si="21"/>
        <v>9515</v>
      </c>
      <c r="F44" s="485">
        <f t="shared" si="22"/>
        <v>883.96506874767749</v>
      </c>
      <c r="H44" s="486">
        <v>109.25</v>
      </c>
      <c r="I44" s="485">
        <f t="shared" si="25"/>
        <v>488750</v>
      </c>
      <c r="J44" s="469">
        <f t="shared" si="26"/>
        <v>14.679</v>
      </c>
      <c r="K44" s="485">
        <f t="shared" si="27"/>
        <v>1039513.75</v>
      </c>
      <c r="L44" s="486">
        <f t="shared" si="28"/>
        <v>139670.685</v>
      </c>
      <c r="M44" s="467">
        <f t="shared" si="29"/>
        <v>1667934.4350000001</v>
      </c>
      <c r="N44" s="485"/>
      <c r="O44" s="485"/>
      <c r="P44" s="504"/>
    </row>
    <row r="45" spans="1:16">
      <c r="A45" s="484">
        <v>2026</v>
      </c>
      <c r="B45" s="468">
        <f t="shared" si="30"/>
        <v>46235</v>
      </c>
      <c r="C45" s="468">
        <f>B45+30</f>
        <v>46265</v>
      </c>
      <c r="D45">
        <v>1</v>
      </c>
      <c r="E45" s="485">
        <f t="shared" si="21"/>
        <v>9515</v>
      </c>
      <c r="F45" s="485">
        <f t="shared" si="22"/>
        <v>883.96506874767749</v>
      </c>
      <c r="H45" s="486">
        <v>109.25</v>
      </c>
      <c r="I45" s="485">
        <f t="shared" si="25"/>
        <v>488750</v>
      </c>
      <c r="J45" s="469">
        <f t="shared" si="26"/>
        <v>14.679</v>
      </c>
      <c r="K45" s="485">
        <f t="shared" si="27"/>
        <v>1039513.75</v>
      </c>
      <c r="L45" s="486">
        <f t="shared" si="28"/>
        <v>139670.685</v>
      </c>
      <c r="M45" s="467">
        <f t="shared" si="29"/>
        <v>1667934.4350000001</v>
      </c>
      <c r="N45" s="485"/>
      <c r="O45" s="485"/>
      <c r="P45" s="504"/>
    </row>
    <row r="46" spans="1:16" ht="13" thickBot="1">
      <c r="A46" s="487">
        <v>2027</v>
      </c>
      <c r="B46" s="488">
        <f t="shared" si="30"/>
        <v>46266</v>
      </c>
      <c r="C46" s="488">
        <f t="shared" si="31"/>
        <v>46295</v>
      </c>
      <c r="D46" s="489">
        <v>1</v>
      </c>
      <c r="E46" s="490">
        <f t="shared" si="21"/>
        <v>9515</v>
      </c>
      <c r="F46" s="490">
        <f t="shared" si="22"/>
        <v>883.96506874767749</v>
      </c>
      <c r="G46" s="489"/>
      <c r="H46" s="491">
        <v>109.25</v>
      </c>
      <c r="I46" s="490">
        <f t="shared" si="25"/>
        <v>488750</v>
      </c>
      <c r="J46" s="469">
        <f t="shared" si="26"/>
        <v>14.679</v>
      </c>
      <c r="K46" s="490">
        <f t="shared" si="27"/>
        <v>1039513.75</v>
      </c>
      <c r="L46" s="491">
        <f t="shared" si="28"/>
        <v>139670.685</v>
      </c>
      <c r="M46" s="493">
        <f t="shared" si="29"/>
        <v>1667934.4350000001</v>
      </c>
      <c r="N46" s="490">
        <f>SUM(I36:I46)</f>
        <v>5376250</v>
      </c>
      <c r="O46" s="490">
        <f>SUM(K36:K46)</f>
        <v>11434651.25</v>
      </c>
      <c r="P46" s="508">
        <f>SUM(L36:L46)</f>
        <v>1536377.5350000004</v>
      </c>
    </row>
    <row r="47" spans="1:16" ht="13" thickBot="1">
      <c r="A47" s="476">
        <v>2027</v>
      </c>
      <c r="B47" s="477">
        <f t="shared" si="30"/>
        <v>46296</v>
      </c>
      <c r="C47" s="477">
        <f>B47+30</f>
        <v>46326</v>
      </c>
      <c r="D47" s="478">
        <v>1</v>
      </c>
      <c r="E47" s="479">
        <f t="shared" si="21"/>
        <v>9515</v>
      </c>
      <c r="F47" s="479">
        <f t="shared" si="22"/>
        <v>883.96506874767749</v>
      </c>
      <c r="G47" s="478"/>
      <c r="H47" s="481">
        <v>109.25</v>
      </c>
      <c r="I47" s="490">
        <f t="shared" si="25"/>
        <v>488750</v>
      </c>
      <c r="J47" s="469">
        <f t="shared" si="26"/>
        <v>14.679</v>
      </c>
      <c r="K47" s="479">
        <f t="shared" si="27"/>
        <v>1039513.75</v>
      </c>
      <c r="L47" s="481">
        <f t="shared" si="28"/>
        <v>139670.685</v>
      </c>
      <c r="M47" s="483">
        <f t="shared" si="29"/>
        <v>1667934.4350000001</v>
      </c>
      <c r="N47" s="479"/>
      <c r="O47" s="479"/>
      <c r="P47" s="505"/>
    </row>
    <row r="48" spans="1:16">
      <c r="A48" s="484">
        <v>2027</v>
      </c>
      <c r="B48" s="468">
        <f t="shared" si="30"/>
        <v>46327</v>
      </c>
      <c r="C48" s="468">
        <f>B48+30-1</f>
        <v>46356</v>
      </c>
      <c r="D48">
        <v>1</v>
      </c>
      <c r="E48" s="485">
        <f t="shared" si="21"/>
        <v>9515</v>
      </c>
      <c r="F48" s="485">
        <f t="shared" si="22"/>
        <v>883.96506874767749</v>
      </c>
      <c r="H48" s="486">
        <f t="shared" ref="H48:H83" si="32">109.25*1.15</f>
        <v>125.63749999999999</v>
      </c>
      <c r="I48" s="485">
        <f>I47*1.15</f>
        <v>562062.5</v>
      </c>
      <c r="J48" s="469">
        <f>J47*1.05</f>
        <v>15.41295</v>
      </c>
      <c r="K48" s="485">
        <f t="shared" si="27"/>
        <v>1195440.8125</v>
      </c>
      <c r="L48" s="486">
        <f t="shared" si="28"/>
        <v>146654.21924999999</v>
      </c>
      <c r="M48" s="467">
        <f t="shared" si="29"/>
        <v>1904157.5317500001</v>
      </c>
      <c r="N48" s="485"/>
      <c r="O48" s="485"/>
      <c r="P48" s="504"/>
    </row>
    <row r="49" spans="1:16">
      <c r="A49" s="484">
        <v>2027</v>
      </c>
      <c r="B49" s="468">
        <f t="shared" si="30"/>
        <v>46357</v>
      </c>
      <c r="C49" s="468">
        <f>B49+30</f>
        <v>46387</v>
      </c>
      <c r="D49">
        <v>1</v>
      </c>
      <c r="E49" s="485">
        <f t="shared" si="21"/>
        <v>9515</v>
      </c>
      <c r="F49" s="485">
        <f t="shared" si="22"/>
        <v>883.96506874767749</v>
      </c>
      <c r="H49" s="486">
        <f t="shared" si="32"/>
        <v>125.63749999999999</v>
      </c>
      <c r="I49" s="485">
        <f>I48</f>
        <v>562062.5</v>
      </c>
      <c r="J49" s="469">
        <f t="shared" ref="J49:J53" si="33">J48</f>
        <v>15.41295</v>
      </c>
      <c r="K49" s="485">
        <f t="shared" si="27"/>
        <v>1195440.8125</v>
      </c>
      <c r="L49" s="486">
        <f t="shared" si="28"/>
        <v>146654.21924999999</v>
      </c>
      <c r="M49" s="467">
        <f t="shared" si="29"/>
        <v>1904157.5317500001</v>
      </c>
      <c r="N49" s="485"/>
      <c r="O49" s="485"/>
      <c r="P49" s="504"/>
    </row>
    <row r="50" spans="1:16">
      <c r="A50" s="484">
        <v>2027</v>
      </c>
      <c r="B50" s="468">
        <f t="shared" si="30"/>
        <v>46388</v>
      </c>
      <c r="C50" s="468">
        <f>B50+30</f>
        <v>46418</v>
      </c>
      <c r="D50">
        <v>1</v>
      </c>
      <c r="E50" s="485">
        <f t="shared" si="21"/>
        <v>9515</v>
      </c>
      <c r="F50" s="485">
        <f t="shared" si="22"/>
        <v>883.96506874767749</v>
      </c>
      <c r="H50" s="486">
        <f t="shared" si="32"/>
        <v>125.63749999999999</v>
      </c>
      <c r="I50" s="485">
        <f t="shared" ref="I50:I83" si="34">I49</f>
        <v>562062.5</v>
      </c>
      <c r="J50" s="469">
        <f t="shared" si="33"/>
        <v>15.41295</v>
      </c>
      <c r="K50" s="485">
        <f t="shared" si="27"/>
        <v>1195440.8125</v>
      </c>
      <c r="L50" s="486">
        <f t="shared" si="28"/>
        <v>146654.21924999999</v>
      </c>
      <c r="M50" s="467">
        <f t="shared" si="29"/>
        <v>1904157.5317500001</v>
      </c>
      <c r="N50" s="485"/>
      <c r="O50" s="485"/>
      <c r="P50" s="504"/>
    </row>
    <row r="51" spans="1:16">
      <c r="A51" s="484">
        <v>2027</v>
      </c>
      <c r="B51" s="468">
        <f t="shared" si="30"/>
        <v>46419</v>
      </c>
      <c r="C51" s="468">
        <f>B51+30-3</f>
        <v>46446</v>
      </c>
      <c r="D51">
        <v>1</v>
      </c>
      <c r="E51" s="485">
        <f t="shared" si="21"/>
        <v>9515</v>
      </c>
      <c r="F51" s="485">
        <f t="shared" si="22"/>
        <v>883.96506874767749</v>
      </c>
      <c r="H51" s="486">
        <f t="shared" si="32"/>
        <v>125.63749999999999</v>
      </c>
      <c r="I51" s="485">
        <f t="shared" si="34"/>
        <v>562062.5</v>
      </c>
      <c r="J51" s="469">
        <f t="shared" si="33"/>
        <v>15.41295</v>
      </c>
      <c r="K51" s="485">
        <f t="shared" si="27"/>
        <v>1195440.8125</v>
      </c>
      <c r="L51" s="486">
        <f t="shared" si="28"/>
        <v>146654.21924999999</v>
      </c>
      <c r="M51" s="467">
        <f t="shared" si="29"/>
        <v>1904157.5317500001</v>
      </c>
      <c r="N51" s="485"/>
      <c r="O51" s="485"/>
      <c r="P51" s="504"/>
    </row>
    <row r="52" spans="1:16">
      <c r="A52" s="484">
        <v>2027</v>
      </c>
      <c r="B52" s="468">
        <f t="shared" si="30"/>
        <v>46447</v>
      </c>
      <c r="C52" s="468">
        <f>B52+30</f>
        <v>46477</v>
      </c>
      <c r="D52">
        <v>1</v>
      </c>
      <c r="E52" s="485">
        <f t="shared" si="21"/>
        <v>9515</v>
      </c>
      <c r="F52" s="485">
        <f t="shared" si="22"/>
        <v>883.96506874767749</v>
      </c>
      <c r="H52" s="486">
        <f t="shared" si="32"/>
        <v>125.63749999999999</v>
      </c>
      <c r="I52" s="485">
        <f t="shared" si="34"/>
        <v>562062.5</v>
      </c>
      <c r="J52" s="469">
        <f t="shared" si="33"/>
        <v>15.41295</v>
      </c>
      <c r="K52" s="485">
        <f t="shared" si="27"/>
        <v>1195440.8125</v>
      </c>
      <c r="L52" s="486">
        <f t="shared" si="28"/>
        <v>146654.21924999999</v>
      </c>
      <c r="M52" s="467">
        <f t="shared" si="29"/>
        <v>1904157.5317500001</v>
      </c>
      <c r="N52" s="485"/>
      <c r="O52" s="485"/>
      <c r="P52" s="504"/>
    </row>
    <row r="53" spans="1:16">
      <c r="A53" s="484">
        <v>2027</v>
      </c>
      <c r="B53" s="468">
        <f t="shared" si="30"/>
        <v>46478</v>
      </c>
      <c r="C53" s="468">
        <f t="shared" si="31"/>
        <v>46507</v>
      </c>
      <c r="D53">
        <v>1</v>
      </c>
      <c r="E53" s="485">
        <f t="shared" si="21"/>
        <v>9515</v>
      </c>
      <c r="F53" s="485">
        <f t="shared" si="22"/>
        <v>883.96506874767749</v>
      </c>
      <c r="H53" s="486">
        <f t="shared" si="32"/>
        <v>125.63749999999999</v>
      </c>
      <c r="I53" s="485">
        <f t="shared" si="34"/>
        <v>562062.5</v>
      </c>
      <c r="J53" s="469">
        <f t="shared" si="33"/>
        <v>15.41295</v>
      </c>
      <c r="K53" s="485">
        <f t="shared" si="27"/>
        <v>1195440.8125</v>
      </c>
      <c r="L53" s="486">
        <f t="shared" si="28"/>
        <v>146654.21924999999</v>
      </c>
      <c r="M53" s="467">
        <f t="shared" si="29"/>
        <v>1904157.5317500001</v>
      </c>
      <c r="N53" s="485"/>
      <c r="O53" s="485"/>
      <c r="P53" s="504"/>
    </row>
    <row r="54" spans="1:16">
      <c r="A54" s="484">
        <v>2027</v>
      </c>
      <c r="B54" s="468">
        <f t="shared" si="30"/>
        <v>46508</v>
      </c>
      <c r="C54" s="468">
        <f>B54+30</f>
        <v>46538</v>
      </c>
      <c r="D54">
        <v>1</v>
      </c>
      <c r="E54" s="485">
        <f t="shared" si="21"/>
        <v>9515</v>
      </c>
      <c r="F54" s="485">
        <f t="shared" si="22"/>
        <v>883.96506874767749</v>
      </c>
      <c r="H54" s="486">
        <f t="shared" si="32"/>
        <v>125.63749999999999</v>
      </c>
      <c r="I54" s="485">
        <f t="shared" si="34"/>
        <v>562062.5</v>
      </c>
      <c r="J54" s="469">
        <f>J53</f>
        <v>15.41295</v>
      </c>
      <c r="K54" s="485">
        <f t="shared" si="27"/>
        <v>1195440.8125</v>
      </c>
      <c r="L54" s="486">
        <f t="shared" si="28"/>
        <v>146654.21924999999</v>
      </c>
      <c r="M54" s="467">
        <f t="shared" si="29"/>
        <v>1904157.5317500001</v>
      </c>
      <c r="N54" s="485"/>
      <c r="O54" s="485"/>
      <c r="P54" s="504"/>
    </row>
    <row r="55" spans="1:16">
      <c r="A55" s="484">
        <v>2027</v>
      </c>
      <c r="B55" s="468">
        <f t="shared" si="30"/>
        <v>46539</v>
      </c>
      <c r="C55" s="468">
        <f t="shared" si="31"/>
        <v>46568</v>
      </c>
      <c r="D55">
        <v>1</v>
      </c>
      <c r="E55" s="485">
        <f t="shared" si="21"/>
        <v>9515</v>
      </c>
      <c r="F55" s="485">
        <f t="shared" si="22"/>
        <v>883.96506874767749</v>
      </c>
      <c r="H55" s="486">
        <f t="shared" si="32"/>
        <v>125.63749999999999</v>
      </c>
      <c r="I55" s="485">
        <f t="shared" si="34"/>
        <v>562062.5</v>
      </c>
      <c r="J55" s="469">
        <f>J54</f>
        <v>15.41295</v>
      </c>
      <c r="K55" s="485">
        <f t="shared" si="27"/>
        <v>1195440.8125</v>
      </c>
      <c r="L55" s="486">
        <f t="shared" si="28"/>
        <v>146654.21924999999</v>
      </c>
      <c r="M55" s="467">
        <f t="shared" si="29"/>
        <v>1904157.5317500001</v>
      </c>
      <c r="N55" s="485"/>
      <c r="O55" s="485"/>
      <c r="P55" s="504"/>
    </row>
    <row r="56" spans="1:16">
      <c r="A56" s="484">
        <v>2027</v>
      </c>
      <c r="B56" s="468">
        <f t="shared" si="30"/>
        <v>46569</v>
      </c>
      <c r="C56" s="468">
        <f>B56+30</f>
        <v>46599</v>
      </c>
      <c r="D56">
        <v>1</v>
      </c>
      <c r="E56" s="485">
        <f t="shared" si="21"/>
        <v>9515</v>
      </c>
      <c r="F56" s="485">
        <f t="shared" si="22"/>
        <v>883.96506874767749</v>
      </c>
      <c r="H56" s="486">
        <f t="shared" si="32"/>
        <v>125.63749999999999</v>
      </c>
      <c r="I56" s="485">
        <f t="shared" si="34"/>
        <v>562062.5</v>
      </c>
      <c r="J56" s="469">
        <f t="shared" ref="J56:J65" si="35">J55</f>
        <v>15.41295</v>
      </c>
      <c r="K56" s="485">
        <f t="shared" si="27"/>
        <v>1195440.8125</v>
      </c>
      <c r="L56" s="486">
        <f t="shared" si="28"/>
        <v>146654.21924999999</v>
      </c>
      <c r="M56" s="467">
        <f t="shared" si="29"/>
        <v>1904157.5317500001</v>
      </c>
      <c r="N56" s="485"/>
      <c r="O56" s="485"/>
      <c r="P56" s="504"/>
    </row>
    <row r="57" spans="1:16">
      <c r="A57" s="484">
        <v>2027</v>
      </c>
      <c r="B57" s="468">
        <f t="shared" si="30"/>
        <v>46600</v>
      </c>
      <c r="C57" s="468">
        <f>B57+30</f>
        <v>46630</v>
      </c>
      <c r="D57">
        <v>1</v>
      </c>
      <c r="E57" s="485">
        <f t="shared" si="21"/>
        <v>9515</v>
      </c>
      <c r="F57" s="485">
        <f t="shared" si="22"/>
        <v>883.96506874767749</v>
      </c>
      <c r="H57" s="486">
        <f t="shared" si="32"/>
        <v>125.63749999999999</v>
      </c>
      <c r="I57" s="485">
        <f t="shared" si="34"/>
        <v>562062.5</v>
      </c>
      <c r="J57" s="469">
        <f t="shared" si="35"/>
        <v>15.41295</v>
      </c>
      <c r="K57" s="485">
        <f t="shared" si="27"/>
        <v>1195440.8125</v>
      </c>
      <c r="L57" s="486">
        <f t="shared" si="28"/>
        <v>146654.21924999999</v>
      </c>
      <c r="M57" s="467">
        <f t="shared" si="29"/>
        <v>1904157.5317500001</v>
      </c>
      <c r="N57" s="485"/>
      <c r="O57" s="485"/>
      <c r="P57" s="504"/>
    </row>
    <row r="58" spans="1:16" ht="13" thickBot="1">
      <c r="A58" s="487">
        <v>2028</v>
      </c>
      <c r="B58" s="488">
        <f t="shared" si="30"/>
        <v>46631</v>
      </c>
      <c r="C58" s="488">
        <f t="shared" si="31"/>
        <v>46660</v>
      </c>
      <c r="D58" s="489">
        <v>1</v>
      </c>
      <c r="E58" s="490">
        <f t="shared" si="21"/>
        <v>9515</v>
      </c>
      <c r="F58" s="490">
        <f t="shared" si="22"/>
        <v>883.96506874767749</v>
      </c>
      <c r="G58" s="489"/>
      <c r="H58" s="491">
        <f t="shared" si="32"/>
        <v>125.63749999999999</v>
      </c>
      <c r="I58" s="490">
        <f t="shared" si="34"/>
        <v>562062.5</v>
      </c>
      <c r="J58" s="492">
        <f t="shared" si="35"/>
        <v>15.41295</v>
      </c>
      <c r="K58" s="490">
        <f t="shared" si="27"/>
        <v>1195440.8125</v>
      </c>
      <c r="L58" s="491">
        <f t="shared" si="28"/>
        <v>146654.21924999999</v>
      </c>
      <c r="M58" s="493">
        <f t="shared" si="29"/>
        <v>1904157.5317500001</v>
      </c>
      <c r="N58" s="490">
        <f>SUM(I47:I58)</f>
        <v>6671437.5</v>
      </c>
      <c r="O58" s="490">
        <f>SUM(K47:K58)</f>
        <v>14189362.6875</v>
      </c>
      <c r="P58" s="490">
        <f>SUM(L47:L58)</f>
        <v>1752867.0967500003</v>
      </c>
    </row>
    <row r="59" spans="1:16">
      <c r="A59" s="476">
        <v>2028</v>
      </c>
      <c r="B59" s="477">
        <f t="shared" si="30"/>
        <v>46661</v>
      </c>
      <c r="C59" s="477">
        <f>B59+30</f>
        <v>46691</v>
      </c>
      <c r="D59" s="478">
        <v>1</v>
      </c>
      <c r="E59" s="479">
        <f t="shared" si="21"/>
        <v>9515</v>
      </c>
      <c r="F59" s="479">
        <f t="shared" si="22"/>
        <v>883.96506874767749</v>
      </c>
      <c r="G59" s="478"/>
      <c r="H59" s="481">
        <f t="shared" si="32"/>
        <v>125.63749999999999</v>
      </c>
      <c r="I59" s="479">
        <f t="shared" si="34"/>
        <v>562062.5</v>
      </c>
      <c r="J59" s="482">
        <f t="shared" si="35"/>
        <v>15.41295</v>
      </c>
      <c r="K59" s="479">
        <f t="shared" si="27"/>
        <v>1195440.8125</v>
      </c>
      <c r="L59" s="481">
        <f t="shared" si="28"/>
        <v>146654.21924999999</v>
      </c>
      <c r="M59" s="483">
        <f t="shared" si="29"/>
        <v>1904157.5317500001</v>
      </c>
      <c r="N59" s="479"/>
      <c r="O59" s="479"/>
      <c r="P59" s="505"/>
    </row>
    <row r="60" spans="1:16">
      <c r="A60" s="484">
        <v>2028</v>
      </c>
      <c r="B60" s="468">
        <f t="shared" si="30"/>
        <v>46692</v>
      </c>
      <c r="C60" s="468">
        <f t="shared" si="31"/>
        <v>46721</v>
      </c>
      <c r="D60">
        <v>1</v>
      </c>
      <c r="E60" s="485">
        <f t="shared" si="21"/>
        <v>9515</v>
      </c>
      <c r="F60" s="485">
        <f t="shared" si="22"/>
        <v>883.96506874767749</v>
      </c>
      <c r="H60" s="486">
        <f t="shared" si="32"/>
        <v>125.63749999999999</v>
      </c>
      <c r="I60" s="485">
        <f t="shared" si="34"/>
        <v>562062.5</v>
      </c>
      <c r="J60" s="469">
        <f>J59*1.05</f>
        <v>16.183597500000001</v>
      </c>
      <c r="K60" s="485">
        <f t="shared" si="27"/>
        <v>1195440.8125</v>
      </c>
      <c r="L60" s="486">
        <f t="shared" si="28"/>
        <v>153986.93021250001</v>
      </c>
      <c r="M60" s="467">
        <f t="shared" si="29"/>
        <v>1911490.2427125</v>
      </c>
      <c r="N60" s="485"/>
      <c r="O60" s="485"/>
      <c r="P60" s="504"/>
    </row>
    <row r="61" spans="1:16">
      <c r="A61" s="484">
        <v>2028</v>
      </c>
      <c r="B61" s="468">
        <f t="shared" si="30"/>
        <v>46722</v>
      </c>
      <c r="C61" s="468">
        <f>B61+30</f>
        <v>46752</v>
      </c>
      <c r="D61">
        <v>1</v>
      </c>
      <c r="E61" s="485">
        <f t="shared" si="21"/>
        <v>9515</v>
      </c>
      <c r="F61" s="485">
        <f t="shared" si="22"/>
        <v>883.96506874767749</v>
      </c>
      <c r="H61" s="486">
        <f t="shared" si="32"/>
        <v>125.63749999999999</v>
      </c>
      <c r="I61" s="485">
        <f t="shared" si="34"/>
        <v>562062.5</v>
      </c>
      <c r="J61" s="469">
        <f t="shared" si="35"/>
        <v>16.183597500000001</v>
      </c>
      <c r="K61" s="485">
        <f t="shared" si="27"/>
        <v>1195440.8125</v>
      </c>
      <c r="L61" s="486">
        <f t="shared" si="28"/>
        <v>153986.93021250001</v>
      </c>
      <c r="M61" s="467">
        <f t="shared" si="29"/>
        <v>1911490.2427125</v>
      </c>
      <c r="N61" s="485"/>
      <c r="O61" s="485"/>
      <c r="P61" s="504"/>
    </row>
    <row r="62" spans="1:16">
      <c r="A62" s="484">
        <v>2028</v>
      </c>
      <c r="B62" s="468">
        <f t="shared" si="30"/>
        <v>46753</v>
      </c>
      <c r="C62" s="468">
        <f>B62+30</f>
        <v>46783</v>
      </c>
      <c r="D62">
        <v>1</v>
      </c>
      <c r="E62" s="485">
        <f t="shared" si="21"/>
        <v>9515</v>
      </c>
      <c r="F62" s="485">
        <f t="shared" si="22"/>
        <v>883.96506874767749</v>
      </c>
      <c r="H62" s="486">
        <f t="shared" si="32"/>
        <v>125.63749999999999</v>
      </c>
      <c r="I62" s="485">
        <f t="shared" si="34"/>
        <v>562062.5</v>
      </c>
      <c r="J62" s="469">
        <f t="shared" si="35"/>
        <v>16.183597500000001</v>
      </c>
      <c r="K62" s="485">
        <f t="shared" si="27"/>
        <v>1195440.8125</v>
      </c>
      <c r="L62" s="486">
        <f t="shared" si="28"/>
        <v>153986.93021250001</v>
      </c>
      <c r="M62" s="467">
        <f t="shared" si="29"/>
        <v>1911490.2427125</v>
      </c>
      <c r="N62" s="485"/>
      <c r="O62" s="485"/>
      <c r="P62" s="504"/>
    </row>
    <row r="63" spans="1:16">
      <c r="A63" s="484">
        <v>2028</v>
      </c>
      <c r="B63" s="468">
        <f t="shared" si="30"/>
        <v>46784</v>
      </c>
      <c r="C63" s="468">
        <f>B63+30-2</f>
        <v>46812</v>
      </c>
      <c r="D63">
        <v>1</v>
      </c>
      <c r="E63" s="485">
        <f t="shared" si="21"/>
        <v>9515</v>
      </c>
      <c r="F63" s="485">
        <f t="shared" si="22"/>
        <v>883.96506874767749</v>
      </c>
      <c r="H63" s="486">
        <f t="shared" si="32"/>
        <v>125.63749999999999</v>
      </c>
      <c r="I63" s="485">
        <f t="shared" si="34"/>
        <v>562062.5</v>
      </c>
      <c r="J63" s="469">
        <f t="shared" si="35"/>
        <v>16.183597500000001</v>
      </c>
      <c r="K63" s="485">
        <f t="shared" si="27"/>
        <v>1195440.8125</v>
      </c>
      <c r="L63" s="486">
        <f t="shared" si="28"/>
        <v>153986.93021250001</v>
      </c>
      <c r="M63" s="467">
        <f t="shared" si="29"/>
        <v>1911490.2427125</v>
      </c>
      <c r="N63" s="485"/>
      <c r="O63" s="485"/>
      <c r="P63" s="504"/>
    </row>
    <row r="64" spans="1:16">
      <c r="A64" s="484">
        <v>2028</v>
      </c>
      <c r="B64" s="468">
        <f t="shared" si="30"/>
        <v>46813</v>
      </c>
      <c r="C64" s="468">
        <f>B64+30</f>
        <v>46843</v>
      </c>
      <c r="D64">
        <v>1</v>
      </c>
      <c r="E64" s="485">
        <f t="shared" si="21"/>
        <v>9515</v>
      </c>
      <c r="F64" s="485">
        <f t="shared" si="22"/>
        <v>883.96506874767749</v>
      </c>
      <c r="H64" s="486">
        <f t="shared" si="32"/>
        <v>125.63749999999999</v>
      </c>
      <c r="I64" s="485">
        <f t="shared" si="34"/>
        <v>562062.5</v>
      </c>
      <c r="J64" s="469">
        <f t="shared" si="35"/>
        <v>16.183597500000001</v>
      </c>
      <c r="K64" s="485">
        <f t="shared" si="27"/>
        <v>1195440.8125</v>
      </c>
      <c r="L64" s="486">
        <f t="shared" si="28"/>
        <v>153986.93021250001</v>
      </c>
      <c r="M64" s="467">
        <f t="shared" si="29"/>
        <v>1911490.2427125</v>
      </c>
      <c r="N64" s="485"/>
      <c r="O64" s="485"/>
      <c r="P64" s="504"/>
    </row>
    <row r="65" spans="1:16">
      <c r="A65" s="484">
        <v>2028</v>
      </c>
      <c r="B65" s="468">
        <f t="shared" si="30"/>
        <v>46844</v>
      </c>
      <c r="C65" s="468">
        <f t="shared" si="31"/>
        <v>46873</v>
      </c>
      <c r="D65">
        <v>1</v>
      </c>
      <c r="E65" s="485">
        <f t="shared" si="21"/>
        <v>9515</v>
      </c>
      <c r="F65" s="485">
        <f t="shared" si="22"/>
        <v>883.96506874767749</v>
      </c>
      <c r="H65" s="486">
        <f t="shared" si="32"/>
        <v>125.63749999999999</v>
      </c>
      <c r="I65" s="485">
        <f t="shared" si="34"/>
        <v>562062.5</v>
      </c>
      <c r="J65" s="469">
        <f t="shared" si="35"/>
        <v>16.183597500000001</v>
      </c>
      <c r="K65" s="485">
        <f t="shared" si="27"/>
        <v>1195440.8125</v>
      </c>
      <c r="L65" s="486">
        <f t="shared" si="28"/>
        <v>153986.93021250001</v>
      </c>
      <c r="M65" s="467">
        <f t="shared" si="29"/>
        <v>1911490.2427125</v>
      </c>
      <c r="N65" s="485"/>
      <c r="O65" s="485"/>
      <c r="P65" s="504"/>
    </row>
    <row r="66" spans="1:16">
      <c r="A66" s="484">
        <v>2028</v>
      </c>
      <c r="B66" s="468">
        <f t="shared" si="30"/>
        <v>46874</v>
      </c>
      <c r="C66" s="468">
        <f>B66+30</f>
        <v>46904</v>
      </c>
      <c r="D66">
        <v>1</v>
      </c>
      <c r="E66" s="485">
        <f t="shared" si="21"/>
        <v>9515</v>
      </c>
      <c r="F66" s="485">
        <f t="shared" si="22"/>
        <v>883.96506874767749</v>
      </c>
      <c r="H66" s="486">
        <f t="shared" si="32"/>
        <v>125.63749999999999</v>
      </c>
      <c r="I66" s="485">
        <f t="shared" si="34"/>
        <v>562062.5</v>
      </c>
      <c r="J66" s="469">
        <f>J65</f>
        <v>16.183597500000001</v>
      </c>
      <c r="K66" s="485">
        <f t="shared" si="27"/>
        <v>1195440.8125</v>
      </c>
      <c r="L66" s="486">
        <f t="shared" si="28"/>
        <v>153986.93021250001</v>
      </c>
      <c r="M66" s="467">
        <f t="shared" si="29"/>
        <v>1911490.2427125</v>
      </c>
      <c r="N66" s="485"/>
      <c r="O66" s="485"/>
      <c r="P66" s="504"/>
    </row>
    <row r="67" spans="1:16">
      <c r="A67" s="484">
        <v>2028</v>
      </c>
      <c r="B67" s="468">
        <f t="shared" si="30"/>
        <v>46905</v>
      </c>
      <c r="C67" s="468">
        <f t="shared" si="31"/>
        <v>46934</v>
      </c>
      <c r="D67">
        <v>1</v>
      </c>
      <c r="E67" s="485">
        <f t="shared" si="21"/>
        <v>9515</v>
      </c>
      <c r="F67" s="485">
        <f t="shared" si="22"/>
        <v>883.96506874767749</v>
      </c>
      <c r="H67" s="486">
        <f t="shared" si="32"/>
        <v>125.63749999999999</v>
      </c>
      <c r="I67" s="485">
        <f t="shared" si="34"/>
        <v>562062.5</v>
      </c>
      <c r="J67" s="469">
        <f>J66</f>
        <v>16.183597500000001</v>
      </c>
      <c r="K67" s="485">
        <f t="shared" si="27"/>
        <v>1195440.8125</v>
      </c>
      <c r="L67" s="486">
        <f t="shared" si="28"/>
        <v>153986.93021250001</v>
      </c>
      <c r="M67" s="467">
        <f t="shared" si="29"/>
        <v>1911490.2427125</v>
      </c>
      <c r="N67" s="485"/>
      <c r="O67" s="485"/>
      <c r="P67" s="504"/>
    </row>
    <row r="68" spans="1:16">
      <c r="A68" s="484">
        <v>2028</v>
      </c>
      <c r="B68" s="468">
        <f t="shared" si="30"/>
        <v>46935</v>
      </c>
      <c r="C68" s="468">
        <f>B68+30</f>
        <v>46965</v>
      </c>
      <c r="D68">
        <v>1</v>
      </c>
      <c r="E68" s="485">
        <f t="shared" si="21"/>
        <v>9515</v>
      </c>
      <c r="F68" s="485">
        <f t="shared" si="22"/>
        <v>883.96506874767749</v>
      </c>
      <c r="H68" s="486">
        <f t="shared" si="32"/>
        <v>125.63749999999999</v>
      </c>
      <c r="I68" s="485">
        <f t="shared" si="34"/>
        <v>562062.5</v>
      </c>
      <c r="J68" s="469">
        <f t="shared" ref="J68:J83" si="36">J67</f>
        <v>16.183597500000001</v>
      </c>
      <c r="K68" s="485">
        <f t="shared" si="27"/>
        <v>1195440.8125</v>
      </c>
      <c r="L68" s="486">
        <f t="shared" si="28"/>
        <v>153986.93021250001</v>
      </c>
      <c r="M68" s="467">
        <f t="shared" si="29"/>
        <v>1911490.2427125</v>
      </c>
      <c r="N68" s="485"/>
      <c r="O68" s="485"/>
      <c r="P68" s="504"/>
    </row>
    <row r="69" spans="1:16">
      <c r="A69" s="484">
        <v>2028</v>
      </c>
      <c r="B69" s="468">
        <f t="shared" si="30"/>
        <v>46966</v>
      </c>
      <c r="C69" s="468">
        <f>B69+30</f>
        <v>46996</v>
      </c>
      <c r="D69">
        <v>1</v>
      </c>
      <c r="E69" s="485">
        <f t="shared" si="21"/>
        <v>9515</v>
      </c>
      <c r="F69" s="485">
        <f t="shared" si="22"/>
        <v>883.96506874767749</v>
      </c>
      <c r="H69" s="486">
        <f t="shared" si="32"/>
        <v>125.63749999999999</v>
      </c>
      <c r="I69" s="485">
        <f t="shared" si="34"/>
        <v>562062.5</v>
      </c>
      <c r="J69" s="469">
        <f t="shared" si="36"/>
        <v>16.183597500000001</v>
      </c>
      <c r="K69" s="485">
        <f t="shared" si="27"/>
        <v>1195440.8125</v>
      </c>
      <c r="L69" s="486">
        <f t="shared" si="28"/>
        <v>153986.93021250001</v>
      </c>
      <c r="M69" s="467">
        <f t="shared" si="29"/>
        <v>1911490.2427125</v>
      </c>
      <c r="N69" s="485"/>
      <c r="O69" s="485"/>
      <c r="P69" s="504"/>
    </row>
    <row r="70" spans="1:16" ht="13" thickBot="1">
      <c r="A70" s="487">
        <v>2029</v>
      </c>
      <c r="B70" s="488">
        <f t="shared" si="30"/>
        <v>46997</v>
      </c>
      <c r="C70" s="488">
        <f t="shared" si="31"/>
        <v>47026</v>
      </c>
      <c r="D70" s="489">
        <v>1</v>
      </c>
      <c r="E70" s="490">
        <f t="shared" si="21"/>
        <v>9515</v>
      </c>
      <c r="F70" s="490">
        <f t="shared" si="22"/>
        <v>883.96506874767749</v>
      </c>
      <c r="G70" s="489"/>
      <c r="H70" s="491">
        <f t="shared" si="32"/>
        <v>125.63749999999999</v>
      </c>
      <c r="I70" s="490">
        <f t="shared" si="34"/>
        <v>562062.5</v>
      </c>
      <c r="J70" s="492">
        <f t="shared" si="36"/>
        <v>16.183597500000001</v>
      </c>
      <c r="K70" s="490">
        <f t="shared" si="27"/>
        <v>1195440.8125</v>
      </c>
      <c r="L70" s="491">
        <f t="shared" si="28"/>
        <v>153986.93021250001</v>
      </c>
      <c r="M70" s="493">
        <f t="shared" si="29"/>
        <v>1911490.2427125</v>
      </c>
      <c r="N70" s="490">
        <f>SUM(I59:I70)</f>
        <v>6744750</v>
      </c>
      <c r="O70" s="490">
        <f>SUM(K59:K70)</f>
        <v>14345289.75</v>
      </c>
      <c r="P70" s="490">
        <f>SUM(L59:L70)</f>
        <v>1840510.4515875003</v>
      </c>
    </row>
    <row r="71" spans="1:16">
      <c r="A71" s="476">
        <v>2029</v>
      </c>
      <c r="B71" s="477">
        <f t="shared" si="30"/>
        <v>47027</v>
      </c>
      <c r="C71" s="477">
        <f>B71+30</f>
        <v>47057</v>
      </c>
      <c r="D71" s="478">
        <v>1</v>
      </c>
      <c r="E71" s="479">
        <f t="shared" si="21"/>
        <v>9515</v>
      </c>
      <c r="F71" s="479">
        <f t="shared" si="22"/>
        <v>883.96506874767749</v>
      </c>
      <c r="G71" s="478"/>
      <c r="H71" s="481">
        <f t="shared" si="32"/>
        <v>125.63749999999999</v>
      </c>
      <c r="I71" s="479">
        <f t="shared" si="34"/>
        <v>562062.5</v>
      </c>
      <c r="J71" s="482">
        <f t="shared" si="36"/>
        <v>16.183597500000001</v>
      </c>
      <c r="K71" s="479">
        <f t="shared" si="27"/>
        <v>1195440.8125</v>
      </c>
      <c r="L71" s="481">
        <f t="shared" si="28"/>
        <v>153986.93021250001</v>
      </c>
      <c r="M71" s="483">
        <f t="shared" si="29"/>
        <v>1911490.2427125</v>
      </c>
      <c r="N71" s="479"/>
      <c r="O71" s="479"/>
      <c r="P71" s="505"/>
    </row>
    <row r="72" spans="1:16">
      <c r="A72" s="484">
        <v>2029</v>
      </c>
      <c r="B72" s="468">
        <f t="shared" si="30"/>
        <v>47058</v>
      </c>
      <c r="C72" s="468">
        <f>B72+30-1</f>
        <v>47087</v>
      </c>
      <c r="D72">
        <v>1</v>
      </c>
      <c r="E72" s="485">
        <f t="shared" si="21"/>
        <v>9515</v>
      </c>
      <c r="F72" s="485">
        <f t="shared" si="22"/>
        <v>883.96506874767749</v>
      </c>
      <c r="H72" s="486">
        <f t="shared" si="32"/>
        <v>125.63749999999999</v>
      </c>
      <c r="I72" s="485">
        <f t="shared" si="34"/>
        <v>562062.5</v>
      </c>
      <c r="J72" s="469">
        <f>J71*1.05</f>
        <v>16.992777375000003</v>
      </c>
      <c r="K72" s="485">
        <f t="shared" si="27"/>
        <v>1195440.8125</v>
      </c>
      <c r="L72" s="486">
        <f t="shared" si="28"/>
        <v>161686.27672312502</v>
      </c>
      <c r="M72" s="467">
        <f t="shared" si="29"/>
        <v>1919189.589223125</v>
      </c>
      <c r="N72" s="485"/>
      <c r="O72" s="485"/>
      <c r="P72" s="504"/>
    </row>
    <row r="73" spans="1:16">
      <c r="A73" s="484">
        <v>2029</v>
      </c>
      <c r="B73" s="468">
        <f t="shared" si="30"/>
        <v>47088</v>
      </c>
      <c r="C73" s="468">
        <f t="shared" ref="C73:C76" si="37">B73+30</f>
        <v>47118</v>
      </c>
      <c r="D73">
        <v>1</v>
      </c>
      <c r="E73" s="485">
        <f t="shared" si="21"/>
        <v>9515</v>
      </c>
      <c r="F73" s="485">
        <f t="shared" si="22"/>
        <v>883.96506874767749</v>
      </c>
      <c r="H73" s="486">
        <f t="shared" si="32"/>
        <v>125.63749999999999</v>
      </c>
      <c r="I73" s="485">
        <f t="shared" si="34"/>
        <v>562062.5</v>
      </c>
      <c r="J73" s="469">
        <f t="shared" si="36"/>
        <v>16.992777375000003</v>
      </c>
      <c r="K73" s="485">
        <f t="shared" si="27"/>
        <v>1195440.8125</v>
      </c>
      <c r="L73" s="486">
        <f t="shared" si="28"/>
        <v>161686.27672312502</v>
      </c>
      <c r="M73" s="467">
        <f t="shared" si="29"/>
        <v>1919189.589223125</v>
      </c>
      <c r="N73" s="485"/>
      <c r="O73" s="485"/>
      <c r="P73" s="504"/>
    </row>
    <row r="74" spans="1:16">
      <c r="A74" s="484">
        <v>2029</v>
      </c>
      <c r="B74" s="468">
        <f t="shared" si="30"/>
        <v>47119</v>
      </c>
      <c r="C74" s="468">
        <f t="shared" si="37"/>
        <v>47149</v>
      </c>
      <c r="D74">
        <v>1</v>
      </c>
      <c r="E74" s="485">
        <f t="shared" si="21"/>
        <v>9515</v>
      </c>
      <c r="F74" s="485">
        <f t="shared" si="22"/>
        <v>883.96506874767749</v>
      </c>
      <c r="H74" s="486">
        <f t="shared" si="32"/>
        <v>125.63749999999999</v>
      </c>
      <c r="I74" s="485">
        <f t="shared" si="34"/>
        <v>562062.5</v>
      </c>
      <c r="J74" s="469">
        <f t="shared" si="36"/>
        <v>16.992777375000003</v>
      </c>
      <c r="K74" s="485">
        <f t="shared" si="27"/>
        <v>1195440.8125</v>
      </c>
      <c r="L74" s="486">
        <f t="shared" si="28"/>
        <v>161686.27672312502</v>
      </c>
      <c r="M74" s="467">
        <f t="shared" si="29"/>
        <v>1919189.589223125</v>
      </c>
      <c r="N74" s="485"/>
      <c r="O74" s="485"/>
      <c r="P74" s="504"/>
    </row>
    <row r="75" spans="1:16">
      <c r="A75" s="484">
        <v>2029</v>
      </c>
      <c r="B75" s="468">
        <f t="shared" si="30"/>
        <v>47150</v>
      </c>
      <c r="C75" s="468">
        <f>B75+30-3</f>
        <v>47177</v>
      </c>
      <c r="D75">
        <v>1</v>
      </c>
      <c r="E75" s="485">
        <f t="shared" si="21"/>
        <v>9515</v>
      </c>
      <c r="F75" s="485">
        <f t="shared" si="22"/>
        <v>883.96506874767749</v>
      </c>
      <c r="H75" s="486">
        <f t="shared" si="32"/>
        <v>125.63749999999999</v>
      </c>
      <c r="I75" s="485">
        <f t="shared" si="34"/>
        <v>562062.5</v>
      </c>
      <c r="J75" s="469">
        <f t="shared" si="36"/>
        <v>16.992777375000003</v>
      </c>
      <c r="K75" s="485">
        <f t="shared" si="27"/>
        <v>1195440.8125</v>
      </c>
      <c r="L75" s="486">
        <f t="shared" si="28"/>
        <v>161686.27672312502</v>
      </c>
      <c r="M75" s="467">
        <f t="shared" si="29"/>
        <v>1919189.589223125</v>
      </c>
      <c r="N75" s="485"/>
      <c r="O75" s="485"/>
      <c r="P75" s="504"/>
    </row>
    <row r="76" spans="1:16">
      <c r="A76" s="484">
        <v>2029</v>
      </c>
      <c r="B76" s="468">
        <f t="shared" si="30"/>
        <v>47178</v>
      </c>
      <c r="C76" s="468">
        <f t="shared" si="37"/>
        <v>47208</v>
      </c>
      <c r="D76">
        <v>1</v>
      </c>
      <c r="E76" s="485">
        <f t="shared" si="21"/>
        <v>9515</v>
      </c>
      <c r="F76" s="485">
        <f t="shared" si="22"/>
        <v>883.96506874767749</v>
      </c>
      <c r="H76" s="486">
        <f t="shared" si="32"/>
        <v>125.63749999999999</v>
      </c>
      <c r="I76" s="485">
        <f t="shared" si="34"/>
        <v>562062.5</v>
      </c>
      <c r="J76" s="469">
        <f t="shared" si="36"/>
        <v>16.992777375000003</v>
      </c>
      <c r="K76" s="485">
        <f t="shared" si="27"/>
        <v>1195440.8125</v>
      </c>
      <c r="L76" s="486">
        <f t="shared" si="28"/>
        <v>161686.27672312502</v>
      </c>
      <c r="M76" s="467">
        <f t="shared" si="29"/>
        <v>1919189.589223125</v>
      </c>
      <c r="N76" s="485"/>
      <c r="O76" s="485"/>
      <c r="P76" s="504"/>
    </row>
    <row r="77" spans="1:16">
      <c r="A77" s="484">
        <v>2029</v>
      </c>
      <c r="B77" s="468">
        <f t="shared" si="30"/>
        <v>47209</v>
      </c>
      <c r="C77" s="468">
        <f>B77+30-1</f>
        <v>47238</v>
      </c>
      <c r="D77">
        <v>1</v>
      </c>
      <c r="E77" s="485">
        <f t="shared" si="21"/>
        <v>9515</v>
      </c>
      <c r="F77" s="485">
        <f t="shared" si="22"/>
        <v>883.96506874767749</v>
      </c>
      <c r="H77" s="486">
        <f t="shared" si="32"/>
        <v>125.63749999999999</v>
      </c>
      <c r="I77" s="485">
        <f t="shared" si="34"/>
        <v>562062.5</v>
      </c>
      <c r="J77" s="469">
        <f t="shared" si="36"/>
        <v>16.992777375000003</v>
      </c>
      <c r="K77" s="485">
        <f t="shared" si="27"/>
        <v>1195440.8125</v>
      </c>
      <c r="L77" s="486">
        <f t="shared" si="28"/>
        <v>161686.27672312502</v>
      </c>
      <c r="M77" s="467">
        <f t="shared" si="29"/>
        <v>1919189.589223125</v>
      </c>
      <c r="N77" s="485"/>
      <c r="O77" s="485"/>
      <c r="P77" s="504"/>
    </row>
    <row r="78" spans="1:16">
      <c r="A78" s="484">
        <v>2029</v>
      </c>
      <c r="B78" s="468">
        <f t="shared" si="30"/>
        <v>47239</v>
      </c>
      <c r="C78" s="468">
        <f t="shared" ref="C78:C82" si="38">B78+30-1</f>
        <v>47268</v>
      </c>
      <c r="D78">
        <v>1</v>
      </c>
      <c r="E78" s="485">
        <f t="shared" si="21"/>
        <v>9515</v>
      </c>
      <c r="F78" s="485">
        <f t="shared" si="22"/>
        <v>883.96506874767749</v>
      </c>
      <c r="H78" s="486">
        <f t="shared" si="32"/>
        <v>125.63749999999999</v>
      </c>
      <c r="I78" s="485">
        <f t="shared" si="34"/>
        <v>562062.5</v>
      </c>
      <c r="J78" s="469">
        <f t="shared" si="36"/>
        <v>16.992777375000003</v>
      </c>
      <c r="K78" s="485">
        <f t="shared" si="27"/>
        <v>1195440.8125</v>
      </c>
      <c r="L78" s="486">
        <f t="shared" si="28"/>
        <v>161686.27672312502</v>
      </c>
      <c r="M78" s="467">
        <f t="shared" si="29"/>
        <v>1919189.589223125</v>
      </c>
      <c r="N78" s="485"/>
      <c r="O78" s="485"/>
      <c r="P78" s="504"/>
    </row>
    <row r="79" spans="1:16">
      <c r="A79" s="484">
        <v>2029</v>
      </c>
      <c r="B79" s="468">
        <f t="shared" si="30"/>
        <v>47269</v>
      </c>
      <c r="C79" s="468">
        <f>B79+30</f>
        <v>47299</v>
      </c>
      <c r="D79">
        <v>1</v>
      </c>
      <c r="E79" s="485">
        <f t="shared" si="21"/>
        <v>9515</v>
      </c>
      <c r="F79" s="485">
        <f t="shared" si="22"/>
        <v>883.96506874767749</v>
      </c>
      <c r="H79" s="486">
        <f t="shared" si="32"/>
        <v>125.63749999999999</v>
      </c>
      <c r="I79" s="485">
        <f t="shared" si="34"/>
        <v>562062.5</v>
      </c>
      <c r="J79" s="469">
        <f t="shared" si="36"/>
        <v>16.992777375000003</v>
      </c>
      <c r="K79" s="485">
        <f t="shared" si="27"/>
        <v>1195440.8125</v>
      </c>
      <c r="L79" s="486">
        <f t="shared" si="28"/>
        <v>161686.27672312502</v>
      </c>
      <c r="M79" s="467">
        <f t="shared" si="29"/>
        <v>1919189.589223125</v>
      </c>
      <c r="N79" s="485"/>
      <c r="O79" s="485"/>
      <c r="P79" s="504"/>
    </row>
    <row r="80" spans="1:16">
      <c r="A80" s="484">
        <v>2029</v>
      </c>
      <c r="B80" s="468">
        <f t="shared" si="30"/>
        <v>47300</v>
      </c>
      <c r="C80" s="468">
        <f>B80+30</f>
        <v>47330</v>
      </c>
      <c r="D80">
        <v>1</v>
      </c>
      <c r="E80" s="485">
        <f t="shared" si="21"/>
        <v>9515</v>
      </c>
      <c r="F80" s="485">
        <f t="shared" si="22"/>
        <v>883.96506874767749</v>
      </c>
      <c r="H80" s="486">
        <f t="shared" si="32"/>
        <v>125.63749999999999</v>
      </c>
      <c r="I80" s="485">
        <f t="shared" si="34"/>
        <v>562062.5</v>
      </c>
      <c r="J80" s="469">
        <f t="shared" si="36"/>
        <v>16.992777375000003</v>
      </c>
      <c r="K80" s="485">
        <f t="shared" si="27"/>
        <v>1195440.8125</v>
      </c>
      <c r="L80" s="486">
        <f t="shared" si="28"/>
        <v>161686.27672312502</v>
      </c>
      <c r="M80" s="467">
        <f t="shared" si="29"/>
        <v>1919189.589223125</v>
      </c>
      <c r="N80" s="485"/>
      <c r="O80" s="485"/>
      <c r="P80" s="504"/>
    </row>
    <row r="81" spans="1:16">
      <c r="A81" s="484">
        <v>2029</v>
      </c>
      <c r="B81" s="468">
        <f t="shared" si="30"/>
        <v>47331</v>
      </c>
      <c r="C81" s="468">
        <f>B81+30</f>
        <v>47361</v>
      </c>
      <c r="D81">
        <v>1</v>
      </c>
      <c r="E81" s="485">
        <f t="shared" si="21"/>
        <v>9515</v>
      </c>
      <c r="F81" s="485">
        <f t="shared" si="22"/>
        <v>883.96506874767749</v>
      </c>
      <c r="H81" s="486">
        <f t="shared" si="32"/>
        <v>125.63749999999999</v>
      </c>
      <c r="I81" s="485">
        <f t="shared" si="34"/>
        <v>562062.5</v>
      </c>
      <c r="J81" s="469">
        <f t="shared" si="36"/>
        <v>16.992777375000003</v>
      </c>
      <c r="K81" s="485">
        <f t="shared" si="27"/>
        <v>1195440.8125</v>
      </c>
      <c r="L81" s="486">
        <f t="shared" si="28"/>
        <v>161686.27672312502</v>
      </c>
      <c r="M81" s="467">
        <f t="shared" si="29"/>
        <v>1919189.589223125</v>
      </c>
      <c r="N81" s="485"/>
      <c r="O81" s="485"/>
      <c r="P81" s="504"/>
    </row>
    <row r="82" spans="1:16" ht="13" thickBot="1">
      <c r="A82" s="487">
        <v>2029</v>
      </c>
      <c r="B82" s="488">
        <f t="shared" si="30"/>
        <v>47362</v>
      </c>
      <c r="C82" s="488">
        <f t="shared" si="38"/>
        <v>47391</v>
      </c>
      <c r="D82" s="489">
        <v>1</v>
      </c>
      <c r="E82" s="490">
        <f t="shared" si="21"/>
        <v>9515</v>
      </c>
      <c r="F82" s="490">
        <f t="shared" si="22"/>
        <v>883.96506874767749</v>
      </c>
      <c r="G82" s="489"/>
      <c r="H82" s="491">
        <f t="shared" si="32"/>
        <v>125.63749999999999</v>
      </c>
      <c r="I82" s="490">
        <f t="shared" si="34"/>
        <v>562062.5</v>
      </c>
      <c r="J82" s="492">
        <f t="shared" si="36"/>
        <v>16.992777375000003</v>
      </c>
      <c r="K82" s="490">
        <f t="shared" si="27"/>
        <v>1195440.8125</v>
      </c>
      <c r="L82" s="491">
        <f t="shared" si="28"/>
        <v>161686.27672312502</v>
      </c>
      <c r="M82" s="493">
        <f t="shared" si="29"/>
        <v>1919189.589223125</v>
      </c>
      <c r="N82" s="490">
        <f>SUM(I71:I82)</f>
        <v>6744750</v>
      </c>
      <c r="O82" s="490">
        <f>SUM(K71:K82)</f>
        <v>14345289.75</v>
      </c>
      <c r="P82" s="508">
        <f>SUM(L71:L82)</f>
        <v>1932535.9741668752</v>
      </c>
    </row>
    <row r="83" spans="1:16" ht="13" thickBot="1">
      <c r="A83" s="510">
        <v>2029</v>
      </c>
      <c r="B83" s="511">
        <f t="shared" si="30"/>
        <v>47392</v>
      </c>
      <c r="C83" s="511">
        <f>B83+30</f>
        <v>47422</v>
      </c>
      <c r="D83" s="512">
        <v>1</v>
      </c>
      <c r="E83" s="513">
        <f t="shared" si="21"/>
        <v>9515</v>
      </c>
      <c r="F83" s="513">
        <f t="shared" si="22"/>
        <v>883.96506874767749</v>
      </c>
      <c r="G83" s="512"/>
      <c r="H83" s="514">
        <f t="shared" si="32"/>
        <v>125.63749999999999</v>
      </c>
      <c r="I83" s="513">
        <f t="shared" si="34"/>
        <v>562062.5</v>
      </c>
      <c r="J83" s="515">
        <f t="shared" si="36"/>
        <v>16.992777375000003</v>
      </c>
      <c r="K83" s="513">
        <f t="shared" si="27"/>
        <v>1195440.8125</v>
      </c>
      <c r="L83" s="514">
        <f t="shared" si="28"/>
        <v>161686.27672312502</v>
      </c>
      <c r="M83" s="516">
        <f t="shared" si="29"/>
        <v>1919189.589223125</v>
      </c>
      <c r="N83" s="513">
        <f>I83</f>
        <v>562062.5</v>
      </c>
      <c r="O83" s="513">
        <f>K83</f>
        <v>1195440.8125</v>
      </c>
      <c r="P83" s="517">
        <f>L83</f>
        <v>161686.27672312502</v>
      </c>
    </row>
    <row r="84" spans="1:16">
      <c r="B84" s="468"/>
      <c r="C84" s="468"/>
      <c r="E84" s="451"/>
      <c r="F84" s="451"/>
      <c r="H84" s="186"/>
      <c r="I84" s="451">
        <f>SUM(I30:I83)</f>
        <v>27076750</v>
      </c>
      <c r="J84" s="469"/>
      <c r="K84" s="451">
        <f>SUM(K30:K83)</f>
        <v>57589061.75</v>
      </c>
      <c r="L84" s="451">
        <f>SUM(L30:L83)</f>
        <v>7490016.7342274981</v>
      </c>
      <c r="M84" s="451">
        <f>SUM(M30:M83)</f>
        <v>92155828.484227568</v>
      </c>
      <c r="N84" s="451">
        <f t="shared" ref="N84:P84" si="39">SUM(N36:N83)</f>
        <v>26099250</v>
      </c>
      <c r="O84" s="451">
        <f t="shared" si="39"/>
        <v>55510034.25</v>
      </c>
      <c r="P84" s="451">
        <f t="shared" si="39"/>
        <v>7223977.3342275014</v>
      </c>
    </row>
    <row r="85" spans="1:16">
      <c r="B85" s="468"/>
      <c r="C85" s="468"/>
      <c r="E85" s="451"/>
      <c r="F85" s="451"/>
      <c r="H85" s="186"/>
      <c r="I85" s="451"/>
      <c r="J85" s="469"/>
      <c r="K85" s="451"/>
      <c r="L85" s="186"/>
      <c r="M85" s="467">
        <f>M84/91.5</f>
        <v>1007167.5244177877</v>
      </c>
    </row>
    <row r="86" spans="1:16">
      <c r="B86" s="468"/>
      <c r="C86" s="468"/>
      <c r="E86" s="451"/>
      <c r="F86" s="451"/>
      <c r="H86" s="186"/>
      <c r="I86" s="451"/>
      <c r="J86" s="469"/>
      <c r="K86" s="451"/>
      <c r="L86" s="186"/>
      <c r="M86" s="467"/>
    </row>
    <row r="87" spans="1:16">
      <c r="B87" s="468"/>
      <c r="C87" s="468"/>
      <c r="E87" s="451"/>
      <c r="F87" s="451"/>
      <c r="H87" s="186"/>
      <c r="I87" s="451"/>
      <c r="J87" s="469"/>
      <c r="K87" s="451"/>
      <c r="L87" s="186"/>
      <c r="M87" s="467"/>
    </row>
    <row r="88" spans="1:16">
      <c r="B88" s="468"/>
      <c r="C88" s="468"/>
      <c r="E88" s="451"/>
      <c r="F88" s="451"/>
      <c r="H88" s="186"/>
      <c r="I88" s="451"/>
      <c r="J88" s="469"/>
      <c r="K88" s="451"/>
      <c r="L88" s="186"/>
      <c r="M88" s="467"/>
    </row>
    <row r="89" spans="1:16">
      <c r="B89" s="468"/>
      <c r="C89" s="468"/>
      <c r="E89" s="451"/>
      <c r="F89" s="451"/>
      <c r="H89" s="186"/>
      <c r="I89" s="451"/>
      <c r="J89" s="469"/>
      <c r="K89" s="451"/>
      <c r="L89" s="186"/>
      <c r="M89" s="467"/>
    </row>
    <row r="90" spans="1:16">
      <c r="B90" s="468"/>
      <c r="C90" s="468"/>
      <c r="E90" s="451"/>
      <c r="F90" s="451"/>
      <c r="H90" s="186"/>
      <c r="I90" s="466"/>
      <c r="K90" s="466"/>
      <c r="L90" s="466"/>
      <c r="M90" s="466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08"/>
  <sheetViews>
    <sheetView workbookViewId="0">
      <pane ySplit="2" topLeftCell="A3" activePane="bottomLeft" state="frozen"/>
      <selection activeCell="F34" sqref="F34"/>
      <selection pane="bottomLeft" activeCell="B28" sqref="B28"/>
    </sheetView>
  </sheetViews>
  <sheetFormatPr defaultColWidth="11.453125" defaultRowHeight="12.5" outlineLevelRow="1"/>
  <cols>
    <col min="1" max="1" width="22.54296875" style="121" customWidth="1"/>
    <col min="2" max="2" width="19.6328125" style="121" bestFit="1" customWidth="1"/>
    <col min="3" max="3" width="3.08984375" style="121" customWidth="1"/>
    <col min="4" max="4" width="24.6328125" style="121" customWidth="1"/>
    <col min="5" max="5" width="25" style="121" bestFit="1" customWidth="1"/>
    <col min="6" max="6" width="16.36328125" style="122" customWidth="1"/>
    <col min="7" max="10" width="15" style="122" bestFit="1" customWidth="1"/>
    <col min="11" max="11" width="15" style="121" bestFit="1" customWidth="1"/>
    <col min="12" max="12" width="15.08984375" style="121" bestFit="1" customWidth="1"/>
    <col min="13" max="14" width="11.453125" style="121" customWidth="1"/>
    <col min="15" max="16384" width="11.453125" style="121"/>
  </cols>
  <sheetData>
    <row r="1" spans="1:15" ht="16" thickBot="1">
      <c r="A1" s="769" t="s">
        <v>262</v>
      </c>
      <c r="B1" s="770"/>
      <c r="C1" s="770"/>
      <c r="D1" s="770"/>
      <c r="E1" s="770"/>
      <c r="F1" s="770"/>
      <c r="G1" s="770"/>
      <c r="H1" s="770"/>
      <c r="I1" s="770"/>
      <c r="J1" s="770"/>
      <c r="K1" s="770"/>
      <c r="L1" s="770"/>
      <c r="M1" s="770"/>
      <c r="N1" s="771"/>
    </row>
    <row r="2" spans="1:15">
      <c r="A2" s="178" t="s">
        <v>263</v>
      </c>
      <c r="B2" s="255" t="s">
        <v>264</v>
      </c>
      <c r="C2" s="263"/>
      <c r="D2" s="262" t="s">
        <v>237</v>
      </c>
      <c r="E2" s="179"/>
      <c r="F2" s="180" t="s">
        <v>492</v>
      </c>
      <c r="G2" s="180">
        <f t="shared" ref="G2:N2" si="0">F2+1</f>
        <v>2027</v>
      </c>
      <c r="H2" s="180">
        <f t="shared" si="0"/>
        <v>2028</v>
      </c>
      <c r="I2" s="180">
        <f t="shared" si="0"/>
        <v>2029</v>
      </c>
      <c r="J2" s="180">
        <f t="shared" si="0"/>
        <v>2030</v>
      </c>
      <c r="K2" s="181">
        <f t="shared" si="0"/>
        <v>2031</v>
      </c>
      <c r="L2" s="181">
        <f t="shared" si="0"/>
        <v>2032</v>
      </c>
      <c r="M2" s="179">
        <f t="shared" si="0"/>
        <v>2033</v>
      </c>
      <c r="N2" s="254">
        <f t="shared" si="0"/>
        <v>2034</v>
      </c>
    </row>
    <row r="3" spans="1:15">
      <c r="A3" s="170" t="s">
        <v>265</v>
      </c>
      <c r="B3" s="256">
        <f>B6+B12+B18</f>
        <v>34000000</v>
      </c>
      <c r="C3" s="264"/>
      <c r="D3" s="169" t="s">
        <v>266</v>
      </c>
      <c r="E3" s="127">
        <f>SUM(F3:N3)</f>
        <v>72</v>
      </c>
      <c r="F3" s="124">
        <v>8</v>
      </c>
      <c r="G3" s="124">
        <v>12</v>
      </c>
      <c r="H3" s="124">
        <v>12</v>
      </c>
      <c r="I3" s="124">
        <v>12</v>
      </c>
      <c r="J3" s="124">
        <v>12</v>
      </c>
      <c r="K3" s="124">
        <v>12</v>
      </c>
      <c r="L3" s="125">
        <v>4</v>
      </c>
      <c r="M3" s="570">
        <v>0</v>
      </c>
      <c r="N3" s="571">
        <v>0</v>
      </c>
    </row>
    <row r="4" spans="1:15">
      <c r="A4" s="170" t="s">
        <v>267</v>
      </c>
      <c r="B4" s="265">
        <f>+'Rent Calculation'!F30</f>
        <v>7.1099999999999997E-2</v>
      </c>
      <c r="C4" s="264"/>
      <c r="D4" s="169" t="s">
        <v>268</v>
      </c>
      <c r="E4" s="127">
        <f>E3-SUM(F3:N3)</f>
        <v>0</v>
      </c>
      <c r="F4" s="126"/>
      <c r="G4" s="126"/>
      <c r="H4" s="126"/>
      <c r="I4" s="126"/>
      <c r="J4" s="126"/>
      <c r="K4" s="123"/>
      <c r="L4" s="123"/>
      <c r="M4" s="123"/>
      <c r="N4" s="172"/>
    </row>
    <row r="5" spans="1:15">
      <c r="A5" s="170"/>
      <c r="B5" s="257"/>
      <c r="C5" s="264"/>
      <c r="D5" s="169"/>
      <c r="E5" s="123"/>
      <c r="F5" s="126"/>
      <c r="G5" s="126"/>
      <c r="H5" s="126"/>
      <c r="I5" s="126"/>
      <c r="J5" s="126"/>
      <c r="K5" s="123"/>
      <c r="L5" s="123"/>
      <c r="M5" s="123"/>
      <c r="N5" s="172"/>
    </row>
    <row r="6" spans="1:15">
      <c r="A6" s="170" t="s">
        <v>265</v>
      </c>
      <c r="B6" s="361">
        <v>14000000</v>
      </c>
      <c r="C6" s="264"/>
      <c r="D6" s="169" t="s">
        <v>269</v>
      </c>
      <c r="E6" s="123"/>
      <c r="F6" s="155">
        <f t="shared" ref="F6:N6" si="1">IF(F3&lt;&gt;0,$B$6/$B$7,0)</f>
        <v>2333333.3333333335</v>
      </c>
      <c r="G6" s="155">
        <f t="shared" si="1"/>
        <v>2333333.3333333335</v>
      </c>
      <c r="H6" s="155">
        <f t="shared" si="1"/>
        <v>2333333.3333333335</v>
      </c>
      <c r="I6" s="155">
        <f t="shared" si="1"/>
        <v>2333333.3333333335</v>
      </c>
      <c r="J6" s="155">
        <f t="shared" si="1"/>
        <v>2333333.3333333335</v>
      </c>
      <c r="K6" s="155">
        <f t="shared" si="1"/>
        <v>2333333.3333333335</v>
      </c>
      <c r="L6" s="155">
        <f t="shared" si="1"/>
        <v>2333333.3333333335</v>
      </c>
      <c r="M6" s="155">
        <f t="shared" si="1"/>
        <v>0</v>
      </c>
      <c r="N6" s="155">
        <f t="shared" si="1"/>
        <v>0</v>
      </c>
    </row>
    <row r="7" spans="1:15">
      <c r="A7" s="170" t="s">
        <v>270</v>
      </c>
      <c r="B7" s="299">
        <f>E3/12</f>
        <v>6</v>
      </c>
      <c r="C7" s="264"/>
      <c r="D7" s="169" t="s">
        <v>271</v>
      </c>
      <c r="E7" s="123"/>
      <c r="F7" s="155">
        <f>F6/12*F3</f>
        <v>1555555.5555555557</v>
      </c>
      <c r="G7" s="155">
        <f t="shared" ref="G7:N7" si="2">G6/12*G3</f>
        <v>2333333.3333333335</v>
      </c>
      <c r="H7" s="155">
        <f t="shared" si="2"/>
        <v>2333333.3333333335</v>
      </c>
      <c r="I7" s="155">
        <f t="shared" si="2"/>
        <v>2333333.3333333335</v>
      </c>
      <c r="J7" s="155">
        <f t="shared" si="2"/>
        <v>2333333.3333333335</v>
      </c>
      <c r="K7" s="155">
        <f t="shared" si="2"/>
        <v>2333333.3333333335</v>
      </c>
      <c r="L7" s="155">
        <f t="shared" si="2"/>
        <v>777777.77777777787</v>
      </c>
      <c r="M7" s="155">
        <f t="shared" si="2"/>
        <v>0</v>
      </c>
      <c r="N7" s="155">
        <f t="shared" si="2"/>
        <v>0</v>
      </c>
    </row>
    <row r="8" spans="1:15">
      <c r="A8" s="170"/>
      <c r="B8" s="257"/>
      <c r="C8" s="264"/>
      <c r="D8" s="169"/>
      <c r="E8" s="123"/>
      <c r="F8" s="126"/>
      <c r="G8" s="126"/>
      <c r="H8" s="126"/>
      <c r="I8" s="126"/>
      <c r="J8" s="126"/>
      <c r="K8" s="123"/>
      <c r="L8" s="123"/>
      <c r="M8" s="123"/>
      <c r="N8" s="172"/>
    </row>
    <row r="9" spans="1:15">
      <c r="A9" s="170"/>
      <c r="B9" s="258"/>
      <c r="C9" s="264"/>
      <c r="D9" s="169" t="s">
        <v>266</v>
      </c>
      <c r="E9" s="127">
        <f>SUM(F9:N9)</f>
        <v>30</v>
      </c>
      <c r="F9" s="124">
        <v>8</v>
      </c>
      <c r="G9" s="124">
        <v>12</v>
      </c>
      <c r="H9" s="124">
        <v>10</v>
      </c>
      <c r="I9" s="124">
        <v>0</v>
      </c>
      <c r="J9" s="124">
        <v>0</v>
      </c>
      <c r="K9" s="124">
        <v>0</v>
      </c>
      <c r="L9" s="125">
        <v>0</v>
      </c>
      <c r="M9" s="570">
        <v>0</v>
      </c>
      <c r="N9" s="571">
        <v>0</v>
      </c>
      <c r="O9" s="121">
        <v>12</v>
      </c>
    </row>
    <row r="10" spans="1:15">
      <c r="A10" s="170"/>
      <c r="B10" s="127"/>
      <c r="C10" s="264"/>
      <c r="D10" s="169" t="s">
        <v>268</v>
      </c>
      <c r="E10" s="127">
        <v>0</v>
      </c>
      <c r="F10" s="126"/>
      <c r="G10" s="126"/>
      <c r="H10" s="126"/>
      <c r="I10" s="126"/>
      <c r="J10" s="126"/>
      <c r="K10" s="123"/>
      <c r="L10" s="123"/>
      <c r="M10" s="123"/>
      <c r="N10" s="172"/>
    </row>
    <row r="11" spans="1:15">
      <c r="A11" s="170"/>
      <c r="B11" s="257"/>
      <c r="C11" s="264"/>
      <c r="D11" s="169"/>
      <c r="E11" s="123"/>
      <c r="F11" s="155"/>
      <c r="G11" s="155"/>
      <c r="H11" s="155"/>
      <c r="I11" s="155"/>
      <c r="J11" s="155"/>
      <c r="K11" s="128"/>
      <c r="L11" s="128"/>
      <c r="M11" s="123"/>
      <c r="N11" s="172"/>
    </row>
    <row r="12" spans="1:15">
      <c r="A12" s="170" t="s">
        <v>265</v>
      </c>
      <c r="B12" s="258">
        <v>5000000</v>
      </c>
      <c r="C12" s="264"/>
      <c r="D12" s="169" t="s">
        <v>269</v>
      </c>
      <c r="E12" s="123"/>
      <c r="F12" s="155">
        <f t="shared" ref="F12:N12" si="3">IF(F9&lt;&gt;0,$B$12/$B$13,0)</f>
        <v>2000000</v>
      </c>
      <c r="G12" s="155">
        <f t="shared" si="3"/>
        <v>2000000</v>
      </c>
      <c r="H12" s="155">
        <f t="shared" si="3"/>
        <v>2000000</v>
      </c>
      <c r="I12" s="155">
        <f t="shared" si="3"/>
        <v>0</v>
      </c>
      <c r="J12" s="155">
        <f t="shared" si="3"/>
        <v>0</v>
      </c>
      <c r="K12" s="155">
        <f t="shared" si="3"/>
        <v>0</v>
      </c>
      <c r="L12" s="155">
        <f t="shared" si="3"/>
        <v>0</v>
      </c>
      <c r="M12" s="155">
        <f t="shared" si="3"/>
        <v>0</v>
      </c>
      <c r="N12" s="174">
        <f t="shared" si="3"/>
        <v>0</v>
      </c>
    </row>
    <row r="13" spans="1:15">
      <c r="A13" s="170" t="s">
        <v>270</v>
      </c>
      <c r="B13" s="299">
        <f>E9/12</f>
        <v>2.5</v>
      </c>
      <c r="C13" s="264"/>
      <c r="D13" s="169" t="s">
        <v>271</v>
      </c>
      <c r="E13" s="123"/>
      <c r="F13" s="155">
        <f>F12/12*F3</f>
        <v>1333333.3333333333</v>
      </c>
      <c r="G13" s="155">
        <f t="shared" ref="G13:N13" si="4">G12/12*G9</f>
        <v>2000000</v>
      </c>
      <c r="H13" s="155">
        <f>H12/12*H9</f>
        <v>1666666.6666666665</v>
      </c>
      <c r="I13" s="155">
        <f t="shared" si="4"/>
        <v>0</v>
      </c>
      <c r="J13" s="155">
        <f t="shared" si="4"/>
        <v>0</v>
      </c>
      <c r="K13" s="155">
        <f t="shared" si="4"/>
        <v>0</v>
      </c>
      <c r="L13" s="155">
        <f t="shared" si="4"/>
        <v>0</v>
      </c>
      <c r="M13" s="155">
        <f t="shared" si="4"/>
        <v>0</v>
      </c>
      <c r="N13" s="174">
        <f t="shared" si="4"/>
        <v>0</v>
      </c>
    </row>
    <row r="14" spans="1:15">
      <c r="A14" s="170"/>
      <c r="B14" s="257"/>
      <c r="C14" s="264"/>
      <c r="D14" s="169"/>
      <c r="E14" s="123"/>
      <c r="F14" s="126"/>
      <c r="G14" s="126"/>
      <c r="H14" s="126"/>
      <c r="I14" s="126"/>
      <c r="J14" s="126"/>
      <c r="K14" s="123"/>
      <c r="L14" s="123"/>
      <c r="M14" s="128"/>
      <c r="N14" s="173"/>
    </row>
    <row r="15" spans="1:15">
      <c r="A15" s="170"/>
      <c r="B15" s="257"/>
      <c r="C15" s="264"/>
      <c r="D15" s="169" t="s">
        <v>266</v>
      </c>
      <c r="E15" s="127">
        <f>SUM(F15:N15)</f>
        <v>48</v>
      </c>
      <c r="F15" s="124">
        <v>8</v>
      </c>
      <c r="G15" s="124">
        <v>12</v>
      </c>
      <c r="H15" s="124">
        <v>12</v>
      </c>
      <c r="I15" s="124">
        <v>12</v>
      </c>
      <c r="J15" s="124">
        <v>4</v>
      </c>
      <c r="K15" s="125">
        <v>0</v>
      </c>
      <c r="L15" s="125">
        <v>0</v>
      </c>
      <c r="M15" s="125">
        <v>0</v>
      </c>
      <c r="N15" s="171">
        <v>0</v>
      </c>
    </row>
    <row r="16" spans="1:15">
      <c r="A16" s="170"/>
      <c r="B16" s="257"/>
      <c r="C16" s="264"/>
      <c r="D16" s="169" t="s">
        <v>268</v>
      </c>
      <c r="E16" s="127">
        <f>E15-SUM(F15:N15)</f>
        <v>0</v>
      </c>
      <c r="F16" s="126"/>
      <c r="G16" s="126"/>
      <c r="H16" s="126"/>
      <c r="I16" s="126"/>
      <c r="J16" s="126"/>
      <c r="K16" s="123"/>
      <c r="L16" s="123"/>
      <c r="M16" s="123"/>
      <c r="N16" s="172"/>
    </row>
    <row r="17" spans="1:14">
      <c r="A17" s="170"/>
      <c r="B17" s="257"/>
      <c r="C17" s="264"/>
      <c r="D17" s="169"/>
      <c r="E17" s="127"/>
      <c r="F17" s="126"/>
      <c r="G17" s="126"/>
      <c r="H17" s="126"/>
      <c r="I17" s="126"/>
      <c r="J17" s="126"/>
      <c r="K17" s="123"/>
      <c r="L17" s="123"/>
      <c r="M17" s="123"/>
      <c r="N17" s="172"/>
    </row>
    <row r="18" spans="1:14">
      <c r="A18" s="170" t="s">
        <v>265</v>
      </c>
      <c r="B18" s="258">
        <v>15000000</v>
      </c>
      <c r="C18" s="264"/>
      <c r="D18" s="169" t="s">
        <v>269</v>
      </c>
      <c r="E18" s="297"/>
      <c r="F18" s="155">
        <f>IF(F15&lt;&gt;0,$B$18/$B$19,0)</f>
        <v>3750000</v>
      </c>
      <c r="G18" s="595">
        <f t="shared" ref="G18:N18" si="5">IF(G15&lt;&gt;0,$B$18/$B$19,0)</f>
        <v>3750000</v>
      </c>
      <c r="H18" s="595">
        <f t="shared" si="5"/>
        <v>3750000</v>
      </c>
      <c r="I18" s="595">
        <f t="shared" si="5"/>
        <v>3750000</v>
      </c>
      <c r="J18" s="595">
        <f t="shared" si="5"/>
        <v>3750000</v>
      </c>
      <c r="K18" s="595">
        <f t="shared" si="5"/>
        <v>0</v>
      </c>
      <c r="L18" s="155">
        <f t="shared" si="5"/>
        <v>0</v>
      </c>
      <c r="M18" s="155">
        <f t="shared" si="5"/>
        <v>0</v>
      </c>
      <c r="N18" s="155">
        <f t="shared" si="5"/>
        <v>0</v>
      </c>
    </row>
    <row r="19" spans="1:14">
      <c r="A19" s="170" t="s">
        <v>270</v>
      </c>
      <c r="B19" s="304">
        <f>E15/12</f>
        <v>4</v>
      </c>
      <c r="C19" s="264"/>
      <c r="D19" s="169" t="s">
        <v>271</v>
      </c>
      <c r="E19" s="123"/>
      <c r="F19" s="155">
        <f>F18/12*F15</f>
        <v>2500000</v>
      </c>
      <c r="G19" s="155">
        <f t="shared" ref="G19:N19" si="6">G18/12*G15</f>
        <v>3750000</v>
      </c>
      <c r="H19" s="155">
        <f t="shared" si="6"/>
        <v>3750000</v>
      </c>
      <c r="I19" s="155">
        <f t="shared" si="6"/>
        <v>3750000</v>
      </c>
      <c r="J19" s="155">
        <f t="shared" si="6"/>
        <v>1250000</v>
      </c>
      <c r="K19" s="155">
        <f t="shared" si="6"/>
        <v>0</v>
      </c>
      <c r="L19" s="155">
        <f t="shared" si="6"/>
        <v>0</v>
      </c>
      <c r="M19" s="155">
        <f t="shared" si="6"/>
        <v>0</v>
      </c>
      <c r="N19" s="155">
        <f t="shared" si="6"/>
        <v>0</v>
      </c>
    </row>
    <row r="20" spans="1:14">
      <c r="A20" s="170"/>
      <c r="B20" s="257"/>
      <c r="C20" s="264"/>
      <c r="D20" s="169"/>
      <c r="E20" s="123"/>
      <c r="F20" s="126"/>
      <c r="G20" s="126"/>
      <c r="H20" s="126"/>
      <c r="I20" s="126"/>
      <c r="J20" s="126"/>
      <c r="K20" s="123"/>
      <c r="L20" s="123"/>
      <c r="M20" s="128"/>
      <c r="N20" s="173"/>
    </row>
    <row r="21" spans="1:14">
      <c r="A21" s="170" t="s">
        <v>272</v>
      </c>
      <c r="B21" s="596">
        <f>+'Rent Calculation'!F21</f>
        <v>9515</v>
      </c>
      <c r="C21" s="597"/>
      <c r="D21" s="598" t="s">
        <v>273</v>
      </c>
      <c r="E21" s="599"/>
      <c r="F21" s="155">
        <f>B3</f>
        <v>34000000</v>
      </c>
      <c r="G21" s="155">
        <f>F22</f>
        <v>28611111.111111112</v>
      </c>
      <c r="H21" s="155">
        <f t="shared" ref="H21:K21" si="7">G22</f>
        <v>20527777.777777776</v>
      </c>
      <c r="I21" s="155">
        <f t="shared" si="7"/>
        <v>12777777.777777776</v>
      </c>
      <c r="J21" s="155">
        <f t="shared" si="7"/>
        <v>6694444.4444444422</v>
      </c>
      <c r="K21" s="155">
        <f t="shared" si="7"/>
        <v>3111111.1111111087</v>
      </c>
      <c r="L21" s="128">
        <f>K22</f>
        <v>777777.77777777519</v>
      </c>
      <c r="M21" s="128">
        <f t="shared" ref="M21:N21" si="8">L22</f>
        <v>-2.6775524020195007E-9</v>
      </c>
      <c r="N21" s="173">
        <f t="shared" si="8"/>
        <v>-2.6775524020195007E-9</v>
      </c>
    </row>
    <row r="22" spans="1:14">
      <c r="A22" s="170" t="s">
        <v>274</v>
      </c>
      <c r="B22" s="259">
        <f>+B21/10.764</f>
        <v>883.96506874767749</v>
      </c>
      <c r="C22" s="264"/>
      <c r="D22" s="169" t="s">
        <v>275</v>
      </c>
      <c r="E22" s="123"/>
      <c r="F22" s="155">
        <f>F21-F27</f>
        <v>28611111.111111112</v>
      </c>
      <c r="G22" s="155">
        <f>G21-G27</f>
        <v>20527777.777777776</v>
      </c>
      <c r="H22" s="155">
        <f t="shared" ref="H22:K22" si="9">H21-H27</f>
        <v>12777777.777777776</v>
      </c>
      <c r="I22" s="155">
        <f t="shared" si="9"/>
        <v>6694444.4444444422</v>
      </c>
      <c r="J22" s="155">
        <f t="shared" si="9"/>
        <v>3111111.1111111087</v>
      </c>
      <c r="K22" s="155">
        <f t="shared" si="9"/>
        <v>777777.77777777519</v>
      </c>
      <c r="L22" s="155">
        <f t="shared" ref="L22:N22" si="10">L21-L27</f>
        <v>-2.6775524020195007E-9</v>
      </c>
      <c r="M22" s="155">
        <f t="shared" si="10"/>
        <v>-2.6775524020195007E-9</v>
      </c>
      <c r="N22" s="174">
        <f t="shared" si="10"/>
        <v>-2.6775524020195007E-9</v>
      </c>
    </row>
    <row r="23" spans="1:14">
      <c r="A23" s="170" t="s">
        <v>276</v>
      </c>
      <c r="B23" s="446" t="str">
        <f>F2</f>
        <v>2026</v>
      </c>
      <c r="C23" s="264"/>
      <c r="D23" s="169" t="s">
        <v>277</v>
      </c>
      <c r="E23" s="123"/>
      <c r="F23" s="155">
        <f>(F21+F22)/2</f>
        <v>31305555.555555556</v>
      </c>
      <c r="G23" s="155">
        <f>(G21+G22)/2</f>
        <v>24569444.444444444</v>
      </c>
      <c r="H23" s="155">
        <f t="shared" ref="H23:N23" si="11">(H21+H22)/2</f>
        <v>16652777.777777776</v>
      </c>
      <c r="I23" s="155">
        <f>(I21+I22)/2</f>
        <v>9736111.1111111082</v>
      </c>
      <c r="J23" s="155">
        <f t="shared" si="11"/>
        <v>4902777.7777777752</v>
      </c>
      <c r="K23" s="128">
        <f t="shared" si="11"/>
        <v>1944444.4444444419</v>
      </c>
      <c r="L23" s="128">
        <f t="shared" si="11"/>
        <v>388888.88888888626</v>
      </c>
      <c r="M23" s="128">
        <f t="shared" si="11"/>
        <v>-2.6775524020195007E-9</v>
      </c>
      <c r="N23" s="173">
        <f t="shared" si="11"/>
        <v>-2.6775524020195007E-9</v>
      </c>
    </row>
    <row r="24" spans="1:14">
      <c r="A24" s="170"/>
      <c r="B24" s="257"/>
      <c r="C24" s="264"/>
      <c r="D24" s="169"/>
      <c r="E24" s="123"/>
      <c r="F24" s="155"/>
      <c r="G24" s="155"/>
      <c r="H24" s="155"/>
      <c r="I24" s="155"/>
      <c r="J24" s="155"/>
      <c r="K24" s="128"/>
      <c r="L24" s="128"/>
      <c r="M24" s="128"/>
      <c r="N24" s="173"/>
    </row>
    <row r="25" spans="1:14">
      <c r="A25" s="170"/>
      <c r="B25" s="257"/>
      <c r="C25" s="264"/>
      <c r="D25" s="169"/>
      <c r="E25" s="123"/>
      <c r="F25" s="155"/>
      <c r="G25" s="155"/>
      <c r="H25" s="155"/>
      <c r="I25" s="155"/>
      <c r="J25" s="155"/>
      <c r="K25" s="128"/>
      <c r="L25" s="128"/>
      <c r="M25" s="128"/>
      <c r="N25" s="173"/>
    </row>
    <row r="26" spans="1:14">
      <c r="A26" s="170"/>
      <c r="B26" s="257"/>
      <c r="C26" s="264"/>
      <c r="D26" s="169" t="s">
        <v>278</v>
      </c>
      <c r="E26" s="127">
        <f>SUM(F26:N26)</f>
        <v>5621508.333333333</v>
      </c>
      <c r="F26" s="155">
        <f>F23*$B$4/12*F3</f>
        <v>1483883.3333333333</v>
      </c>
      <c r="G26" s="155">
        <f>G23*$B$4/12*G3</f>
        <v>1746887.5</v>
      </c>
      <c r="H26" s="155">
        <f>H23*$B$4/12*H3</f>
        <v>1184012.4999999998</v>
      </c>
      <c r="I26" s="155">
        <f>I23*$B$4/12*I3</f>
        <v>692237.49999999977</v>
      </c>
      <c r="J26" s="155">
        <f>J23*$B$4</f>
        <v>348587.49999999983</v>
      </c>
      <c r="K26" s="155">
        <f>K23*$B$4</f>
        <v>138249.99999999983</v>
      </c>
      <c r="L26" s="128">
        <f>L23*$B$4</f>
        <v>27649.999999999811</v>
      </c>
      <c r="M26" s="128">
        <f>M23*$B$4</f>
        <v>-1.903739757835865E-10</v>
      </c>
      <c r="N26" s="173">
        <f>N23*$B$4</f>
        <v>-1.903739757835865E-10</v>
      </c>
    </row>
    <row r="27" spans="1:14">
      <c r="A27" s="170" t="s">
        <v>279</v>
      </c>
      <c r="B27" s="260">
        <f>E30*E9</f>
        <v>16508961.805555558</v>
      </c>
      <c r="C27" s="264"/>
      <c r="D27" s="169" t="s">
        <v>497</v>
      </c>
      <c r="E27" s="127">
        <f>SUM(F27:N27)</f>
        <v>34000000</v>
      </c>
      <c r="F27" s="155">
        <f>F7+F13+F19</f>
        <v>5388888.888888889</v>
      </c>
      <c r="G27" s="155">
        <f t="shared" ref="G27:N27" si="12">G7+G13+G19</f>
        <v>8083333.333333334</v>
      </c>
      <c r="H27" s="155">
        <f t="shared" si="12"/>
        <v>7750000</v>
      </c>
      <c r="I27" s="155">
        <f t="shared" si="12"/>
        <v>6083333.333333334</v>
      </c>
      <c r="J27" s="155">
        <f t="shared" si="12"/>
        <v>3583333.3333333335</v>
      </c>
      <c r="K27" s="155">
        <f t="shared" si="12"/>
        <v>2333333.3333333335</v>
      </c>
      <c r="L27" s="155">
        <f t="shared" si="12"/>
        <v>777777.77777777787</v>
      </c>
      <c r="M27" s="155">
        <f t="shared" si="12"/>
        <v>0</v>
      </c>
      <c r="N27" s="155">
        <f t="shared" si="12"/>
        <v>0</v>
      </c>
    </row>
    <row r="28" spans="1:14">
      <c r="A28" s="170"/>
      <c r="B28" s="257"/>
      <c r="C28" s="264"/>
      <c r="D28" s="169"/>
      <c r="E28" s="123"/>
      <c r="F28" s="155"/>
      <c r="G28" s="155"/>
      <c r="H28" s="155"/>
      <c r="I28" s="155"/>
      <c r="J28" s="155"/>
      <c r="K28" s="128"/>
      <c r="L28" s="128"/>
      <c r="M28" s="128"/>
      <c r="N28" s="173"/>
    </row>
    <row r="29" spans="1:14">
      <c r="A29" s="170" t="s">
        <v>281</v>
      </c>
      <c r="B29" s="261">
        <f>+E30/B21</f>
        <v>57.834863568245076</v>
      </c>
      <c r="C29" s="264"/>
      <c r="D29" s="169"/>
      <c r="E29" s="123"/>
      <c r="F29" s="155">
        <f t="shared" ref="F29:N29" si="13">SUM(F26:F28)</f>
        <v>6872772.222222222</v>
      </c>
      <c r="G29" s="155">
        <f t="shared" si="13"/>
        <v>9830220.833333334</v>
      </c>
      <c r="H29" s="155">
        <f t="shared" si="13"/>
        <v>8934012.5</v>
      </c>
      <c r="I29" s="155">
        <f t="shared" si="13"/>
        <v>6775570.833333334</v>
      </c>
      <c r="J29" s="155">
        <f t="shared" si="13"/>
        <v>3931920.8333333335</v>
      </c>
      <c r="K29" s="155">
        <f t="shared" si="13"/>
        <v>2471583.3333333335</v>
      </c>
      <c r="L29" s="155">
        <f t="shared" si="13"/>
        <v>805427.77777777764</v>
      </c>
      <c r="M29" s="155">
        <f t="shared" si="13"/>
        <v>-1.903739757835865E-10</v>
      </c>
      <c r="N29" s="174">
        <f t="shared" si="13"/>
        <v>-1.903739757835865E-10</v>
      </c>
    </row>
    <row r="30" spans="1:14" s="608" customFormat="1" ht="13" thickBot="1">
      <c r="A30" s="600" t="s">
        <v>282</v>
      </c>
      <c r="B30" s="601">
        <f>+E30/B22</f>
        <v>622.53447144859001</v>
      </c>
      <c r="C30" s="602"/>
      <c r="D30" s="603" t="s">
        <v>283</v>
      </c>
      <c r="E30" s="604">
        <f>IFERROR(SUM(F26:N27)/E3,0)</f>
        <v>550298.72685185191</v>
      </c>
      <c r="F30" s="605"/>
      <c r="G30" s="605"/>
      <c r="H30" s="605"/>
      <c r="I30" s="605"/>
      <c r="J30" s="605"/>
      <c r="K30" s="606"/>
      <c r="L30" s="606"/>
      <c r="M30" s="606"/>
      <c r="N30" s="607"/>
    </row>
    <row r="31" spans="1:14">
      <c r="F31" s="358"/>
      <c r="G31" s="358"/>
      <c r="H31" s="358"/>
      <c r="I31" s="358"/>
    </row>
    <row r="32" spans="1:14" outlineLevel="1"/>
    <row r="33" spans="1:15" outlineLevel="1">
      <c r="A33" s="266"/>
      <c r="B33" s="366"/>
    </row>
    <row r="34" spans="1:15" ht="13" outlineLevel="1" thickBot="1">
      <c r="F34" s="358"/>
      <c r="G34" s="358"/>
      <c r="H34" s="358"/>
      <c r="I34" s="358"/>
    </row>
    <row r="35" spans="1:15" ht="16" outlineLevel="1" thickBot="1">
      <c r="A35" s="769"/>
      <c r="B35" s="770"/>
      <c r="C35" s="770"/>
      <c r="D35" s="770"/>
      <c r="E35" s="770"/>
      <c r="F35" s="770"/>
      <c r="G35" s="770"/>
      <c r="H35" s="770"/>
      <c r="I35" s="770"/>
      <c r="J35" s="770"/>
      <c r="K35" s="770"/>
      <c r="L35" s="770"/>
      <c r="M35" s="770"/>
      <c r="N35" s="770"/>
      <c r="O35" s="771"/>
    </row>
    <row r="36" spans="1:15" outlineLevel="1">
      <c r="A36" s="306" t="s">
        <v>263</v>
      </c>
      <c r="B36" s="307" t="s">
        <v>40</v>
      </c>
      <c r="C36" s="263"/>
      <c r="D36" s="308" t="s">
        <v>237</v>
      </c>
      <c r="E36" s="309"/>
      <c r="F36" s="271" t="str">
        <f>F2</f>
        <v>2026</v>
      </c>
      <c r="G36" s="180">
        <f t="shared" ref="G36:O36" si="14">F36+1</f>
        <v>2027</v>
      </c>
      <c r="H36" s="180">
        <f t="shared" si="14"/>
        <v>2028</v>
      </c>
      <c r="I36" s="180">
        <f t="shared" si="14"/>
        <v>2029</v>
      </c>
      <c r="J36" s="180">
        <f t="shared" si="14"/>
        <v>2030</v>
      </c>
      <c r="K36" s="310">
        <f t="shared" si="14"/>
        <v>2031</v>
      </c>
      <c r="L36" s="310">
        <f t="shared" si="14"/>
        <v>2032</v>
      </c>
      <c r="M36" s="309">
        <f t="shared" si="14"/>
        <v>2033</v>
      </c>
      <c r="N36" s="309">
        <f t="shared" si="14"/>
        <v>2034</v>
      </c>
      <c r="O36" s="311">
        <f t="shared" si="14"/>
        <v>2035</v>
      </c>
    </row>
    <row r="37" spans="1:15" outlineLevel="1">
      <c r="A37" s="312" t="s">
        <v>265</v>
      </c>
      <c r="B37" s="256">
        <f>SUM(F38:O38)</f>
        <v>43000000</v>
      </c>
      <c r="C37" s="264"/>
      <c r="D37" s="314"/>
      <c r="E37" s="315"/>
      <c r="F37" s="126"/>
      <c r="G37" s="126"/>
      <c r="H37" s="126"/>
      <c r="I37" s="126"/>
      <c r="J37" s="126"/>
      <c r="K37" s="315"/>
      <c r="L37" s="315"/>
      <c r="M37" s="315"/>
      <c r="N37" s="315"/>
      <c r="O37" s="316"/>
    </row>
    <row r="38" spans="1:15" outlineLevel="1">
      <c r="A38" s="312" t="s">
        <v>267</v>
      </c>
      <c r="B38" s="317">
        <f>B4</f>
        <v>7.1099999999999997E-2</v>
      </c>
      <c r="C38" s="264"/>
      <c r="D38" s="318" t="s">
        <v>284</v>
      </c>
      <c r="E38" s="315"/>
      <c r="F38" s="128">
        <v>14000000</v>
      </c>
      <c r="G38" s="128">
        <v>12000000</v>
      </c>
      <c r="H38" s="128">
        <v>5000000</v>
      </c>
      <c r="I38" s="128">
        <v>6000000</v>
      </c>
      <c r="J38" s="268">
        <v>6000000</v>
      </c>
      <c r="K38" s="268"/>
      <c r="L38" s="268"/>
      <c r="M38" s="268"/>
      <c r="N38" s="268"/>
      <c r="O38" s="316"/>
    </row>
    <row r="39" spans="1:15" outlineLevel="1">
      <c r="A39" s="312"/>
      <c r="B39" s="319"/>
      <c r="C39" s="264"/>
      <c r="D39" s="314"/>
      <c r="E39" s="315"/>
      <c r="F39" s="315"/>
      <c r="G39" s="315"/>
      <c r="H39" s="315"/>
      <c r="I39" s="315"/>
      <c r="J39" s="315"/>
      <c r="K39" s="315"/>
      <c r="L39" s="315"/>
      <c r="M39" s="315"/>
      <c r="N39" s="315"/>
      <c r="O39" s="316"/>
    </row>
    <row r="40" spans="1:15" outlineLevel="1">
      <c r="A40" s="312" t="s">
        <v>265</v>
      </c>
      <c r="B40" s="320">
        <f>+F38</f>
        <v>14000000</v>
      </c>
      <c r="C40" s="264"/>
      <c r="D40" s="314" t="s">
        <v>266</v>
      </c>
      <c r="E40" s="324">
        <f>SUM(F40:O40)</f>
        <v>72</v>
      </c>
      <c r="F40" s="124">
        <v>8</v>
      </c>
      <c r="G40" s="124">
        <v>12</v>
      </c>
      <c r="H40" s="124">
        <v>12</v>
      </c>
      <c r="I40" s="124">
        <v>12</v>
      </c>
      <c r="J40" s="124">
        <v>12</v>
      </c>
      <c r="K40" s="124">
        <v>12</v>
      </c>
      <c r="L40" s="125">
        <v>4</v>
      </c>
      <c r="M40" s="321"/>
      <c r="N40" s="321"/>
      <c r="O40" s="322"/>
    </row>
    <row r="41" spans="1:15" outlineLevel="1">
      <c r="A41" s="312" t="s">
        <v>270</v>
      </c>
      <c r="B41" s="336">
        <f>E40/12</f>
        <v>6</v>
      </c>
      <c r="C41" s="264"/>
      <c r="D41" s="314" t="s">
        <v>268</v>
      </c>
      <c r="E41" s="324">
        <f>E40-SUM(F40:N40)</f>
        <v>0</v>
      </c>
      <c r="F41" s="126"/>
      <c r="G41" s="126"/>
      <c r="H41" s="126"/>
      <c r="I41" s="126"/>
      <c r="J41" s="126"/>
      <c r="K41" s="315"/>
      <c r="L41" s="315"/>
      <c r="M41" s="315"/>
      <c r="N41" s="315"/>
      <c r="O41" s="316"/>
    </row>
    <row r="42" spans="1:15" outlineLevel="1">
      <c r="A42" s="312"/>
      <c r="B42" s="323"/>
      <c r="C42" s="264"/>
      <c r="D42" s="314" t="s">
        <v>269</v>
      </c>
      <c r="E42" s="315"/>
      <c r="F42" s="126">
        <f t="shared" ref="F42:O42" si="15">IF(F40&lt;&gt;0,$F$38/$B$41,0)</f>
        <v>2333333.3333333335</v>
      </c>
      <c r="G42" s="126">
        <f t="shared" si="15"/>
        <v>2333333.3333333335</v>
      </c>
      <c r="H42" s="126">
        <f t="shared" si="15"/>
        <v>2333333.3333333335</v>
      </c>
      <c r="I42" s="126">
        <f t="shared" si="15"/>
        <v>2333333.3333333335</v>
      </c>
      <c r="J42" s="126">
        <f t="shared" si="15"/>
        <v>2333333.3333333335</v>
      </c>
      <c r="K42" s="126">
        <f t="shared" si="15"/>
        <v>2333333.3333333335</v>
      </c>
      <c r="L42" s="126">
        <f t="shared" si="15"/>
        <v>2333333.3333333335</v>
      </c>
      <c r="M42" s="126">
        <f t="shared" si="15"/>
        <v>0</v>
      </c>
      <c r="N42" s="126">
        <f t="shared" si="15"/>
        <v>0</v>
      </c>
      <c r="O42" s="126">
        <f t="shared" si="15"/>
        <v>0</v>
      </c>
    </row>
    <row r="43" spans="1:15" outlineLevel="1">
      <c r="A43" s="312"/>
      <c r="B43" s="323"/>
      <c r="C43" s="264"/>
      <c r="D43" s="314" t="s">
        <v>271</v>
      </c>
      <c r="E43" s="315"/>
      <c r="F43" s="126">
        <f>F42/12*F40</f>
        <v>1555555.5555555557</v>
      </c>
      <c r="G43" s="126">
        <f t="shared" ref="G43:O43" si="16">G42/12*G40</f>
        <v>2333333.3333333335</v>
      </c>
      <c r="H43" s="126">
        <f t="shared" si="16"/>
        <v>2333333.3333333335</v>
      </c>
      <c r="I43" s="126">
        <f t="shared" si="16"/>
        <v>2333333.3333333335</v>
      </c>
      <c r="J43" s="126">
        <f t="shared" si="16"/>
        <v>2333333.3333333335</v>
      </c>
      <c r="K43" s="126">
        <f t="shared" si="16"/>
        <v>2333333.3333333335</v>
      </c>
      <c r="L43" s="126">
        <f t="shared" si="16"/>
        <v>777777.77777777787</v>
      </c>
      <c r="M43" s="126">
        <f t="shared" si="16"/>
        <v>0</v>
      </c>
      <c r="N43" s="126">
        <f t="shared" si="16"/>
        <v>0</v>
      </c>
      <c r="O43" s="126">
        <f t="shared" si="16"/>
        <v>0</v>
      </c>
    </row>
    <row r="44" spans="1:15" outlineLevel="1">
      <c r="A44" s="312"/>
      <c r="B44" s="319"/>
      <c r="C44" s="264"/>
      <c r="D44" s="314"/>
      <c r="E44" s="315"/>
      <c r="F44" s="315"/>
      <c r="G44" s="315"/>
      <c r="H44" s="315"/>
      <c r="I44" s="315"/>
      <c r="J44" s="315"/>
      <c r="K44" s="315"/>
      <c r="L44" s="315"/>
      <c r="M44" s="315"/>
      <c r="N44" s="315"/>
      <c r="O44" s="316"/>
    </row>
    <row r="45" spans="1:15" outlineLevel="1">
      <c r="A45" s="312" t="s">
        <v>265</v>
      </c>
      <c r="B45" s="320">
        <f>+G38</f>
        <v>12000000</v>
      </c>
      <c r="C45" s="264"/>
      <c r="D45" s="314" t="s">
        <v>266</v>
      </c>
      <c r="E45" s="324">
        <f>SUM(F45:O45)</f>
        <v>60</v>
      </c>
      <c r="F45" s="124"/>
      <c r="G45" s="124">
        <v>8</v>
      </c>
      <c r="H45" s="124">
        <v>12</v>
      </c>
      <c r="I45" s="124">
        <v>12</v>
      </c>
      <c r="J45" s="124">
        <v>12</v>
      </c>
      <c r="K45" s="124">
        <v>12</v>
      </c>
      <c r="L45" s="321">
        <v>4</v>
      </c>
      <c r="M45" s="321"/>
      <c r="N45" s="321"/>
      <c r="O45" s="322"/>
    </row>
    <row r="46" spans="1:15" outlineLevel="1">
      <c r="A46" s="312" t="s">
        <v>270</v>
      </c>
      <c r="B46" s="336">
        <f>E45/12</f>
        <v>5</v>
      </c>
      <c r="C46" s="264"/>
      <c r="D46" s="314" t="s">
        <v>268</v>
      </c>
      <c r="E46" s="324">
        <f>E45-SUM(F45:N45)</f>
        <v>0</v>
      </c>
      <c r="F46" s="126"/>
      <c r="G46" s="126"/>
      <c r="H46" s="126"/>
      <c r="I46" s="126"/>
      <c r="J46" s="126"/>
      <c r="K46" s="315"/>
      <c r="L46" s="315"/>
      <c r="M46" s="315"/>
      <c r="N46" s="315"/>
      <c r="O46" s="316"/>
    </row>
    <row r="47" spans="1:15" outlineLevel="1">
      <c r="A47" s="312"/>
      <c r="B47" s="319"/>
      <c r="C47" s="264"/>
      <c r="D47" s="314" t="s">
        <v>269</v>
      </c>
      <c r="E47" s="315"/>
      <c r="F47" s="126"/>
      <c r="G47" s="126">
        <f>IF(G45&lt;&gt;0,$G$38/($E$45/12),0)</f>
        <v>2400000</v>
      </c>
      <c r="H47" s="126">
        <f t="shared" ref="H47:O47" si="17">IF(H45&lt;&gt;0,$G$38/($E$45/12),0)</f>
        <v>2400000</v>
      </c>
      <c r="I47" s="126">
        <f t="shared" si="17"/>
        <v>2400000</v>
      </c>
      <c r="J47" s="126">
        <f t="shared" si="17"/>
        <v>2400000</v>
      </c>
      <c r="K47" s="126">
        <f t="shared" si="17"/>
        <v>2400000</v>
      </c>
      <c r="L47" s="126">
        <f t="shared" si="17"/>
        <v>2400000</v>
      </c>
      <c r="M47" s="126">
        <f t="shared" si="17"/>
        <v>0</v>
      </c>
      <c r="N47" s="126">
        <f t="shared" si="17"/>
        <v>0</v>
      </c>
      <c r="O47" s="126">
        <f t="shared" si="17"/>
        <v>0</v>
      </c>
    </row>
    <row r="48" spans="1:15" outlineLevel="1">
      <c r="A48" s="312"/>
      <c r="B48" s="260"/>
      <c r="C48" s="264"/>
      <c r="D48" s="314" t="s">
        <v>271</v>
      </c>
      <c r="E48" s="315"/>
      <c r="F48" s="126"/>
      <c r="G48" s="126">
        <f>G47/12*G45</f>
        <v>1600000</v>
      </c>
      <c r="H48" s="126">
        <f>H47/12*H45</f>
        <v>2400000</v>
      </c>
      <c r="I48" s="126">
        <f>I47/12*I45</f>
        <v>2400000</v>
      </c>
      <c r="J48" s="126">
        <f t="shared" ref="J48:K48" si="18">J47/12*J45</f>
        <v>2400000</v>
      </c>
      <c r="K48" s="126">
        <f t="shared" si="18"/>
        <v>2400000</v>
      </c>
      <c r="L48" s="126">
        <f t="shared" ref="L48:O48" si="19">L47/12*L45</f>
        <v>800000</v>
      </c>
      <c r="M48" s="126">
        <f t="shared" si="19"/>
        <v>0</v>
      </c>
      <c r="N48" s="126">
        <f t="shared" si="19"/>
        <v>0</v>
      </c>
      <c r="O48" s="126">
        <f t="shared" si="19"/>
        <v>0</v>
      </c>
    </row>
    <row r="49" spans="1:15" outlineLevel="1">
      <c r="A49" s="312"/>
      <c r="B49" s="319"/>
      <c r="C49" s="264"/>
      <c r="D49" s="314"/>
      <c r="E49" s="315"/>
      <c r="F49" s="126"/>
      <c r="G49" s="126"/>
      <c r="H49" s="126"/>
      <c r="I49" s="126"/>
      <c r="J49" s="126"/>
      <c r="K49" s="326"/>
      <c r="L49" s="326"/>
      <c r="M49" s="315"/>
      <c r="N49" s="315"/>
      <c r="O49" s="316"/>
    </row>
    <row r="50" spans="1:15" outlineLevel="1">
      <c r="A50" s="312" t="s">
        <v>265</v>
      </c>
      <c r="B50" s="320">
        <f>+H38</f>
        <v>5000000</v>
      </c>
      <c r="C50" s="264"/>
      <c r="D50" s="314" t="s">
        <v>266</v>
      </c>
      <c r="E50" s="324">
        <f>SUM(F50:O50)</f>
        <v>48</v>
      </c>
      <c r="F50" s="124"/>
      <c r="G50" s="124"/>
      <c r="H50" s="124">
        <v>8</v>
      </c>
      <c r="I50" s="124">
        <v>12</v>
      </c>
      <c r="J50" s="124">
        <v>12</v>
      </c>
      <c r="K50" s="321">
        <v>12</v>
      </c>
      <c r="L50" s="321">
        <v>4</v>
      </c>
      <c r="M50" s="321"/>
      <c r="N50" s="321"/>
      <c r="O50" s="322"/>
    </row>
    <row r="51" spans="1:15" outlineLevel="1">
      <c r="A51" s="312" t="s">
        <v>270</v>
      </c>
      <c r="B51" s="447">
        <f>E50/12</f>
        <v>4</v>
      </c>
      <c r="C51" s="264"/>
      <c r="D51" s="314" t="s">
        <v>268</v>
      </c>
      <c r="E51" s="324">
        <f>E50-SUM(F50:N50)</f>
        <v>0</v>
      </c>
      <c r="F51" s="126"/>
      <c r="G51" s="126"/>
      <c r="H51" s="126"/>
      <c r="I51" s="126"/>
      <c r="J51" s="126"/>
      <c r="K51" s="315"/>
      <c r="L51" s="315"/>
      <c r="M51" s="315"/>
      <c r="N51" s="315"/>
      <c r="O51" s="316"/>
    </row>
    <row r="52" spans="1:15" outlineLevel="1">
      <c r="A52" s="312"/>
      <c r="B52" s="319"/>
      <c r="C52" s="264"/>
      <c r="D52" s="314" t="s">
        <v>269</v>
      </c>
      <c r="E52" s="315"/>
      <c r="F52" s="126"/>
      <c r="G52" s="126"/>
      <c r="H52" s="126">
        <f>IF(H50&lt;&gt;0,$H$38/($E$50/12),0)</f>
        <v>1250000</v>
      </c>
      <c r="I52" s="126">
        <f t="shared" ref="I52:O52" si="20">IF(I50&lt;&gt;0,$H$38/($E$50/12),0)</f>
        <v>1250000</v>
      </c>
      <c r="J52" s="126">
        <f t="shared" si="20"/>
        <v>1250000</v>
      </c>
      <c r="K52" s="126">
        <f t="shared" si="20"/>
        <v>1250000</v>
      </c>
      <c r="L52" s="126">
        <f t="shared" si="20"/>
        <v>1250000</v>
      </c>
      <c r="M52" s="126">
        <f t="shared" si="20"/>
        <v>0</v>
      </c>
      <c r="N52" s="126">
        <f t="shared" si="20"/>
        <v>0</v>
      </c>
      <c r="O52" s="126">
        <f t="shared" si="20"/>
        <v>0</v>
      </c>
    </row>
    <row r="53" spans="1:15" outlineLevel="1">
      <c r="A53" s="312"/>
      <c r="B53" s="319"/>
      <c r="C53" s="264"/>
      <c r="D53" s="314" t="s">
        <v>271</v>
      </c>
      <c r="E53" s="315"/>
      <c r="F53" s="126"/>
      <c r="G53" s="126"/>
      <c r="H53" s="126">
        <f t="shared" ref="H53:O53" si="21">H52/12*H50</f>
        <v>833333.33333333337</v>
      </c>
      <c r="I53" s="126">
        <f t="shared" si="21"/>
        <v>1250000</v>
      </c>
      <c r="J53" s="126">
        <f t="shared" si="21"/>
        <v>1250000</v>
      </c>
      <c r="K53" s="126">
        <f t="shared" si="21"/>
        <v>1250000</v>
      </c>
      <c r="L53" s="126">
        <f t="shared" si="21"/>
        <v>416666.66666666669</v>
      </c>
      <c r="M53" s="126">
        <f t="shared" si="21"/>
        <v>0</v>
      </c>
      <c r="N53" s="126">
        <f t="shared" si="21"/>
        <v>0</v>
      </c>
      <c r="O53" s="126">
        <f t="shared" si="21"/>
        <v>0</v>
      </c>
    </row>
    <row r="54" spans="1:15" outlineLevel="1">
      <c r="A54" s="312"/>
      <c r="B54" s="319"/>
      <c r="C54" s="313"/>
      <c r="D54" s="314"/>
      <c r="E54" s="315"/>
      <c r="F54" s="126"/>
      <c r="G54" s="126"/>
      <c r="H54" s="126"/>
      <c r="I54" s="126"/>
      <c r="J54" s="126"/>
      <c r="K54" s="315"/>
      <c r="L54" s="315"/>
      <c r="M54" s="326"/>
      <c r="N54" s="326"/>
      <c r="O54" s="316"/>
    </row>
    <row r="55" spans="1:15" outlineLevel="1">
      <c r="A55" s="312" t="s">
        <v>265</v>
      </c>
      <c r="B55" s="320">
        <f>+I38</f>
        <v>6000000</v>
      </c>
      <c r="C55" s="313"/>
      <c r="D55" s="314" t="s">
        <v>266</v>
      </c>
      <c r="E55" s="324">
        <f>SUM(F55:O55)</f>
        <v>36</v>
      </c>
      <c r="F55" s="124"/>
      <c r="G55" s="124"/>
      <c r="H55" s="124"/>
      <c r="I55" s="124">
        <v>8</v>
      </c>
      <c r="J55" s="124">
        <v>12</v>
      </c>
      <c r="K55" s="124">
        <v>12</v>
      </c>
      <c r="L55" s="124">
        <v>4</v>
      </c>
      <c r="M55" s="321">
        <v>0</v>
      </c>
      <c r="N55" s="321"/>
      <c r="O55" s="322"/>
    </row>
    <row r="56" spans="1:15" outlineLevel="1">
      <c r="A56" s="312" t="s">
        <v>270</v>
      </c>
      <c r="B56" s="530">
        <f>E55/12</f>
        <v>3</v>
      </c>
      <c r="C56" s="313"/>
      <c r="D56" s="314" t="s">
        <v>268</v>
      </c>
      <c r="E56" s="324">
        <f>E55-SUM(F55:N55)</f>
        <v>0</v>
      </c>
      <c r="F56" s="126"/>
      <c r="G56" s="126"/>
      <c r="H56" s="126"/>
      <c r="I56" s="126"/>
      <c r="J56" s="126"/>
      <c r="K56" s="315"/>
      <c r="L56" s="315"/>
      <c r="M56" s="315"/>
      <c r="N56" s="315"/>
      <c r="O56" s="316"/>
    </row>
    <row r="57" spans="1:15" outlineLevel="1">
      <c r="A57" s="312"/>
      <c r="B57" s="319"/>
      <c r="C57" s="313"/>
      <c r="D57" s="314" t="s">
        <v>269</v>
      </c>
      <c r="E57" s="315"/>
      <c r="F57" s="126"/>
      <c r="G57" s="126"/>
      <c r="H57" s="126"/>
      <c r="I57" s="126">
        <f>IF(I55&lt;&gt;0,$I$38/($E$55/12),0)</f>
        <v>2000000</v>
      </c>
      <c r="J57" s="126">
        <f t="shared" ref="J57:O57" si="22">IF(J55&lt;&gt;0,$I$38/($E$55/12),0)</f>
        <v>2000000</v>
      </c>
      <c r="K57" s="126">
        <f t="shared" si="22"/>
        <v>2000000</v>
      </c>
      <c r="L57" s="126">
        <f t="shared" si="22"/>
        <v>2000000</v>
      </c>
      <c r="M57" s="126">
        <f t="shared" si="22"/>
        <v>0</v>
      </c>
      <c r="N57" s="126">
        <f t="shared" si="22"/>
        <v>0</v>
      </c>
      <c r="O57" s="126">
        <f t="shared" si="22"/>
        <v>0</v>
      </c>
    </row>
    <row r="58" spans="1:15" outlineLevel="1">
      <c r="A58" s="312"/>
      <c r="B58" s="319"/>
      <c r="C58" s="313"/>
      <c r="D58" s="314" t="s">
        <v>271</v>
      </c>
      <c r="E58" s="315"/>
      <c r="F58" s="126"/>
      <c r="G58" s="126"/>
      <c r="H58" s="126"/>
      <c r="I58" s="126">
        <f t="shared" ref="I58:O58" si="23">I57/12*I55</f>
        <v>1333333.3333333333</v>
      </c>
      <c r="J58" s="126">
        <f t="shared" si="23"/>
        <v>2000000</v>
      </c>
      <c r="K58" s="126">
        <f t="shared" si="23"/>
        <v>2000000</v>
      </c>
      <c r="L58" s="126">
        <f t="shared" si="23"/>
        <v>666666.66666666663</v>
      </c>
      <c r="M58" s="126">
        <f t="shared" si="23"/>
        <v>0</v>
      </c>
      <c r="N58" s="126">
        <f t="shared" si="23"/>
        <v>0</v>
      </c>
      <c r="O58" s="126">
        <f t="shared" si="23"/>
        <v>0</v>
      </c>
    </row>
    <row r="59" spans="1:15" outlineLevel="1">
      <c r="A59" s="312"/>
      <c r="B59" s="319"/>
      <c r="C59" s="313"/>
      <c r="D59" s="314"/>
      <c r="E59" s="315"/>
      <c r="F59" s="126"/>
      <c r="G59" s="126"/>
      <c r="H59" s="126"/>
      <c r="I59" s="126"/>
      <c r="J59" s="126"/>
      <c r="K59" s="315"/>
      <c r="L59" s="315"/>
      <c r="M59" s="326"/>
      <c r="N59" s="326"/>
      <c r="O59" s="316"/>
    </row>
    <row r="60" spans="1:15" outlineLevel="1">
      <c r="A60" s="312" t="s">
        <v>265</v>
      </c>
      <c r="B60" s="320">
        <f>J38</f>
        <v>6000000</v>
      </c>
      <c r="C60" s="313"/>
      <c r="D60" s="314" t="s">
        <v>266</v>
      </c>
      <c r="E60" s="324">
        <f>SUM(F60:O60)</f>
        <v>24</v>
      </c>
      <c r="F60" s="124"/>
      <c r="G60" s="124"/>
      <c r="H60" s="124"/>
      <c r="I60" s="124"/>
      <c r="J60" s="124">
        <v>8</v>
      </c>
      <c r="K60" s="124">
        <v>12</v>
      </c>
      <c r="L60" s="124">
        <v>4</v>
      </c>
      <c r="M60" s="124">
        <v>0</v>
      </c>
      <c r="N60" s="124">
        <v>0</v>
      </c>
      <c r="O60" s="322">
        <v>0</v>
      </c>
    </row>
    <row r="61" spans="1:15" outlineLevel="1">
      <c r="A61" s="312" t="s">
        <v>270</v>
      </c>
      <c r="B61" s="530">
        <f>E60/12</f>
        <v>2</v>
      </c>
      <c r="C61" s="313"/>
      <c r="D61" s="314" t="s">
        <v>268</v>
      </c>
      <c r="E61" s="324">
        <f>E60-SUM(F60:O60)</f>
        <v>0</v>
      </c>
      <c r="F61" s="126"/>
      <c r="G61" s="126"/>
      <c r="H61" s="126"/>
      <c r="I61" s="126"/>
      <c r="J61" s="126"/>
      <c r="K61" s="315"/>
      <c r="L61" s="315"/>
      <c r="M61" s="315"/>
      <c r="N61" s="315"/>
      <c r="O61" s="316"/>
    </row>
    <row r="62" spans="1:15" outlineLevel="1">
      <c r="A62" s="312"/>
      <c r="B62" s="319"/>
      <c r="C62" s="313"/>
      <c r="D62" s="314" t="s">
        <v>269</v>
      </c>
      <c r="E62" s="315"/>
      <c r="F62" s="126"/>
      <c r="G62" s="126"/>
      <c r="H62" s="126"/>
      <c r="I62" s="126"/>
      <c r="J62" s="126">
        <f>IF(J60&lt;&gt;0,$I$38/($E$60/12),0)</f>
        <v>3000000</v>
      </c>
      <c r="K62" s="126">
        <f t="shared" ref="K62:L62" si="24">IF(K60&lt;&gt;0,$I$38/($E$60/12),0)</f>
        <v>3000000</v>
      </c>
      <c r="L62" s="126">
        <f t="shared" si="24"/>
        <v>3000000</v>
      </c>
      <c r="M62" s="126">
        <f t="shared" ref="M62:O62" si="25">IF(M60&lt;&gt;0,$J$38/$B$41,0)</f>
        <v>0</v>
      </c>
      <c r="N62" s="126">
        <f t="shared" si="25"/>
        <v>0</v>
      </c>
      <c r="O62" s="126">
        <f t="shared" si="25"/>
        <v>0</v>
      </c>
    </row>
    <row r="63" spans="1:15" outlineLevel="1">
      <c r="A63" s="312"/>
      <c r="B63" s="319"/>
      <c r="C63" s="313"/>
      <c r="D63" s="314" t="s">
        <v>271</v>
      </c>
      <c r="E63" s="315"/>
      <c r="F63" s="126"/>
      <c r="G63" s="126"/>
      <c r="H63" s="126"/>
      <c r="I63" s="126"/>
      <c r="J63" s="126">
        <f t="shared" ref="J63:O63" si="26">J62/12*J60</f>
        <v>2000000</v>
      </c>
      <c r="K63" s="126">
        <f t="shared" si="26"/>
        <v>3000000</v>
      </c>
      <c r="L63" s="126">
        <f t="shared" si="26"/>
        <v>1000000</v>
      </c>
      <c r="M63" s="126">
        <f t="shared" si="26"/>
        <v>0</v>
      </c>
      <c r="N63" s="126">
        <f t="shared" si="26"/>
        <v>0</v>
      </c>
      <c r="O63" s="126">
        <f t="shared" si="26"/>
        <v>0</v>
      </c>
    </row>
    <row r="64" spans="1:15" outlineLevel="1">
      <c r="A64" s="312"/>
      <c r="B64" s="319"/>
      <c r="C64" s="313"/>
      <c r="D64" s="314"/>
      <c r="E64" s="315"/>
      <c r="F64" s="126"/>
      <c r="G64" s="126"/>
      <c r="H64" s="126"/>
      <c r="I64" s="126"/>
      <c r="J64" s="126"/>
      <c r="K64" s="315"/>
      <c r="L64" s="315"/>
      <c r="M64" s="326"/>
      <c r="N64" s="326"/>
      <c r="O64" s="316"/>
    </row>
    <row r="65" spans="1:15" outlineLevel="1">
      <c r="A65" s="312" t="s">
        <v>265</v>
      </c>
      <c r="B65" s="320">
        <f>+K38</f>
        <v>0</v>
      </c>
      <c r="C65" s="313"/>
      <c r="D65" s="314" t="s">
        <v>266</v>
      </c>
      <c r="E65" s="324">
        <f>SUM(F65:O65)</f>
        <v>0</v>
      </c>
      <c r="F65" s="124"/>
      <c r="G65" s="124"/>
      <c r="H65" s="124"/>
      <c r="I65" s="124"/>
      <c r="J65" s="124"/>
      <c r="K65" s="321">
        <v>0</v>
      </c>
      <c r="L65" s="321">
        <v>0</v>
      </c>
      <c r="M65" s="321">
        <v>0</v>
      </c>
      <c r="N65" s="321">
        <v>0</v>
      </c>
      <c r="O65" s="321">
        <v>0</v>
      </c>
    </row>
    <row r="66" spans="1:15" outlineLevel="1">
      <c r="A66" s="312" t="s">
        <v>270</v>
      </c>
      <c r="B66" s="323"/>
      <c r="C66" s="313"/>
      <c r="D66" s="314" t="s">
        <v>268</v>
      </c>
      <c r="E66" s="324">
        <f>E65-SUM(F65:O65)</f>
        <v>0</v>
      </c>
      <c r="F66" s="126"/>
      <c r="G66" s="126"/>
      <c r="H66" s="126"/>
      <c r="I66" s="126"/>
      <c r="J66" s="126"/>
      <c r="K66" s="315"/>
      <c r="L66" s="315"/>
      <c r="M66" s="315"/>
      <c r="N66" s="315"/>
      <c r="O66" s="316"/>
    </row>
    <row r="67" spans="1:15" outlineLevel="1">
      <c r="A67" s="312"/>
      <c r="B67" s="319"/>
      <c r="C67" s="313"/>
      <c r="D67" s="314" t="s">
        <v>269</v>
      </c>
      <c r="E67" s="315"/>
      <c r="F67" s="126"/>
      <c r="G67" s="126"/>
      <c r="H67" s="126"/>
      <c r="I67" s="126"/>
      <c r="J67" s="126"/>
      <c r="K67" s="126">
        <f>IF(K65&lt;&gt;0,$K$38/$B$41,0)</f>
        <v>0</v>
      </c>
      <c r="L67" s="126">
        <f t="shared" ref="L67:O67" si="27">IF(L65&lt;&gt;0,$K$38/$B$41,0)</f>
        <v>0</v>
      </c>
      <c r="M67" s="126">
        <f t="shared" si="27"/>
        <v>0</v>
      </c>
      <c r="N67" s="126">
        <f t="shared" si="27"/>
        <v>0</v>
      </c>
      <c r="O67" s="126">
        <f t="shared" si="27"/>
        <v>0</v>
      </c>
    </row>
    <row r="68" spans="1:15" outlineLevel="1">
      <c r="A68" s="312"/>
      <c r="B68" s="319"/>
      <c r="C68" s="313"/>
      <c r="D68" s="314" t="s">
        <v>271</v>
      </c>
      <c r="E68" s="315"/>
      <c r="F68" s="126"/>
      <c r="G68" s="126"/>
      <c r="H68" s="126"/>
      <c r="I68" s="126"/>
      <c r="J68" s="126"/>
      <c r="K68" s="126">
        <f>K67/12*K65</f>
        <v>0</v>
      </c>
      <c r="L68" s="126">
        <f t="shared" ref="L68:O68" si="28">L67/12*L65</f>
        <v>0</v>
      </c>
      <c r="M68" s="126">
        <f t="shared" si="28"/>
        <v>0</v>
      </c>
      <c r="N68" s="126">
        <f t="shared" si="28"/>
        <v>0</v>
      </c>
      <c r="O68" s="126">
        <f t="shared" si="28"/>
        <v>0</v>
      </c>
    </row>
    <row r="69" spans="1:15" outlineLevel="1">
      <c r="A69" s="312"/>
      <c r="B69" s="319"/>
      <c r="C69" s="313"/>
      <c r="D69" s="314"/>
      <c r="E69" s="315"/>
      <c r="F69" s="126"/>
      <c r="G69" s="126"/>
      <c r="H69" s="126"/>
      <c r="I69" s="126"/>
      <c r="J69" s="126"/>
      <c r="K69" s="315"/>
      <c r="L69" s="315"/>
      <c r="M69" s="326"/>
      <c r="N69" s="326"/>
      <c r="O69" s="327"/>
    </row>
    <row r="70" spans="1:15" outlineLevel="1">
      <c r="A70" s="312" t="s">
        <v>265</v>
      </c>
      <c r="B70" s="320">
        <f>+L38</f>
        <v>0</v>
      </c>
      <c r="C70" s="313"/>
      <c r="D70" s="314" t="s">
        <v>266</v>
      </c>
      <c r="E70" s="324">
        <f>SUM(F70:O70)</f>
        <v>0</v>
      </c>
      <c r="F70" s="124"/>
      <c r="G70" s="124"/>
      <c r="H70" s="124"/>
      <c r="I70" s="124"/>
      <c r="J70" s="124"/>
      <c r="K70" s="321"/>
      <c r="L70" s="321">
        <v>0</v>
      </c>
      <c r="M70" s="321">
        <v>0</v>
      </c>
      <c r="N70" s="321">
        <v>0</v>
      </c>
      <c r="O70" s="322">
        <v>0</v>
      </c>
    </row>
    <row r="71" spans="1:15" outlineLevel="1">
      <c r="A71" s="312" t="s">
        <v>270</v>
      </c>
      <c r="B71" s="323"/>
      <c r="C71" s="313"/>
      <c r="D71" s="314" t="s">
        <v>268</v>
      </c>
      <c r="E71" s="324">
        <f>E70-SUM(F70:O70)</f>
        <v>0</v>
      </c>
      <c r="F71" s="126"/>
      <c r="G71" s="126"/>
      <c r="H71" s="126"/>
      <c r="I71" s="126"/>
      <c r="J71" s="126"/>
      <c r="K71" s="315"/>
      <c r="L71" s="315"/>
      <c r="M71" s="315"/>
      <c r="N71" s="315"/>
      <c r="O71" s="316"/>
    </row>
    <row r="72" spans="1:15" outlineLevel="1">
      <c r="A72" s="312"/>
      <c r="B72" s="319"/>
      <c r="C72" s="313"/>
      <c r="D72" s="314" t="s">
        <v>269</v>
      </c>
      <c r="E72" s="315"/>
      <c r="F72" s="126"/>
      <c r="G72" s="126"/>
      <c r="H72" s="126"/>
      <c r="I72" s="126"/>
      <c r="J72" s="126"/>
      <c r="K72" s="126"/>
      <c r="L72" s="126">
        <f>IF(L70&lt;&gt;0,$L$38/$B$41,0)</f>
        <v>0</v>
      </c>
      <c r="M72" s="126">
        <f>IF(M70&lt;&gt;0,$L$38/$B$41,0)</f>
        <v>0</v>
      </c>
      <c r="N72" s="126">
        <f>IF(N70&lt;&gt;0,$L$38/$B$41,0)</f>
        <v>0</v>
      </c>
      <c r="O72" s="325"/>
    </row>
    <row r="73" spans="1:15" outlineLevel="1">
      <c r="A73" s="312"/>
      <c r="B73" s="319"/>
      <c r="C73" s="313"/>
      <c r="D73" s="314" t="s">
        <v>271</v>
      </c>
      <c r="E73" s="315"/>
      <c r="F73" s="126"/>
      <c r="G73" s="126"/>
      <c r="H73" s="126"/>
      <c r="I73" s="126"/>
      <c r="J73" s="126"/>
      <c r="K73" s="126"/>
      <c r="L73" s="126">
        <f>L72/12*L70</f>
        <v>0</v>
      </c>
      <c r="M73" s="126">
        <f>M72/12*M70</f>
        <v>0</v>
      </c>
      <c r="N73" s="126">
        <f>N72/12*N70</f>
        <v>0</v>
      </c>
      <c r="O73" s="325"/>
    </row>
    <row r="74" spans="1:15" outlineLevel="1">
      <c r="A74" s="312"/>
      <c r="B74" s="319"/>
      <c r="C74" s="313"/>
      <c r="D74" s="314"/>
      <c r="E74" s="315"/>
      <c r="F74" s="126"/>
      <c r="G74" s="126"/>
      <c r="H74" s="126"/>
      <c r="I74" s="126"/>
      <c r="J74" s="126"/>
      <c r="K74" s="315"/>
      <c r="L74" s="315"/>
      <c r="M74" s="326"/>
      <c r="N74" s="326"/>
      <c r="O74" s="327"/>
    </row>
    <row r="75" spans="1:15" outlineLevel="1">
      <c r="A75" s="312" t="s">
        <v>265</v>
      </c>
      <c r="B75" s="320">
        <f>+M38</f>
        <v>0</v>
      </c>
      <c r="C75" s="313"/>
      <c r="D75" s="314" t="s">
        <v>266</v>
      </c>
      <c r="E75" s="315"/>
      <c r="F75" s="124"/>
      <c r="G75" s="124"/>
      <c r="H75" s="124"/>
      <c r="I75" s="124"/>
      <c r="J75" s="124"/>
      <c r="K75" s="321"/>
      <c r="L75" s="321"/>
      <c r="M75" s="321">
        <v>0</v>
      </c>
      <c r="N75" s="321">
        <v>0</v>
      </c>
      <c r="O75" s="322">
        <v>12</v>
      </c>
    </row>
    <row r="76" spans="1:15" outlineLevel="1">
      <c r="A76" s="312" t="s">
        <v>270</v>
      </c>
      <c r="B76" s="323"/>
      <c r="C76" s="313"/>
      <c r="D76" s="314" t="s">
        <v>268</v>
      </c>
      <c r="E76" s="324"/>
      <c r="F76" s="126"/>
      <c r="G76" s="126"/>
      <c r="H76" s="126"/>
      <c r="I76" s="126"/>
      <c r="J76" s="126"/>
      <c r="K76" s="315"/>
      <c r="L76" s="315"/>
      <c r="M76" s="315"/>
      <c r="N76" s="315"/>
      <c r="O76" s="316"/>
    </row>
    <row r="77" spans="1:15" outlineLevel="1">
      <c r="A77" s="312"/>
      <c r="B77" s="319"/>
      <c r="C77" s="313"/>
      <c r="D77" s="314" t="s">
        <v>269</v>
      </c>
      <c r="E77" s="315"/>
      <c r="F77" s="126"/>
      <c r="G77" s="126"/>
      <c r="H77" s="126"/>
      <c r="I77" s="126"/>
      <c r="J77" s="126"/>
      <c r="K77" s="126"/>
      <c r="L77" s="126"/>
      <c r="M77" s="126">
        <f>IF(M75&lt;&gt;0,$M$38/$B$41,0)</f>
        <v>0</v>
      </c>
      <c r="N77" s="126">
        <f>IF(N75&lt;&gt;0,$M$38/$B$41,0)</f>
        <v>0</v>
      </c>
      <c r="O77" s="325"/>
    </row>
    <row r="78" spans="1:15" outlineLevel="1">
      <c r="A78" s="312"/>
      <c r="B78" s="319"/>
      <c r="C78" s="313"/>
      <c r="D78" s="314" t="s">
        <v>271</v>
      </c>
      <c r="E78" s="315"/>
      <c r="F78" s="126"/>
      <c r="G78" s="126"/>
      <c r="H78" s="126"/>
      <c r="I78" s="126"/>
      <c r="J78" s="126"/>
      <c r="K78" s="126"/>
      <c r="L78" s="126"/>
      <c r="M78" s="126">
        <f>M77/12*M75</f>
        <v>0</v>
      </c>
      <c r="N78" s="126">
        <f>N77/12*N75</f>
        <v>0</v>
      </c>
      <c r="O78" s="325"/>
    </row>
    <row r="79" spans="1:15" outlineLevel="1">
      <c r="A79" s="312"/>
      <c r="B79" s="319"/>
      <c r="C79" s="313"/>
      <c r="D79" s="314"/>
      <c r="E79" s="315"/>
      <c r="F79" s="126"/>
      <c r="G79" s="126"/>
      <c r="H79" s="126"/>
      <c r="I79" s="126"/>
      <c r="J79" s="126"/>
      <c r="K79" s="315"/>
      <c r="L79" s="315"/>
      <c r="M79" s="326"/>
      <c r="N79" s="326"/>
      <c r="O79" s="327"/>
    </row>
    <row r="80" spans="1:15" outlineLevel="1">
      <c r="A80" s="312"/>
      <c r="B80" s="319"/>
      <c r="C80" s="313"/>
      <c r="D80" s="314"/>
      <c r="E80" s="315"/>
      <c r="F80" s="126"/>
      <c r="G80" s="126"/>
      <c r="H80" s="126"/>
      <c r="I80" s="126"/>
      <c r="J80" s="126"/>
      <c r="K80" s="315"/>
      <c r="L80" s="315"/>
      <c r="M80" s="315"/>
      <c r="N80" s="315"/>
      <c r="O80" s="316"/>
    </row>
    <row r="81" spans="1:15" outlineLevel="1">
      <c r="A81" s="312" t="s">
        <v>272</v>
      </c>
      <c r="B81" s="328">
        <f>B21</f>
        <v>9515</v>
      </c>
      <c r="C81" s="313"/>
      <c r="D81" s="314" t="s">
        <v>273</v>
      </c>
      <c r="E81" s="315"/>
      <c r="F81" s="126">
        <f>+F38</f>
        <v>14000000</v>
      </c>
      <c r="G81" s="126">
        <f>+F82+G38</f>
        <v>24444444.444444444</v>
      </c>
      <c r="H81" s="126">
        <f>+G82+H38</f>
        <v>25511111.111111112</v>
      </c>
      <c r="I81" s="126">
        <f t="shared" ref="I81:O81" si="29">+H82+I38</f>
        <v>25944444.444444444</v>
      </c>
      <c r="J81" s="126">
        <f t="shared" si="29"/>
        <v>24627777.777777776</v>
      </c>
      <c r="K81" s="126">
        <f t="shared" si="29"/>
        <v>14644444.444444442</v>
      </c>
      <c r="L81" s="126">
        <f t="shared" si="29"/>
        <v>3661111.1111111082</v>
      </c>
      <c r="M81" s="126">
        <f t="shared" si="29"/>
        <v>0</v>
      </c>
      <c r="N81" s="126">
        <f t="shared" si="29"/>
        <v>0</v>
      </c>
      <c r="O81" s="325">
        <f t="shared" si="29"/>
        <v>0</v>
      </c>
    </row>
    <row r="82" spans="1:15" outlineLevel="1">
      <c r="A82" s="312" t="s">
        <v>274</v>
      </c>
      <c r="B82" s="256">
        <f>+B81/10.764</f>
        <v>883.96506874767749</v>
      </c>
      <c r="C82" s="313"/>
      <c r="D82" s="314" t="s">
        <v>275</v>
      </c>
      <c r="E82" s="315"/>
      <c r="F82" s="126">
        <f t="shared" ref="F82:O82" si="30">F81-F87</f>
        <v>12444444.444444444</v>
      </c>
      <c r="G82" s="126">
        <f>G81-G87</f>
        <v>20511111.111111112</v>
      </c>
      <c r="H82" s="126">
        <f t="shared" si="30"/>
        <v>19944444.444444444</v>
      </c>
      <c r="I82" s="126">
        <f>I81-I87</f>
        <v>18627777.777777776</v>
      </c>
      <c r="J82" s="126">
        <f t="shared" si="30"/>
        <v>14644444.444444442</v>
      </c>
      <c r="K82" s="126">
        <f t="shared" si="30"/>
        <v>3661111.1111111082</v>
      </c>
      <c r="L82" s="126">
        <f t="shared" si="30"/>
        <v>0</v>
      </c>
      <c r="M82" s="126">
        <f t="shared" si="30"/>
        <v>0</v>
      </c>
      <c r="N82" s="126">
        <f t="shared" si="30"/>
        <v>0</v>
      </c>
      <c r="O82" s="325">
        <f t="shared" si="30"/>
        <v>0</v>
      </c>
    </row>
    <row r="83" spans="1:15" outlineLevel="1">
      <c r="A83" s="312" t="s">
        <v>276</v>
      </c>
      <c r="B83" s="448" t="str">
        <f>B23</f>
        <v>2026</v>
      </c>
      <c r="C83" s="313"/>
      <c r="D83" s="314" t="s">
        <v>277</v>
      </c>
      <c r="E83" s="315"/>
      <c r="F83" s="126">
        <f t="shared" ref="F83:O83" si="31">(F81+F82)/2</f>
        <v>13222222.222222222</v>
      </c>
      <c r="G83" s="126">
        <f t="shared" si="31"/>
        <v>22477777.777777776</v>
      </c>
      <c r="H83" s="126">
        <f t="shared" si="31"/>
        <v>22727777.777777776</v>
      </c>
      <c r="I83" s="126">
        <f t="shared" si="31"/>
        <v>22286111.111111112</v>
      </c>
      <c r="J83" s="126">
        <f t="shared" si="31"/>
        <v>19636111.111111108</v>
      </c>
      <c r="K83" s="326">
        <f t="shared" si="31"/>
        <v>9152777.7777777761</v>
      </c>
      <c r="L83" s="326">
        <f t="shared" si="31"/>
        <v>1830555.5555555541</v>
      </c>
      <c r="M83" s="326">
        <f t="shared" si="31"/>
        <v>0</v>
      </c>
      <c r="N83" s="326">
        <f t="shared" si="31"/>
        <v>0</v>
      </c>
      <c r="O83" s="327">
        <f t="shared" si="31"/>
        <v>0</v>
      </c>
    </row>
    <row r="84" spans="1:15" outlineLevel="1">
      <c r="A84" s="312"/>
      <c r="B84" s="319"/>
      <c r="C84" s="313"/>
      <c r="D84" s="314"/>
      <c r="E84" s="315"/>
      <c r="F84" s="126"/>
      <c r="G84" s="126"/>
      <c r="H84" s="126"/>
      <c r="I84" s="126"/>
      <c r="J84" s="126"/>
      <c r="K84" s="326"/>
      <c r="L84" s="326"/>
      <c r="M84" s="326"/>
      <c r="N84" s="326"/>
      <c r="O84" s="316"/>
    </row>
    <row r="85" spans="1:15" outlineLevel="1">
      <c r="A85" s="312"/>
      <c r="B85" s="319"/>
      <c r="C85" s="313"/>
      <c r="D85" s="314"/>
      <c r="E85" s="315"/>
      <c r="F85" s="126"/>
      <c r="G85" s="126"/>
      <c r="H85" s="126"/>
      <c r="I85" s="126"/>
      <c r="J85" s="126"/>
      <c r="K85" s="326"/>
      <c r="L85" s="326"/>
      <c r="M85" s="326"/>
      <c r="N85" s="326"/>
      <c r="O85" s="316"/>
    </row>
    <row r="86" spans="1:15" outlineLevel="1">
      <c r="A86" s="312"/>
      <c r="B86" s="319"/>
      <c r="C86" s="313"/>
      <c r="D86" s="314" t="s">
        <v>278</v>
      </c>
      <c r="E86" s="324">
        <f>SUM(F86:O86)</f>
        <v>7515665</v>
      </c>
      <c r="F86" s="126">
        <f>F83*$B$38/12*F40</f>
        <v>626733.33333333326</v>
      </c>
      <c r="G86" s="126">
        <f t="shared" ref="G86:M86" si="32">G83*$B$38/12*G40</f>
        <v>1598169.9999999998</v>
      </c>
      <c r="H86" s="126">
        <f t="shared" si="32"/>
        <v>1615944.9999999998</v>
      </c>
      <c r="I86" s="126">
        <f t="shared" si="32"/>
        <v>1584542.5</v>
      </c>
      <c r="J86" s="126">
        <f t="shared" si="32"/>
        <v>1396127.4999999998</v>
      </c>
      <c r="K86" s="126">
        <f t="shared" si="32"/>
        <v>650762.49999999988</v>
      </c>
      <c r="L86" s="126">
        <f t="shared" si="32"/>
        <v>43384.166666666628</v>
      </c>
      <c r="M86" s="126">
        <f t="shared" si="32"/>
        <v>0</v>
      </c>
      <c r="N86" s="126">
        <f>N83*$B$40/12*N7</f>
        <v>0</v>
      </c>
      <c r="O86" s="325"/>
    </row>
    <row r="87" spans="1:15" outlineLevel="1">
      <c r="A87" s="312" t="s">
        <v>279</v>
      </c>
      <c r="B87" s="260">
        <f>E90*E47</f>
        <v>0</v>
      </c>
      <c r="C87" s="313"/>
      <c r="D87" s="314" t="s">
        <v>280</v>
      </c>
      <c r="E87" s="324">
        <f>SUM(F87:O87)</f>
        <v>43000000.000000007</v>
      </c>
      <c r="F87" s="126">
        <f t="shared" ref="F87:O87" si="33">+F43+F48+F53+F58+F63+F68+F73+F78</f>
        <v>1555555.5555555557</v>
      </c>
      <c r="G87" s="126">
        <f t="shared" si="33"/>
        <v>3933333.3333333335</v>
      </c>
      <c r="H87" s="126">
        <f t="shared" si="33"/>
        <v>5566666.666666667</v>
      </c>
      <c r="I87" s="126">
        <f t="shared" si="33"/>
        <v>7316666.666666667</v>
      </c>
      <c r="J87" s="126">
        <f t="shared" si="33"/>
        <v>9983333.333333334</v>
      </c>
      <c r="K87" s="126">
        <f t="shared" si="33"/>
        <v>10983333.333333334</v>
      </c>
      <c r="L87" s="126">
        <f t="shared" si="33"/>
        <v>3661111.1111111115</v>
      </c>
      <c r="M87" s="126">
        <f t="shared" si="33"/>
        <v>0</v>
      </c>
      <c r="N87" s="126">
        <f t="shared" si="33"/>
        <v>0</v>
      </c>
      <c r="O87" s="126">
        <f t="shared" si="33"/>
        <v>0</v>
      </c>
    </row>
    <row r="88" spans="1:15" outlineLevel="1">
      <c r="A88" s="312"/>
      <c r="B88" s="319"/>
      <c r="C88" s="313"/>
      <c r="D88" s="314"/>
      <c r="E88" s="315"/>
      <c r="F88" s="126"/>
      <c r="G88" s="126"/>
      <c r="H88" s="126"/>
      <c r="I88" s="126"/>
      <c r="J88" s="126"/>
      <c r="K88" s="326"/>
      <c r="L88" s="326"/>
      <c r="M88" s="326"/>
      <c r="N88" s="326"/>
      <c r="O88" s="316"/>
    </row>
    <row r="89" spans="1:15" outlineLevel="1">
      <c r="A89" s="312" t="s">
        <v>281</v>
      </c>
      <c r="B89" s="329">
        <f>IFERROR(+E90/B81,0)</f>
        <v>73.736884743387648</v>
      </c>
      <c r="C89" s="313"/>
      <c r="D89" s="314"/>
      <c r="E89" s="315"/>
      <c r="F89" s="126">
        <f t="shared" ref="F89:O89" si="34">SUM(F86:F88)</f>
        <v>2182288.888888889</v>
      </c>
      <c r="G89" s="126">
        <f t="shared" si="34"/>
        <v>5531503.333333333</v>
      </c>
      <c r="H89" s="126">
        <f t="shared" si="34"/>
        <v>7182611.666666667</v>
      </c>
      <c r="I89" s="126">
        <f t="shared" si="34"/>
        <v>8901209.1666666679</v>
      </c>
      <c r="J89" s="126">
        <f t="shared" si="34"/>
        <v>11379460.833333334</v>
      </c>
      <c r="K89" s="126">
        <f t="shared" si="34"/>
        <v>11634095.833333334</v>
      </c>
      <c r="L89" s="126">
        <f t="shared" si="34"/>
        <v>3704495.277777778</v>
      </c>
      <c r="M89" s="126">
        <f t="shared" si="34"/>
        <v>0</v>
      </c>
      <c r="N89" s="126">
        <f t="shared" si="34"/>
        <v>0</v>
      </c>
      <c r="O89" s="325">
        <f t="shared" si="34"/>
        <v>0</v>
      </c>
    </row>
    <row r="90" spans="1:15" ht="13" outlineLevel="1" thickBot="1">
      <c r="A90" s="330" t="s">
        <v>282</v>
      </c>
      <c r="B90" s="331">
        <f>IFERROR(+E90/B82,0)</f>
        <v>793.70382737782461</v>
      </c>
      <c r="C90" s="332"/>
      <c r="D90" s="333" t="s">
        <v>283</v>
      </c>
      <c r="E90" s="269">
        <f>IFERROR(SUM(F86:O87)/E40,0)</f>
        <v>701606.45833333349</v>
      </c>
      <c r="F90" s="177"/>
      <c r="G90" s="177"/>
      <c r="H90" s="177"/>
      <c r="I90" s="177"/>
      <c r="J90" s="177"/>
      <c r="K90" s="334"/>
      <c r="L90" s="334"/>
      <c r="M90" s="334"/>
      <c r="N90" s="334"/>
      <c r="O90" s="335"/>
    </row>
    <row r="91" spans="1:15" ht="13" outlineLevel="1" thickBot="1">
      <c r="E91" s="359"/>
      <c r="F91" s="186"/>
      <c r="G91" s="186"/>
      <c r="H91" s="186"/>
      <c r="I91" s="186"/>
    </row>
    <row r="92" spans="1:15" ht="16" thickBot="1">
      <c r="A92" s="772"/>
      <c r="B92" s="773"/>
      <c r="C92" s="773"/>
      <c r="D92" s="773"/>
      <c r="E92" s="773"/>
      <c r="F92" s="773"/>
      <c r="G92" s="773"/>
      <c r="H92" s="773"/>
      <c r="I92" s="773"/>
      <c r="J92" s="773"/>
      <c r="K92" s="773"/>
      <c r="L92" s="773"/>
      <c r="M92" s="773"/>
      <c r="N92" s="773"/>
      <c r="O92" s="774"/>
    </row>
    <row r="93" spans="1:15">
      <c r="A93" s="178"/>
      <c r="B93" s="273"/>
      <c r="C93" s="179"/>
      <c r="D93" s="179"/>
      <c r="E93" s="179"/>
      <c r="F93" s="180"/>
      <c r="G93" s="180"/>
      <c r="H93" s="180"/>
      <c r="I93" s="180"/>
      <c r="J93" s="180"/>
      <c r="K93" s="181"/>
      <c r="L93" s="181"/>
      <c r="M93" s="179"/>
      <c r="N93" s="179"/>
      <c r="O93" s="254"/>
    </row>
    <row r="94" spans="1:15">
      <c r="A94" s="170"/>
      <c r="B94" s="124"/>
      <c r="C94" s="123"/>
      <c r="D94" s="123"/>
      <c r="E94" s="123"/>
      <c r="F94" s="126"/>
      <c r="G94" s="126"/>
      <c r="H94" s="126"/>
      <c r="I94" s="126"/>
      <c r="J94" s="126"/>
      <c r="K94" s="123"/>
      <c r="L94" s="123"/>
      <c r="M94" s="123"/>
      <c r="N94" s="123"/>
      <c r="O94" s="172"/>
    </row>
    <row r="95" spans="1:15">
      <c r="A95" s="170" t="s">
        <v>285</v>
      </c>
      <c r="B95" s="124">
        <f>F95+G95+H95+I95+J95+K95</f>
        <v>2500000</v>
      </c>
      <c r="C95" s="123"/>
      <c r="D95" s="267"/>
      <c r="E95" s="123"/>
      <c r="F95" s="126">
        <v>1500000</v>
      </c>
      <c r="G95" s="126">
        <v>200000</v>
      </c>
      <c r="H95" s="126">
        <v>200000</v>
      </c>
      <c r="I95" s="126">
        <v>200000</v>
      </c>
      <c r="J95" s="126">
        <v>200000</v>
      </c>
      <c r="K95" s="126">
        <v>200000</v>
      </c>
      <c r="L95" s="579"/>
      <c r="M95" s="579"/>
      <c r="N95" s="579"/>
      <c r="O95" s="580"/>
    </row>
    <row r="96" spans="1:15">
      <c r="A96" s="170" t="s">
        <v>498</v>
      </c>
      <c r="B96" s="129">
        <f>((B95/B21))/E3</f>
        <v>3.6492088515209904</v>
      </c>
      <c r="C96" s="123"/>
      <c r="D96" s="123"/>
      <c r="E96" s="123"/>
      <c r="F96" s="126"/>
      <c r="G96" s="126"/>
      <c r="H96" s="126"/>
      <c r="I96" s="126"/>
      <c r="J96" s="126"/>
      <c r="K96" s="123"/>
      <c r="L96" s="123"/>
      <c r="M96" s="123"/>
      <c r="N96" s="123"/>
      <c r="O96" s="172"/>
    </row>
    <row r="97" spans="1:15" ht="13" thickBot="1">
      <c r="A97" s="175" t="s">
        <v>499</v>
      </c>
      <c r="B97" s="270">
        <f>B96*10.764</f>
        <v>39.280084077771939</v>
      </c>
      <c r="C97" s="176"/>
      <c r="D97" s="176"/>
      <c r="E97" s="269"/>
      <c r="F97" s="177"/>
      <c r="G97" s="177"/>
      <c r="H97" s="177"/>
      <c r="I97" s="177"/>
      <c r="J97" s="177"/>
      <c r="K97" s="177"/>
      <c r="L97" s="177"/>
      <c r="M97" s="177"/>
      <c r="N97" s="177"/>
      <c r="O97" s="272"/>
    </row>
    <row r="98" spans="1:15">
      <c r="B98" s="359"/>
      <c r="F98" s="305"/>
      <c r="G98" s="305"/>
      <c r="H98" s="305"/>
      <c r="I98" s="305"/>
      <c r="J98" s="303"/>
    </row>
    <row r="99" spans="1:15" ht="13">
      <c r="B99" s="292"/>
      <c r="E99" s="363"/>
      <c r="F99" s="358"/>
      <c r="G99" s="358"/>
      <c r="H99" s="358"/>
      <c r="I99" s="358"/>
    </row>
    <row r="100" spans="1:15">
      <c r="B100" s="296"/>
      <c r="D100" s="369"/>
      <c r="F100" s="358"/>
      <c r="G100" s="358"/>
      <c r="H100" s="358"/>
      <c r="I100" s="358"/>
    </row>
    <row r="101" spans="1:15">
      <c r="B101" s="296"/>
    </row>
    <row r="102" spans="1:15">
      <c r="B102" s="366"/>
      <c r="E102" s="296"/>
    </row>
    <row r="103" spans="1:15">
      <c r="B103" s="366"/>
      <c r="E103" s="296"/>
      <c r="F103" s="305"/>
      <c r="G103" s="305"/>
      <c r="H103" s="305"/>
      <c r="I103" s="305"/>
      <c r="J103" s="305"/>
    </row>
    <row r="105" spans="1:15">
      <c r="B105" s="296"/>
      <c r="E105" s="296"/>
    </row>
    <row r="107" spans="1:15">
      <c r="B107" s="369"/>
    </row>
    <row r="108" spans="1:15">
      <c r="B108" s="366"/>
    </row>
  </sheetData>
  <mergeCells count="3">
    <mergeCell ref="A1:N1"/>
    <mergeCell ref="A35:O35"/>
    <mergeCell ref="A92:O92"/>
  </mergeCells>
  <pageMargins left="0.7" right="0.7" top="0.75" bottom="0.75" header="0.3" footer="0.3"/>
  <pageSetup paperSize="9" scale="72" orientation="landscape" r:id="rId1"/>
  <customProperties>
    <customPr name="_pios_id" r:id="rId2"/>
  </customProperties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topLeftCell="A7" workbookViewId="0">
      <selection activeCell="B16" sqref="B16"/>
    </sheetView>
  </sheetViews>
  <sheetFormatPr defaultColWidth="9.36328125" defaultRowHeight="12.5"/>
  <cols>
    <col min="1" max="1" width="25.54296875" style="185" bestFit="1" customWidth="1"/>
    <col min="2" max="2" width="21.453125" style="185" bestFit="1" customWidth="1"/>
    <col min="3" max="3" width="21.453125" style="185" customWidth="1"/>
    <col min="4" max="4" width="19.1796875" style="185" bestFit="1" customWidth="1"/>
    <col min="5" max="10" width="16" style="185" bestFit="1" customWidth="1"/>
    <col min="11" max="12" width="11.36328125" style="185" bestFit="1" customWidth="1"/>
    <col min="13" max="13" width="17" style="185" bestFit="1" customWidth="1"/>
    <col min="14" max="16384" width="9.36328125" style="185"/>
  </cols>
  <sheetData>
    <row r="2" spans="1:13" ht="13">
      <c r="C2" s="187"/>
    </row>
    <row r="5" spans="1:13">
      <c r="C5" s="189"/>
      <c r="M5" s="186"/>
    </row>
    <row r="7" spans="1:13">
      <c r="C7" s="186"/>
    </row>
    <row r="8" spans="1:13" ht="13">
      <c r="A8" s="609"/>
      <c r="B8" s="610" t="s">
        <v>36</v>
      </c>
      <c r="C8" s="611" t="s">
        <v>286</v>
      </c>
      <c r="D8" s="611" t="s">
        <v>287</v>
      </c>
    </row>
    <row r="9" spans="1:13">
      <c r="A9" s="286" t="s">
        <v>57</v>
      </c>
      <c r="B9" s="365">
        <v>0</v>
      </c>
      <c r="C9" s="365">
        <f>+B9*'Rent Calculation'!F29/12*33.5</f>
        <v>0</v>
      </c>
      <c r="D9" s="288"/>
      <c r="F9" s="367"/>
    </row>
    <row r="10" spans="1:13">
      <c r="A10" s="286" t="s">
        <v>288</v>
      </c>
      <c r="B10" s="365">
        <f>'Rent Calculation'!F68</f>
        <v>11418000</v>
      </c>
      <c r="C10" s="365">
        <f>+B10*'Rent Calculation'!F29/12*D10</f>
        <v>7193340</v>
      </c>
      <c r="D10" s="288">
        <f>'Rent Calculation'!F55</f>
        <v>72</v>
      </c>
      <c r="E10" s="367"/>
      <c r="F10" s="367"/>
    </row>
    <row r="11" spans="1:13">
      <c r="A11" s="286" t="s">
        <v>289</v>
      </c>
      <c r="B11" s="365">
        <f>'Rent Calculation'!F72</f>
        <v>0</v>
      </c>
      <c r="C11" s="365">
        <f>+B11*'Rent Calculation'!F29/12*D11</f>
        <v>0</v>
      </c>
      <c r="D11" s="288">
        <f>D10</f>
        <v>72</v>
      </c>
      <c r="E11" s="367"/>
      <c r="F11" s="294"/>
    </row>
    <row r="12" spans="1:13">
      <c r="A12" s="286" t="s">
        <v>470</v>
      </c>
      <c r="B12" s="365">
        <f>+'Rent Calculation'!F70</f>
        <v>500000</v>
      </c>
      <c r="C12" s="365">
        <f>+B12*'Rent Calculation'!F29*3</f>
        <v>157500</v>
      </c>
      <c r="D12" s="288"/>
      <c r="E12" s="367"/>
      <c r="F12" s="294"/>
    </row>
    <row r="13" spans="1:13" ht="13">
      <c r="A13" s="287" t="s">
        <v>29</v>
      </c>
      <c r="B13" s="290">
        <f>SUM(B9:B12)</f>
        <v>11918000</v>
      </c>
      <c r="C13" s="188">
        <f>SUM(C9:C12)</f>
        <v>7350840</v>
      </c>
      <c r="D13" s="295">
        <f>AVERAGE(D10:D12)</f>
        <v>72</v>
      </c>
      <c r="E13" s="367"/>
      <c r="F13" s="294"/>
    </row>
    <row r="14" spans="1:13">
      <c r="A14" s="197" t="s">
        <v>290</v>
      </c>
      <c r="B14" s="197">
        <f>'Rent Calculation'!F21</f>
        <v>9515</v>
      </c>
      <c r="C14" s="197"/>
      <c r="D14" s="289"/>
      <c r="E14" s="367"/>
      <c r="F14" s="294"/>
    </row>
    <row r="15" spans="1:13">
      <c r="A15" s="197" t="s">
        <v>291</v>
      </c>
      <c r="B15" s="390">
        <f>'Rent Calculation'!F29</f>
        <v>0.105</v>
      </c>
      <c r="C15" s="197"/>
      <c r="D15" s="289"/>
      <c r="E15" s="367"/>
      <c r="F15" s="294"/>
    </row>
    <row r="16" spans="1:13">
      <c r="A16" s="197" t="s">
        <v>292</v>
      </c>
      <c r="B16" s="197">
        <f>'Rent Calculation'!F55</f>
        <v>72</v>
      </c>
      <c r="C16" s="197"/>
      <c r="D16" s="289"/>
      <c r="E16" s="367"/>
      <c r="F16" s="294"/>
    </row>
    <row r="17" spans="1:8" ht="13">
      <c r="A17" s="287" t="s">
        <v>293</v>
      </c>
      <c r="B17" s="287"/>
      <c r="C17" s="291">
        <f>C13/(B14*B16)</f>
        <v>10.729900157645822</v>
      </c>
      <c r="D17" s="289"/>
    </row>
    <row r="20" spans="1:8">
      <c r="B20" s="368"/>
    </row>
    <row r="21" spans="1:8">
      <c r="A21" s="435" t="s">
        <v>325</v>
      </c>
      <c r="B21" s="435" t="s">
        <v>326</v>
      </c>
      <c r="C21" s="435" t="s">
        <v>327</v>
      </c>
      <c r="D21" s="434"/>
    </row>
    <row r="22" spans="1:8">
      <c r="A22" s="435" t="s">
        <v>328</v>
      </c>
      <c r="B22" s="366">
        <f>'Rent Calculation'!F21</f>
        <v>9515</v>
      </c>
      <c r="C22" s="573">
        <f>'Rent Calculation'!G21</f>
        <v>883.96506874767749</v>
      </c>
      <c r="D22" s="435" t="s">
        <v>329</v>
      </c>
      <c r="G22" s="528"/>
    </row>
    <row r="23" spans="1:8" ht="25">
      <c r="A23" s="436" t="s">
        <v>330</v>
      </c>
      <c r="B23" s="433">
        <f>IF(B22&lt;50000,82.6,62.72)</f>
        <v>82.6</v>
      </c>
      <c r="C23" s="439">
        <f>B23*10.764</f>
        <v>889.10639999999989</v>
      </c>
      <c r="D23" s="367">
        <f>B22*B23</f>
        <v>785939</v>
      </c>
      <c r="F23" s="368"/>
      <c r="G23" s="528"/>
      <c r="H23" s="368"/>
    </row>
    <row r="24" spans="1:8">
      <c r="A24" s="434"/>
      <c r="B24" s="434"/>
      <c r="C24" s="434"/>
      <c r="D24" s="437">
        <f>D23/B16</f>
        <v>10915.819444444445</v>
      </c>
      <c r="G24" s="528"/>
      <c r="H24" s="368"/>
    </row>
    <row r="25" spans="1:8" ht="13">
      <c r="A25" s="434"/>
      <c r="B25" s="434"/>
      <c r="C25" s="434"/>
      <c r="D25" s="438">
        <f>D24/B22</f>
        <v>1.1472222222222224</v>
      </c>
      <c r="G25" s="528"/>
      <c r="H25" s="368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15C2C-1781-4CCB-882A-131E0A82056E}">
  <sheetPr codeName="Sheet11"/>
  <dimension ref="A1:AE29"/>
  <sheetViews>
    <sheetView topLeftCell="A2" workbookViewId="0">
      <selection activeCell="B23" sqref="B23"/>
    </sheetView>
  </sheetViews>
  <sheetFormatPr defaultRowHeight="12.5"/>
  <cols>
    <col min="1" max="1" width="29.6328125" bestFit="1" customWidth="1"/>
    <col min="2" max="2" width="22.90625" bestFit="1" customWidth="1"/>
    <col min="3" max="5" width="13.08984375" bestFit="1" customWidth="1"/>
    <col min="6" max="10" width="14.08984375" bestFit="1" customWidth="1"/>
    <col min="11" max="11" width="15.08984375" bestFit="1" customWidth="1"/>
    <col min="12" max="21" width="14.08984375" bestFit="1" customWidth="1"/>
    <col min="22" max="25" width="10.453125" bestFit="1" customWidth="1"/>
    <col min="26" max="26" width="11.453125" bestFit="1" customWidth="1"/>
    <col min="27" max="30" width="10.453125" bestFit="1" customWidth="1"/>
    <col min="31" max="31" width="11.453125" bestFit="1" customWidth="1"/>
  </cols>
  <sheetData>
    <row r="1" spans="1:31">
      <c r="C1">
        <v>1768</v>
      </c>
    </row>
    <row r="2" spans="1:31" ht="13" thickBot="1">
      <c r="C2">
        <v>884</v>
      </c>
    </row>
    <row r="3" spans="1:31">
      <c r="A3" s="258"/>
      <c r="B3" s="775" t="s">
        <v>471</v>
      </c>
      <c r="C3" s="776"/>
      <c r="D3" s="776"/>
      <c r="E3" s="776"/>
      <c r="F3" s="777"/>
      <c r="G3" s="775" t="s">
        <v>471</v>
      </c>
      <c r="H3" s="776"/>
      <c r="I3" s="776"/>
      <c r="J3" s="776"/>
      <c r="K3" s="777"/>
      <c r="L3" s="775" t="s">
        <v>471</v>
      </c>
      <c r="M3" s="776"/>
      <c r="N3" s="776"/>
      <c r="O3" s="776"/>
      <c r="P3" s="777"/>
      <c r="Q3" s="775" t="s">
        <v>471</v>
      </c>
      <c r="R3" s="776"/>
      <c r="S3" s="776"/>
      <c r="T3" s="776"/>
      <c r="U3" s="777"/>
      <c r="V3" s="775" t="s">
        <v>471</v>
      </c>
      <c r="W3" s="776"/>
      <c r="X3" s="776"/>
      <c r="Y3" s="776"/>
      <c r="Z3" s="777"/>
      <c r="AA3" s="775" t="s">
        <v>471</v>
      </c>
      <c r="AB3" s="776"/>
      <c r="AC3" s="776"/>
      <c r="AD3" s="776"/>
      <c r="AE3" s="777"/>
    </row>
    <row r="4" spans="1:31" ht="13.25" customHeight="1">
      <c r="A4" s="258"/>
      <c r="B4" s="778" t="s">
        <v>472</v>
      </c>
      <c r="C4" s="779"/>
      <c r="D4" s="779"/>
      <c r="E4" s="779"/>
      <c r="F4" s="780"/>
      <c r="G4" s="778" t="s">
        <v>472</v>
      </c>
      <c r="H4" s="779"/>
      <c r="I4" s="779"/>
      <c r="J4" s="779"/>
      <c r="K4" s="780"/>
      <c r="L4" s="778" t="s">
        <v>472</v>
      </c>
      <c r="M4" s="779"/>
      <c r="N4" s="779"/>
      <c r="O4" s="779"/>
      <c r="P4" s="780"/>
      <c r="Q4" s="778" t="s">
        <v>472</v>
      </c>
      <c r="R4" s="779"/>
      <c r="S4" s="779"/>
      <c r="T4" s="779"/>
      <c r="U4" s="780"/>
      <c r="V4" s="778" t="s">
        <v>472</v>
      </c>
      <c r="W4" s="779"/>
      <c r="X4" s="779"/>
      <c r="Y4" s="779"/>
      <c r="Z4" s="780"/>
      <c r="AA4" s="778" t="s">
        <v>472</v>
      </c>
      <c r="AB4" s="779"/>
      <c r="AC4" s="779"/>
      <c r="AD4" s="779"/>
      <c r="AE4" s="781"/>
    </row>
    <row r="5" spans="1:31" ht="13">
      <c r="A5" s="450" t="s">
        <v>340</v>
      </c>
      <c r="B5" s="452" t="s">
        <v>362</v>
      </c>
      <c r="C5" s="188" t="s">
        <v>358</v>
      </c>
      <c r="D5" s="188" t="s">
        <v>359</v>
      </c>
      <c r="E5" s="188" t="s">
        <v>360</v>
      </c>
      <c r="F5" s="453" t="s">
        <v>361</v>
      </c>
      <c r="G5" s="458" t="s">
        <v>363</v>
      </c>
      <c r="H5" s="291" t="s">
        <v>364</v>
      </c>
      <c r="I5" s="291" t="s">
        <v>365</v>
      </c>
      <c r="J5" s="291" t="s">
        <v>366</v>
      </c>
      <c r="K5" s="459" t="s">
        <v>367</v>
      </c>
      <c r="L5" s="452" t="s">
        <v>368</v>
      </c>
      <c r="M5" s="188" t="s">
        <v>369</v>
      </c>
      <c r="N5" s="188" t="s">
        <v>370</v>
      </c>
      <c r="O5" s="188" t="s">
        <v>371</v>
      </c>
      <c r="P5" s="453" t="s">
        <v>372</v>
      </c>
      <c r="Q5" s="452" t="s">
        <v>373</v>
      </c>
      <c r="R5" s="188" t="s">
        <v>374</v>
      </c>
      <c r="S5" s="188" t="s">
        <v>375</v>
      </c>
      <c r="T5" s="188" t="s">
        <v>376</v>
      </c>
      <c r="U5" s="453" t="s">
        <v>377</v>
      </c>
      <c r="V5" s="452" t="s">
        <v>473</v>
      </c>
      <c r="W5" s="452" t="s">
        <v>473</v>
      </c>
      <c r="X5" s="452" t="s">
        <v>473</v>
      </c>
      <c r="Y5" s="452" t="s">
        <v>473</v>
      </c>
      <c r="Z5" s="452" t="s">
        <v>473</v>
      </c>
      <c r="AA5" s="452" t="s">
        <v>474</v>
      </c>
      <c r="AB5" s="452" t="str">
        <f>AA5</f>
        <v>Q1 FY31</v>
      </c>
      <c r="AC5" s="452" t="str">
        <f t="shared" ref="AC5:AE5" si="0">AB5</f>
        <v>Q1 FY31</v>
      </c>
      <c r="AD5" s="452" t="str">
        <f t="shared" si="0"/>
        <v>Q1 FY31</v>
      </c>
      <c r="AE5" s="452" t="str">
        <f t="shared" si="0"/>
        <v>Q1 FY31</v>
      </c>
    </row>
    <row r="6" spans="1:31">
      <c r="A6" s="258" t="s">
        <v>341</v>
      </c>
      <c r="B6" s="454">
        <f>336169.063125</f>
        <v>336169.06312499999</v>
      </c>
      <c r="C6" s="155">
        <f>336169.063125/$C$1*$C$2</f>
        <v>168084.53156249999</v>
      </c>
      <c r="D6" s="155">
        <f>336169.063125/$C$1*$C$2</f>
        <v>168084.53156249999</v>
      </c>
      <c r="E6" s="155">
        <f>336169.063125/$C$1*$C$2</f>
        <v>168084.53156249999</v>
      </c>
      <c r="F6" s="174">
        <f t="shared" ref="F6:F12" si="1">SUM(B6:E6)</f>
        <v>840422.65781249991</v>
      </c>
      <c r="G6" s="454">
        <v>352978</v>
      </c>
      <c r="H6" s="155">
        <v>352978</v>
      </c>
      <c r="I6" s="155">
        <v>352978</v>
      </c>
      <c r="J6" s="155">
        <v>352978</v>
      </c>
      <c r="K6" s="461">
        <f>SUM(G6:J6)</f>
        <v>1411912</v>
      </c>
      <c r="L6" s="454">
        <f>G6*1.05</f>
        <v>370626.9</v>
      </c>
      <c r="M6" s="454">
        <f t="shared" ref="M6:O6" si="2">H6*1.05</f>
        <v>370626.9</v>
      </c>
      <c r="N6" s="454">
        <f t="shared" si="2"/>
        <v>370626.9</v>
      </c>
      <c r="O6" s="454">
        <f t="shared" si="2"/>
        <v>370626.9</v>
      </c>
      <c r="P6" s="174">
        <f>SUM(L6:O6)</f>
        <v>1482507.6</v>
      </c>
      <c r="Q6" s="454">
        <f>L6*1.05</f>
        <v>389158.24500000005</v>
      </c>
      <c r="R6" s="454">
        <f t="shared" ref="R6:R12" si="3">M6*1.05</f>
        <v>389158.24500000005</v>
      </c>
      <c r="S6" s="454">
        <f t="shared" ref="S6:S12" si="4">N6*1.05</f>
        <v>389158.24500000005</v>
      </c>
      <c r="T6" s="454">
        <f t="shared" ref="T6:T12" si="5">O6*1.05</f>
        <v>389158.24500000005</v>
      </c>
      <c r="U6" s="174">
        <f>SUM(Q6:T6)</f>
        <v>1556632.9800000002</v>
      </c>
      <c r="V6" s="454">
        <f>Q6*1.05</f>
        <v>408616.15725000005</v>
      </c>
      <c r="W6" s="454">
        <f t="shared" ref="W6:W12" si="6">R6*1.05</f>
        <v>408616.15725000005</v>
      </c>
      <c r="X6" s="454">
        <f t="shared" ref="X6:X12" si="7">S6*1.05</f>
        <v>408616.15725000005</v>
      </c>
      <c r="Y6" s="454">
        <f t="shared" ref="Y6:Y12" si="8">T6*1.05</f>
        <v>408616.15725000005</v>
      </c>
      <c r="Z6" s="174">
        <f>SUM(V6:Y6)</f>
        <v>1634464.6290000002</v>
      </c>
      <c r="AA6" s="454">
        <f>V6*1.05</f>
        <v>429046.96511250007</v>
      </c>
      <c r="AB6" s="454">
        <f t="shared" ref="AB6:AB12" si="9">W6*1.05</f>
        <v>429046.96511250007</v>
      </c>
      <c r="AC6" s="454">
        <f t="shared" ref="AC6:AC12" si="10">X6*1.05</f>
        <v>429046.96511250007</v>
      </c>
      <c r="AD6" s="454">
        <f t="shared" ref="AD6:AD12" si="11">Y6*1.05</f>
        <v>429046.96511250007</v>
      </c>
      <c r="AE6" s="535">
        <f>SUM(AA6:AD6)</f>
        <v>1716187.8604500003</v>
      </c>
    </row>
    <row r="7" spans="1:31">
      <c r="A7" s="258" t="s">
        <v>342</v>
      </c>
      <c r="B7" s="454">
        <v>1378125</v>
      </c>
      <c r="C7" s="155">
        <f>1378125/$C$1*$C$2</f>
        <v>689062.5</v>
      </c>
      <c r="D7" s="155">
        <f>1378125/$C$1*$C$2</f>
        <v>689062.5</v>
      </c>
      <c r="E7" s="155">
        <f>1378125/$C$1*$C$2</f>
        <v>689062.5</v>
      </c>
      <c r="F7" s="174">
        <f t="shared" si="1"/>
        <v>3445312.5</v>
      </c>
      <c r="G7" s="454">
        <v>1447031</v>
      </c>
      <c r="H7" s="155">
        <v>1447031</v>
      </c>
      <c r="I7" s="155">
        <v>1447031</v>
      </c>
      <c r="J7" s="155">
        <v>1447031</v>
      </c>
      <c r="K7" s="461">
        <f t="shared" ref="K7:K12" si="12">SUM(G7:J7)</f>
        <v>5788124</v>
      </c>
      <c r="L7" s="454">
        <f t="shared" ref="L7:L12" si="13">G7*1.05</f>
        <v>1519382.55</v>
      </c>
      <c r="M7" s="454">
        <f t="shared" ref="M7:M12" si="14">H7*1.05</f>
        <v>1519382.55</v>
      </c>
      <c r="N7" s="454">
        <f t="shared" ref="N7:N12" si="15">I7*1.05</f>
        <v>1519382.55</v>
      </c>
      <c r="O7" s="454">
        <f t="shared" ref="O7:O12" si="16">J7*1.05</f>
        <v>1519382.55</v>
      </c>
      <c r="P7" s="174">
        <f t="shared" ref="P7:P20" si="17">SUM(L7:O7)</f>
        <v>6077530.2000000002</v>
      </c>
      <c r="Q7" s="454">
        <f t="shared" ref="Q7:Q12" si="18">L7*1.05</f>
        <v>1595351.6775000002</v>
      </c>
      <c r="R7" s="454">
        <f t="shared" si="3"/>
        <v>1595351.6775000002</v>
      </c>
      <c r="S7" s="454">
        <f t="shared" si="4"/>
        <v>1595351.6775000002</v>
      </c>
      <c r="T7" s="454">
        <f t="shared" si="5"/>
        <v>1595351.6775000002</v>
      </c>
      <c r="U7" s="174">
        <f t="shared" ref="U7:U12" si="19">SUM(Q7:T7)</f>
        <v>6381406.7100000009</v>
      </c>
      <c r="V7" s="454">
        <f t="shared" ref="V7:V12" si="20">Q7*1.05</f>
        <v>1675119.2613750002</v>
      </c>
      <c r="W7" s="454">
        <f t="shared" si="6"/>
        <v>1675119.2613750002</v>
      </c>
      <c r="X7" s="454">
        <f t="shared" si="7"/>
        <v>1675119.2613750002</v>
      </c>
      <c r="Y7" s="454">
        <f t="shared" si="8"/>
        <v>1675119.2613750002</v>
      </c>
      <c r="Z7" s="174">
        <f t="shared" ref="Z7:Z12" si="21">SUM(V7:Y7)</f>
        <v>6700477.0455000009</v>
      </c>
      <c r="AA7" s="454">
        <f t="shared" ref="AA7:AA12" si="22">V7*1.05</f>
        <v>1758875.2244437502</v>
      </c>
      <c r="AB7" s="454">
        <f t="shared" si="9"/>
        <v>1758875.2244437502</v>
      </c>
      <c r="AC7" s="454">
        <f t="shared" si="10"/>
        <v>1758875.2244437502</v>
      </c>
      <c r="AD7" s="454">
        <f t="shared" si="11"/>
        <v>1758875.2244437502</v>
      </c>
      <c r="AE7" s="174">
        <f t="shared" ref="AE7:AE12" si="23">SUM(AA7:AD7)</f>
        <v>7035500.8977750009</v>
      </c>
    </row>
    <row r="8" spans="1:31">
      <c r="A8" s="258" t="s">
        <v>343</v>
      </c>
      <c r="B8" s="454"/>
      <c r="C8" s="155"/>
      <c r="D8" s="155"/>
      <c r="E8" s="155"/>
      <c r="F8" s="174">
        <f t="shared" si="1"/>
        <v>0</v>
      </c>
      <c r="G8" s="460"/>
      <c r="H8" s="449"/>
      <c r="I8" s="449"/>
      <c r="J8" s="449"/>
      <c r="K8" s="461">
        <f t="shared" si="12"/>
        <v>0</v>
      </c>
      <c r="L8" s="454">
        <f t="shared" si="13"/>
        <v>0</v>
      </c>
      <c r="M8" s="454">
        <f t="shared" si="14"/>
        <v>0</v>
      </c>
      <c r="N8" s="454">
        <f t="shared" si="15"/>
        <v>0</v>
      </c>
      <c r="O8" s="454">
        <f t="shared" si="16"/>
        <v>0</v>
      </c>
      <c r="P8" s="174">
        <f t="shared" si="17"/>
        <v>0</v>
      </c>
      <c r="Q8" s="454">
        <f t="shared" si="18"/>
        <v>0</v>
      </c>
      <c r="R8" s="454">
        <f t="shared" si="3"/>
        <v>0</v>
      </c>
      <c r="S8" s="454">
        <f t="shared" si="4"/>
        <v>0</v>
      </c>
      <c r="T8" s="454">
        <f t="shared" si="5"/>
        <v>0</v>
      </c>
      <c r="U8" s="174">
        <f t="shared" si="19"/>
        <v>0</v>
      </c>
      <c r="V8" s="454">
        <f t="shared" si="20"/>
        <v>0</v>
      </c>
      <c r="W8" s="454">
        <f t="shared" si="6"/>
        <v>0</v>
      </c>
      <c r="X8" s="454">
        <f t="shared" si="7"/>
        <v>0</v>
      </c>
      <c r="Y8" s="454">
        <f t="shared" si="8"/>
        <v>0</v>
      </c>
      <c r="Z8" s="174">
        <f t="shared" si="21"/>
        <v>0</v>
      </c>
      <c r="AA8" s="454">
        <f t="shared" si="22"/>
        <v>0</v>
      </c>
      <c r="AB8" s="454">
        <f t="shared" si="9"/>
        <v>0</v>
      </c>
      <c r="AC8" s="454">
        <f t="shared" si="10"/>
        <v>0</v>
      </c>
      <c r="AD8" s="454">
        <f t="shared" si="11"/>
        <v>0</v>
      </c>
      <c r="AE8" s="174">
        <f t="shared" si="23"/>
        <v>0</v>
      </c>
    </row>
    <row r="9" spans="1:31">
      <c r="A9" s="258" t="s">
        <v>344</v>
      </c>
      <c r="B9" s="454"/>
      <c r="C9" s="155"/>
      <c r="D9" s="155"/>
      <c r="E9" s="155"/>
      <c r="F9" s="174">
        <f t="shared" si="1"/>
        <v>0</v>
      </c>
      <c r="G9" s="460"/>
      <c r="H9" s="449"/>
      <c r="I9" s="449"/>
      <c r="J9" s="449"/>
      <c r="K9" s="461">
        <f t="shared" si="12"/>
        <v>0</v>
      </c>
      <c r="L9" s="454">
        <f t="shared" si="13"/>
        <v>0</v>
      </c>
      <c r="M9" s="454">
        <f t="shared" si="14"/>
        <v>0</v>
      </c>
      <c r="N9" s="454">
        <f t="shared" si="15"/>
        <v>0</v>
      </c>
      <c r="O9" s="454">
        <f t="shared" si="16"/>
        <v>0</v>
      </c>
      <c r="P9" s="174">
        <f t="shared" si="17"/>
        <v>0</v>
      </c>
      <c r="Q9" s="454">
        <f t="shared" si="18"/>
        <v>0</v>
      </c>
      <c r="R9" s="454">
        <f t="shared" si="3"/>
        <v>0</v>
      </c>
      <c r="S9" s="454">
        <f t="shared" si="4"/>
        <v>0</v>
      </c>
      <c r="T9" s="454">
        <f t="shared" si="5"/>
        <v>0</v>
      </c>
      <c r="U9" s="174">
        <f t="shared" si="19"/>
        <v>0</v>
      </c>
      <c r="V9" s="454">
        <f t="shared" si="20"/>
        <v>0</v>
      </c>
      <c r="W9" s="454">
        <f t="shared" si="6"/>
        <v>0</v>
      </c>
      <c r="X9" s="454">
        <f t="shared" si="7"/>
        <v>0</v>
      </c>
      <c r="Y9" s="454">
        <f t="shared" si="8"/>
        <v>0</v>
      </c>
      <c r="Z9" s="174">
        <f t="shared" si="21"/>
        <v>0</v>
      </c>
      <c r="AA9" s="454">
        <f t="shared" si="22"/>
        <v>0</v>
      </c>
      <c r="AB9" s="454">
        <f t="shared" si="9"/>
        <v>0</v>
      </c>
      <c r="AC9" s="454">
        <f t="shared" si="10"/>
        <v>0</v>
      </c>
      <c r="AD9" s="454">
        <f t="shared" si="11"/>
        <v>0</v>
      </c>
      <c r="AE9" s="174">
        <f t="shared" si="23"/>
        <v>0</v>
      </c>
    </row>
    <row r="10" spans="1:31">
      <c r="A10" s="258" t="s">
        <v>345</v>
      </c>
      <c r="B10" s="454">
        <v>353137.640625</v>
      </c>
      <c r="C10" s="155">
        <f>353137.640625/$C$1*$C$2</f>
        <v>176568.8203125</v>
      </c>
      <c r="D10" s="155">
        <f>353137.640625/$C$1*$C$2</f>
        <v>176568.8203125</v>
      </c>
      <c r="E10" s="155">
        <f>353137.640625/$C$1*$C$2</f>
        <v>176568.8203125</v>
      </c>
      <c r="F10" s="174">
        <f t="shared" si="1"/>
        <v>882844.1015625</v>
      </c>
      <c r="G10" s="460">
        <v>370795</v>
      </c>
      <c r="H10" s="449">
        <v>370795</v>
      </c>
      <c r="I10" s="449">
        <v>370795</v>
      </c>
      <c r="J10" s="449">
        <v>370795</v>
      </c>
      <c r="K10" s="461">
        <f t="shared" si="12"/>
        <v>1483180</v>
      </c>
      <c r="L10" s="454">
        <f t="shared" si="13"/>
        <v>389334.75</v>
      </c>
      <c r="M10" s="454">
        <f t="shared" si="14"/>
        <v>389334.75</v>
      </c>
      <c r="N10" s="454">
        <f t="shared" si="15"/>
        <v>389334.75</v>
      </c>
      <c r="O10" s="454">
        <f t="shared" si="16"/>
        <v>389334.75</v>
      </c>
      <c r="P10" s="174">
        <f t="shared" si="17"/>
        <v>1557339</v>
      </c>
      <c r="Q10" s="454">
        <f t="shared" si="18"/>
        <v>408801.48749999999</v>
      </c>
      <c r="R10" s="454">
        <f t="shared" si="3"/>
        <v>408801.48749999999</v>
      </c>
      <c r="S10" s="454">
        <f t="shared" si="4"/>
        <v>408801.48749999999</v>
      </c>
      <c r="T10" s="454">
        <f t="shared" si="5"/>
        <v>408801.48749999999</v>
      </c>
      <c r="U10" s="174">
        <f t="shared" si="19"/>
        <v>1635205.95</v>
      </c>
      <c r="V10" s="454">
        <f t="shared" si="20"/>
        <v>429241.56187500001</v>
      </c>
      <c r="W10" s="454">
        <f t="shared" si="6"/>
        <v>429241.56187500001</v>
      </c>
      <c r="X10" s="454">
        <f t="shared" si="7"/>
        <v>429241.56187500001</v>
      </c>
      <c r="Y10" s="454">
        <f t="shared" si="8"/>
        <v>429241.56187500001</v>
      </c>
      <c r="Z10" s="174">
        <f t="shared" si="21"/>
        <v>1716966.2475000001</v>
      </c>
      <c r="AA10" s="454">
        <f t="shared" si="22"/>
        <v>450703.63996875001</v>
      </c>
      <c r="AB10" s="454">
        <f t="shared" si="9"/>
        <v>450703.63996875001</v>
      </c>
      <c r="AC10" s="454">
        <f t="shared" si="10"/>
        <v>450703.63996875001</v>
      </c>
      <c r="AD10" s="454">
        <f t="shared" si="11"/>
        <v>450703.63996875001</v>
      </c>
      <c r="AE10" s="174">
        <f t="shared" si="23"/>
        <v>1802814.559875</v>
      </c>
    </row>
    <row r="11" spans="1:31">
      <c r="A11" s="258" t="s">
        <v>346</v>
      </c>
      <c r="B11" s="454"/>
      <c r="C11" s="155"/>
      <c r="D11" s="155"/>
      <c r="E11" s="155"/>
      <c r="F11" s="174">
        <f t="shared" si="1"/>
        <v>0</v>
      </c>
      <c r="G11" s="460"/>
      <c r="H11" s="449"/>
      <c r="I11" s="449"/>
      <c r="J11" s="449"/>
      <c r="K11" s="461">
        <f t="shared" si="12"/>
        <v>0</v>
      </c>
      <c r="L11" s="454">
        <f t="shared" si="13"/>
        <v>0</v>
      </c>
      <c r="M11" s="454">
        <f t="shared" si="14"/>
        <v>0</v>
      </c>
      <c r="N11" s="454">
        <f t="shared" si="15"/>
        <v>0</v>
      </c>
      <c r="O11" s="454">
        <f t="shared" si="16"/>
        <v>0</v>
      </c>
      <c r="P11" s="174">
        <f t="shared" si="17"/>
        <v>0</v>
      </c>
      <c r="Q11" s="454">
        <f t="shared" si="18"/>
        <v>0</v>
      </c>
      <c r="R11" s="454">
        <f t="shared" si="3"/>
        <v>0</v>
      </c>
      <c r="S11" s="454">
        <f t="shared" si="4"/>
        <v>0</v>
      </c>
      <c r="T11" s="454">
        <f t="shared" si="5"/>
        <v>0</v>
      </c>
      <c r="U11" s="174">
        <f t="shared" si="19"/>
        <v>0</v>
      </c>
      <c r="V11" s="454">
        <f t="shared" si="20"/>
        <v>0</v>
      </c>
      <c r="W11" s="454">
        <f t="shared" si="6"/>
        <v>0</v>
      </c>
      <c r="X11" s="454">
        <f t="shared" si="7"/>
        <v>0</v>
      </c>
      <c r="Y11" s="454">
        <f t="shared" si="8"/>
        <v>0</v>
      </c>
      <c r="Z11" s="174">
        <f t="shared" si="21"/>
        <v>0</v>
      </c>
      <c r="AA11" s="454">
        <f t="shared" si="22"/>
        <v>0</v>
      </c>
      <c r="AB11" s="454">
        <f t="shared" si="9"/>
        <v>0</v>
      </c>
      <c r="AC11" s="454">
        <f t="shared" si="10"/>
        <v>0</v>
      </c>
      <c r="AD11" s="454">
        <f t="shared" si="11"/>
        <v>0</v>
      </c>
      <c r="AE11" s="174">
        <f t="shared" si="23"/>
        <v>0</v>
      </c>
    </row>
    <row r="12" spans="1:31">
      <c r="A12" s="258" t="s">
        <v>347</v>
      </c>
      <c r="B12" s="454">
        <v>17016.290559999998</v>
      </c>
      <c r="C12" s="155">
        <v>17016.290559999998</v>
      </c>
      <c r="D12" s="155">
        <v>17016.290559999998</v>
      </c>
      <c r="E12" s="155">
        <v>17016.290559999998</v>
      </c>
      <c r="F12" s="174">
        <f t="shared" si="1"/>
        <v>68065.162239999991</v>
      </c>
      <c r="G12" s="460">
        <v>18160</v>
      </c>
      <c r="H12" s="449">
        <v>18160</v>
      </c>
      <c r="I12" s="449">
        <v>18160</v>
      </c>
      <c r="J12" s="449">
        <v>18160</v>
      </c>
      <c r="K12" s="461">
        <f t="shared" si="12"/>
        <v>72640</v>
      </c>
      <c r="L12" s="454">
        <f t="shared" si="13"/>
        <v>19068</v>
      </c>
      <c r="M12" s="454">
        <f t="shared" si="14"/>
        <v>19068</v>
      </c>
      <c r="N12" s="454">
        <f t="shared" si="15"/>
        <v>19068</v>
      </c>
      <c r="O12" s="454">
        <f t="shared" si="16"/>
        <v>19068</v>
      </c>
      <c r="P12" s="174">
        <f t="shared" si="17"/>
        <v>76272</v>
      </c>
      <c r="Q12" s="454">
        <f t="shared" si="18"/>
        <v>20021.400000000001</v>
      </c>
      <c r="R12" s="454">
        <f t="shared" si="3"/>
        <v>20021.400000000001</v>
      </c>
      <c r="S12" s="454">
        <f t="shared" si="4"/>
        <v>20021.400000000001</v>
      </c>
      <c r="T12" s="454">
        <f t="shared" si="5"/>
        <v>20021.400000000001</v>
      </c>
      <c r="U12" s="174">
        <f t="shared" si="19"/>
        <v>80085.600000000006</v>
      </c>
      <c r="V12" s="454">
        <f t="shared" si="20"/>
        <v>21022.47</v>
      </c>
      <c r="W12" s="454">
        <f t="shared" si="6"/>
        <v>21022.47</v>
      </c>
      <c r="X12" s="454">
        <f t="shared" si="7"/>
        <v>21022.47</v>
      </c>
      <c r="Y12" s="454">
        <f t="shared" si="8"/>
        <v>21022.47</v>
      </c>
      <c r="Z12" s="174">
        <f t="shared" si="21"/>
        <v>84089.88</v>
      </c>
      <c r="AA12" s="454">
        <f t="shared" si="22"/>
        <v>22073.593500000003</v>
      </c>
      <c r="AB12" s="454">
        <f t="shared" si="9"/>
        <v>22073.593500000003</v>
      </c>
      <c r="AC12" s="454">
        <f t="shared" si="10"/>
        <v>22073.593500000003</v>
      </c>
      <c r="AD12" s="454">
        <f t="shared" si="11"/>
        <v>22073.593500000003</v>
      </c>
      <c r="AE12" s="174">
        <f t="shared" si="23"/>
        <v>88294.374000000011</v>
      </c>
    </row>
    <row r="13" spans="1:31">
      <c r="A13" s="258" t="s">
        <v>348</v>
      </c>
      <c r="B13" s="174">
        <f t="shared" ref="B13:P13" si="24">SUM(B6:B12)</f>
        <v>2084447.99431</v>
      </c>
      <c r="C13" s="174">
        <f t="shared" si="24"/>
        <v>1050732.142435</v>
      </c>
      <c r="D13" s="174">
        <f t="shared" si="24"/>
        <v>1050732.142435</v>
      </c>
      <c r="E13" s="174">
        <f t="shared" si="24"/>
        <v>1050732.142435</v>
      </c>
      <c r="F13" s="174">
        <f>SUM(F6:F12)</f>
        <v>5236644.4216150008</v>
      </c>
      <c r="G13" s="174">
        <f t="shared" si="24"/>
        <v>2188964</v>
      </c>
      <c r="H13" s="174">
        <f t="shared" si="24"/>
        <v>2188964</v>
      </c>
      <c r="I13" s="174">
        <f t="shared" si="24"/>
        <v>2188964</v>
      </c>
      <c r="J13" s="174">
        <f t="shared" si="24"/>
        <v>2188964</v>
      </c>
      <c r="K13" s="174">
        <f t="shared" si="24"/>
        <v>8755856</v>
      </c>
      <c r="L13" s="174">
        <f t="shared" si="24"/>
        <v>2298412.2000000002</v>
      </c>
      <c r="M13" s="174">
        <f t="shared" si="24"/>
        <v>2298412.2000000002</v>
      </c>
      <c r="N13" s="174">
        <f t="shared" si="24"/>
        <v>2298412.2000000002</v>
      </c>
      <c r="O13" s="174">
        <f t="shared" si="24"/>
        <v>2298412.2000000002</v>
      </c>
      <c r="P13" s="174">
        <f t="shared" si="24"/>
        <v>9193648.8000000007</v>
      </c>
      <c r="Q13" s="174">
        <f t="shared" ref="Q13:U13" si="25">SUM(Q6:Q12)</f>
        <v>2413332.81</v>
      </c>
      <c r="R13" s="174">
        <f t="shared" si="25"/>
        <v>2413332.81</v>
      </c>
      <c r="S13" s="174">
        <f t="shared" si="25"/>
        <v>2413332.81</v>
      </c>
      <c r="T13" s="174">
        <f t="shared" si="25"/>
        <v>2413332.81</v>
      </c>
      <c r="U13" s="174">
        <f t="shared" si="25"/>
        <v>9653331.2400000002</v>
      </c>
      <c r="V13" s="174">
        <f t="shared" ref="V13:Z13" si="26">SUM(V6:V12)</f>
        <v>2533999.4505000007</v>
      </c>
      <c r="W13" s="174">
        <f t="shared" si="26"/>
        <v>2533999.4505000007</v>
      </c>
      <c r="X13" s="174">
        <f t="shared" si="26"/>
        <v>2533999.4505000007</v>
      </c>
      <c r="Y13" s="174">
        <f t="shared" si="26"/>
        <v>2533999.4505000007</v>
      </c>
      <c r="Z13" s="174">
        <f t="shared" si="26"/>
        <v>10135997.802000003</v>
      </c>
      <c r="AA13" s="174">
        <f t="shared" ref="AA13:AE13" si="27">SUM(AA6:AA12)</f>
        <v>2660699.4230250004</v>
      </c>
      <c r="AB13" s="174">
        <f t="shared" si="27"/>
        <v>2660699.4230250004</v>
      </c>
      <c r="AC13" s="174">
        <f t="shared" si="27"/>
        <v>2660699.4230250004</v>
      </c>
      <c r="AD13" s="174">
        <f t="shared" si="27"/>
        <v>2660699.4230250004</v>
      </c>
      <c r="AE13" s="174">
        <f t="shared" si="27"/>
        <v>10642797.692100001</v>
      </c>
    </row>
    <row r="14" spans="1:31">
      <c r="A14" s="258" t="s">
        <v>349</v>
      </c>
      <c r="B14" s="454"/>
      <c r="C14" s="155"/>
      <c r="D14" s="155"/>
      <c r="E14" s="155"/>
      <c r="F14" s="174">
        <v>0</v>
      </c>
      <c r="G14" s="460"/>
      <c r="H14" s="449"/>
      <c r="I14" s="449"/>
      <c r="J14" s="449"/>
      <c r="K14" s="461">
        <v>0</v>
      </c>
      <c r="L14" s="454"/>
      <c r="M14" s="155"/>
      <c r="N14" s="155"/>
      <c r="O14" s="155"/>
      <c r="P14" s="174">
        <v>0</v>
      </c>
      <c r="Q14" s="454"/>
      <c r="R14" s="155"/>
      <c r="S14" s="155"/>
      <c r="T14" s="155"/>
      <c r="U14" s="174">
        <v>0</v>
      </c>
      <c r="V14" s="454"/>
      <c r="W14" s="155"/>
      <c r="X14" s="155"/>
      <c r="Y14" s="155"/>
      <c r="Z14" s="174">
        <v>0</v>
      </c>
      <c r="AA14" s="454"/>
      <c r="AB14" s="155"/>
      <c r="AC14" s="155"/>
      <c r="AD14" s="155"/>
      <c r="AE14" s="174">
        <v>0</v>
      </c>
    </row>
    <row r="15" spans="1:31">
      <c r="A15" s="258" t="s">
        <v>350</v>
      </c>
      <c r="B15" s="454"/>
      <c r="C15" s="155"/>
      <c r="D15" s="155"/>
      <c r="E15" s="155"/>
      <c r="F15" s="174">
        <v>0</v>
      </c>
      <c r="G15" s="460"/>
      <c r="H15" s="449"/>
      <c r="I15" s="449"/>
      <c r="J15" s="449"/>
      <c r="K15" s="461">
        <v>0</v>
      </c>
      <c r="L15" s="454"/>
      <c r="M15" s="155"/>
      <c r="N15" s="155"/>
      <c r="O15" s="155"/>
      <c r="P15" s="174">
        <v>0</v>
      </c>
      <c r="Q15" s="454"/>
      <c r="R15" s="155"/>
      <c r="S15" s="155"/>
      <c r="T15" s="155"/>
      <c r="U15" s="174">
        <v>0</v>
      </c>
      <c r="V15" s="454"/>
      <c r="W15" s="155"/>
      <c r="X15" s="155"/>
      <c r="Y15" s="155"/>
      <c r="Z15" s="174">
        <v>0</v>
      </c>
      <c r="AA15" s="454"/>
      <c r="AB15" s="155"/>
      <c r="AC15" s="155"/>
      <c r="AD15" s="155"/>
      <c r="AE15" s="174">
        <v>0</v>
      </c>
    </row>
    <row r="16" spans="1:31">
      <c r="A16" s="258" t="s">
        <v>351</v>
      </c>
      <c r="B16" s="454"/>
      <c r="C16" s="155"/>
      <c r="D16" s="155"/>
      <c r="E16" s="155"/>
      <c r="F16" s="174">
        <v>0</v>
      </c>
      <c r="G16" s="460"/>
      <c r="H16" s="449"/>
      <c r="I16" s="449"/>
      <c r="J16" s="449"/>
      <c r="K16" s="461">
        <v>0</v>
      </c>
      <c r="L16" s="454"/>
      <c r="M16" s="155"/>
      <c r="N16" s="155"/>
      <c r="O16" s="155"/>
      <c r="P16" s="174">
        <v>0</v>
      </c>
      <c r="Q16" s="454"/>
      <c r="R16" s="155"/>
      <c r="S16" s="155"/>
      <c r="T16" s="155"/>
      <c r="U16" s="174">
        <v>0</v>
      </c>
      <c r="V16" s="454"/>
      <c r="W16" s="155"/>
      <c r="X16" s="155"/>
      <c r="Y16" s="155"/>
      <c r="Z16" s="174">
        <v>0</v>
      </c>
      <c r="AA16" s="454"/>
      <c r="AB16" s="155"/>
      <c r="AC16" s="155"/>
      <c r="AD16" s="155"/>
      <c r="AE16" s="174">
        <v>0</v>
      </c>
    </row>
    <row r="17" spans="1:31">
      <c r="A17" s="258" t="s">
        <v>352</v>
      </c>
      <c r="B17" s="454"/>
      <c r="C17" s="155"/>
      <c r="D17" s="155"/>
      <c r="E17" s="155"/>
      <c r="F17" s="174">
        <v>0</v>
      </c>
      <c r="G17" s="460"/>
      <c r="H17" s="449"/>
      <c r="I17" s="449"/>
      <c r="J17" s="449"/>
      <c r="K17" s="461">
        <v>0</v>
      </c>
      <c r="L17" s="454"/>
      <c r="M17" s="155"/>
      <c r="N17" s="155"/>
      <c r="O17" s="155"/>
      <c r="P17" s="174">
        <v>0</v>
      </c>
      <c r="Q17" s="454"/>
      <c r="R17" s="155"/>
      <c r="S17" s="155"/>
      <c r="T17" s="155"/>
      <c r="U17" s="174">
        <v>0</v>
      </c>
      <c r="V17" s="454"/>
      <c r="W17" s="155"/>
      <c r="X17" s="155"/>
      <c r="Y17" s="155"/>
      <c r="Z17" s="174">
        <v>0</v>
      </c>
      <c r="AA17" s="454"/>
      <c r="AB17" s="155"/>
      <c r="AC17" s="155"/>
      <c r="AD17" s="155"/>
      <c r="AE17" s="174">
        <v>0</v>
      </c>
    </row>
    <row r="18" spans="1:31">
      <c r="A18" s="258" t="s">
        <v>353</v>
      </c>
      <c r="B18" s="454"/>
      <c r="C18" s="155"/>
      <c r="D18" s="155"/>
      <c r="E18" s="155"/>
      <c r="F18" s="174">
        <v>0</v>
      </c>
      <c r="G18" s="460"/>
      <c r="H18" s="449"/>
      <c r="I18" s="449"/>
      <c r="J18" s="449"/>
      <c r="K18" s="461">
        <v>0</v>
      </c>
      <c r="L18" s="454"/>
      <c r="M18" s="155"/>
      <c r="N18" s="155"/>
      <c r="O18" s="155"/>
      <c r="P18" s="174">
        <v>0</v>
      </c>
      <c r="Q18" s="454"/>
      <c r="R18" s="155"/>
      <c r="S18" s="155"/>
      <c r="T18" s="155"/>
      <c r="U18" s="174">
        <v>0</v>
      </c>
      <c r="V18" s="454"/>
      <c r="W18" s="155"/>
      <c r="X18" s="155"/>
      <c r="Y18" s="155"/>
      <c r="Z18" s="174">
        <v>0</v>
      </c>
      <c r="AA18" s="454"/>
      <c r="AB18" s="155"/>
      <c r="AC18" s="155"/>
      <c r="AD18" s="155"/>
      <c r="AE18" s="174">
        <v>0</v>
      </c>
    </row>
    <row r="19" spans="1:31">
      <c r="A19" s="258" t="s">
        <v>354</v>
      </c>
      <c r="B19" s="454">
        <v>0</v>
      </c>
      <c r="C19" s="155">
        <v>0</v>
      </c>
      <c r="D19" s="155">
        <v>0</v>
      </c>
      <c r="E19" s="155">
        <v>0</v>
      </c>
      <c r="F19" s="174">
        <v>0</v>
      </c>
      <c r="G19" s="460">
        <v>0</v>
      </c>
      <c r="H19" s="449">
        <v>0</v>
      </c>
      <c r="I19" s="449">
        <v>0</v>
      </c>
      <c r="J19" s="449">
        <v>0</v>
      </c>
      <c r="K19" s="461">
        <v>0</v>
      </c>
      <c r="L19" s="454">
        <v>0</v>
      </c>
      <c r="M19" s="155">
        <v>0</v>
      </c>
      <c r="N19" s="155">
        <v>0</v>
      </c>
      <c r="O19" s="155">
        <v>0</v>
      </c>
      <c r="P19" s="174">
        <v>0</v>
      </c>
      <c r="Q19" s="454">
        <v>0</v>
      </c>
      <c r="R19" s="155">
        <v>0</v>
      </c>
      <c r="S19" s="155">
        <v>0</v>
      </c>
      <c r="T19" s="155">
        <v>0</v>
      </c>
      <c r="U19" s="174">
        <v>0</v>
      </c>
      <c r="V19" s="454">
        <v>0</v>
      </c>
      <c r="W19" s="155">
        <v>0</v>
      </c>
      <c r="X19" s="155">
        <v>0</v>
      </c>
      <c r="Y19" s="155">
        <v>0</v>
      </c>
      <c r="Z19" s="174">
        <v>0</v>
      </c>
      <c r="AA19" s="454">
        <v>0</v>
      </c>
      <c r="AB19" s="155">
        <v>0</v>
      </c>
      <c r="AC19" s="155">
        <v>0</v>
      </c>
      <c r="AD19" s="155">
        <v>0</v>
      </c>
      <c r="AE19" s="174">
        <v>0</v>
      </c>
    </row>
    <row r="20" spans="1:31">
      <c r="A20" s="258" t="s">
        <v>355</v>
      </c>
      <c r="B20" s="454">
        <v>50000</v>
      </c>
      <c r="C20" s="155">
        <v>50000</v>
      </c>
      <c r="D20" s="155">
        <v>50000</v>
      </c>
      <c r="E20" s="155">
        <v>50000</v>
      </c>
      <c r="F20" s="174">
        <f>SUM(B20:E20)</f>
        <v>200000</v>
      </c>
      <c r="G20" s="454">
        <v>50000</v>
      </c>
      <c r="H20" s="155">
        <v>50000</v>
      </c>
      <c r="I20" s="155">
        <v>50000</v>
      </c>
      <c r="J20" s="155">
        <v>50000</v>
      </c>
      <c r="K20" s="461">
        <f t="shared" ref="K20" si="28">SUM(G20:J20)</f>
        <v>200000</v>
      </c>
      <c r="L20" s="454">
        <v>50000</v>
      </c>
      <c r="M20" s="155">
        <v>50000</v>
      </c>
      <c r="N20" s="155">
        <v>50000</v>
      </c>
      <c r="O20" s="155">
        <v>50000</v>
      </c>
      <c r="P20" s="174">
        <f t="shared" si="17"/>
        <v>200000</v>
      </c>
      <c r="Q20" s="454">
        <v>50000</v>
      </c>
      <c r="R20" s="155">
        <v>50000</v>
      </c>
      <c r="S20" s="155">
        <v>50000</v>
      </c>
      <c r="T20" s="155">
        <v>50000</v>
      </c>
      <c r="U20" s="174">
        <f t="shared" ref="U20" si="29">SUM(Q20:T20)</f>
        <v>200000</v>
      </c>
      <c r="V20" s="454">
        <v>50000</v>
      </c>
      <c r="W20" s="155">
        <v>50000</v>
      </c>
      <c r="X20" s="155">
        <v>50000</v>
      </c>
      <c r="Y20" s="155">
        <v>50000</v>
      </c>
      <c r="Z20" s="174">
        <f t="shared" ref="Z20" si="30">SUM(V20:Y20)</f>
        <v>200000</v>
      </c>
      <c r="AA20" s="454">
        <v>50000</v>
      </c>
      <c r="AB20" s="155">
        <v>50000</v>
      </c>
      <c r="AC20" s="155">
        <v>50000</v>
      </c>
      <c r="AD20" s="155">
        <v>50000</v>
      </c>
      <c r="AE20" s="174">
        <f t="shared" ref="AE20" si="31">SUM(AA20:AD20)</f>
        <v>200000</v>
      </c>
    </row>
    <row r="21" spans="1:31">
      <c r="A21" s="258" t="s">
        <v>356</v>
      </c>
      <c r="B21" s="454"/>
      <c r="C21" s="155"/>
      <c r="D21" s="155"/>
      <c r="E21" s="155"/>
      <c r="F21" s="174"/>
      <c r="G21" s="460"/>
      <c r="H21" s="449"/>
      <c r="I21" s="449"/>
      <c r="J21" s="449"/>
      <c r="K21" s="461"/>
      <c r="L21" s="454"/>
      <c r="M21" s="155"/>
      <c r="N21" s="155"/>
      <c r="O21" s="155"/>
      <c r="P21" s="174"/>
      <c r="Q21" s="454"/>
      <c r="R21" s="155"/>
      <c r="S21" s="155"/>
      <c r="T21" s="155"/>
      <c r="U21" s="174"/>
      <c r="V21" s="454"/>
      <c r="W21" s="155"/>
      <c r="X21" s="155"/>
      <c r="Y21" s="155"/>
      <c r="Z21" s="174"/>
      <c r="AA21" s="454"/>
      <c r="AB21" s="155"/>
      <c r="AC21" s="155"/>
      <c r="AD21" s="155"/>
      <c r="AE21" s="174"/>
    </row>
    <row r="22" spans="1:31" ht="13" thickBot="1">
      <c r="A22" s="258" t="s">
        <v>357</v>
      </c>
      <c r="B22" s="455"/>
      <c r="C22" s="456"/>
      <c r="D22" s="456"/>
      <c r="E22" s="456"/>
      <c r="F22" s="457"/>
      <c r="G22" s="462"/>
      <c r="H22" s="463"/>
      <c r="I22" s="463"/>
      <c r="J22" s="463"/>
      <c r="K22" s="464"/>
      <c r="L22" s="455"/>
      <c r="M22" s="456"/>
      <c r="N22" s="456"/>
      <c r="O22" s="456"/>
      <c r="P22" s="457"/>
      <c r="Q22" s="455"/>
      <c r="R22" s="456"/>
      <c r="S22" s="456"/>
      <c r="T22" s="456"/>
      <c r="U22" s="457"/>
      <c r="V22" s="455"/>
      <c r="W22" s="456"/>
      <c r="X22" s="456"/>
      <c r="Y22" s="456"/>
      <c r="Z22" s="457"/>
      <c r="AA22" s="455"/>
      <c r="AB22" s="456"/>
      <c r="AC22" s="456"/>
      <c r="AD22" s="456"/>
      <c r="AE22" s="457"/>
    </row>
    <row r="23" spans="1:31">
      <c r="B23">
        <v>1</v>
      </c>
      <c r="C23">
        <v>12</v>
      </c>
      <c r="D23">
        <v>12</v>
      </c>
      <c r="E23">
        <v>12</v>
      </c>
      <c r="F23">
        <v>12</v>
      </c>
      <c r="G23">
        <v>12</v>
      </c>
      <c r="L23" s="451"/>
      <c r="M23" s="451"/>
      <c r="N23" s="451"/>
      <c r="O23" s="451"/>
      <c r="P23" s="451"/>
      <c r="Q23" s="451"/>
      <c r="R23" s="451"/>
      <c r="S23" s="451"/>
      <c r="T23" s="451"/>
      <c r="U23" s="451"/>
    </row>
    <row r="24" spans="1:31">
      <c r="A24" s="465" t="s">
        <v>317</v>
      </c>
      <c r="B24" s="451">
        <f>'Rent Calculation'!G21</f>
        <v>883.96506874767749</v>
      </c>
      <c r="G24" s="303"/>
      <c r="L24" s="451"/>
      <c r="M24" s="451"/>
      <c r="N24" s="451"/>
      <c r="O24" s="451"/>
      <c r="P24" s="451"/>
      <c r="Q24" s="451"/>
      <c r="R24" s="451"/>
      <c r="S24" s="451"/>
      <c r="T24" s="451"/>
      <c r="U24" s="451"/>
    </row>
    <row r="25" spans="1:31">
      <c r="A25" s="465" t="s">
        <v>230</v>
      </c>
      <c r="B25">
        <v>2026</v>
      </c>
      <c r="C25">
        <v>2027</v>
      </c>
      <c r="D25">
        <v>2028</v>
      </c>
      <c r="E25">
        <v>2029</v>
      </c>
      <c r="F25">
        <f>E25+1</f>
        <v>2030</v>
      </c>
      <c r="G25">
        <f>F25+1</f>
        <v>2031</v>
      </c>
      <c r="H25" t="s">
        <v>378</v>
      </c>
      <c r="L25" s="451"/>
      <c r="M25" s="451"/>
      <c r="N25" s="451"/>
      <c r="O25" s="451"/>
      <c r="P25" s="451"/>
      <c r="Q25" s="451"/>
      <c r="R25" s="451"/>
      <c r="S25" s="451"/>
      <c r="T25" s="451"/>
      <c r="U25" s="451"/>
    </row>
    <row r="26" spans="1:31">
      <c r="A26" s="465" t="s">
        <v>204</v>
      </c>
      <c r="B26" s="451">
        <f>F13/12*B23</f>
        <v>436387.03513458342</v>
      </c>
      <c r="C26" s="451">
        <f>K13</f>
        <v>8755856</v>
      </c>
      <c r="D26" s="451">
        <f>P13</f>
        <v>9193648.8000000007</v>
      </c>
      <c r="E26" s="451">
        <f>U13</f>
        <v>9653331.2400000002</v>
      </c>
      <c r="F26" s="466">
        <f>Z13</f>
        <v>10135997.802000003</v>
      </c>
      <c r="G26" s="466">
        <f>AE13</f>
        <v>10642797.692100001</v>
      </c>
      <c r="H26" s="466">
        <f>SUM(B26:G26)</f>
        <v>48818018.569234587</v>
      </c>
      <c r="L26" s="451"/>
      <c r="M26" s="451"/>
      <c r="N26" s="451"/>
      <c r="O26" s="451"/>
      <c r="P26" s="451"/>
      <c r="Q26" s="451"/>
      <c r="R26" s="451"/>
      <c r="S26" s="451"/>
      <c r="T26" s="451"/>
      <c r="U26" s="451"/>
    </row>
    <row r="27" spans="1:31">
      <c r="A27" s="465" t="s">
        <v>379</v>
      </c>
      <c r="B27" s="186">
        <f>B26/12/$B$24</f>
        <v>41.139166633286528</v>
      </c>
      <c r="C27" s="186">
        <f t="shared" ref="C27:G27" si="32">C26/12/$B$24</f>
        <v>825.43382364687329</v>
      </c>
      <c r="D27" s="186">
        <f t="shared" si="32"/>
        <v>866.70551482921701</v>
      </c>
      <c r="E27" s="186">
        <f t="shared" si="32"/>
        <v>910.04079057067781</v>
      </c>
      <c r="F27" s="186">
        <f t="shared" si="32"/>
        <v>955.54283009921198</v>
      </c>
      <c r="G27" s="186">
        <f t="shared" si="32"/>
        <v>1003.3199716041725</v>
      </c>
      <c r="H27" s="466">
        <f>H26/72/B24</f>
        <v>767.0303495639065</v>
      </c>
    </row>
    <row r="28" spans="1:31">
      <c r="A28" s="465" t="s">
        <v>380</v>
      </c>
      <c r="H28">
        <v>700</v>
      </c>
    </row>
    <row r="29" spans="1:31">
      <c r="A29" s="465"/>
    </row>
  </sheetData>
  <mergeCells count="12">
    <mergeCell ref="V3:Z3"/>
    <mergeCell ref="V4:Z4"/>
    <mergeCell ref="AA3:AE3"/>
    <mergeCell ref="AA4:AE4"/>
    <mergeCell ref="Q3:U3"/>
    <mergeCell ref="Q4:U4"/>
    <mergeCell ref="B3:F3"/>
    <mergeCell ref="B4:F4"/>
    <mergeCell ref="G3:K3"/>
    <mergeCell ref="G4:K4"/>
    <mergeCell ref="L3:P3"/>
    <mergeCell ref="L4:P4"/>
  </mergeCells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3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Summary</vt:lpstr>
      <vt:lpstr>Main</vt:lpstr>
      <vt:lpstr>Rent Calculation</vt:lpstr>
      <vt:lpstr>Lease Size</vt:lpstr>
      <vt:lpstr>FOREX</vt:lpstr>
      <vt:lpstr>ROU_WORKING</vt:lpstr>
      <vt:lpstr>FY wise Rental</vt:lpstr>
      <vt:lpstr>Lease Rent</vt:lpstr>
      <vt:lpstr>LARS working</vt:lpstr>
      <vt:lpstr>CAPEX and PM</vt:lpstr>
      <vt:lpstr>Security Deposit</vt:lpstr>
      <vt:lpstr>Opex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Pathak, Bibhas Kumar (SRE IWS SBT GVT)</cp:lastModifiedBy>
  <cp:revision/>
  <dcterms:created xsi:type="dcterms:W3CDTF">2015-09-30T07:11:28Z</dcterms:created>
  <dcterms:modified xsi:type="dcterms:W3CDTF">2026-06-03T18:29:26Z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