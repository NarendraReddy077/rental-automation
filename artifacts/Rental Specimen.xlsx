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4C41BAEE-2128-46AE-ABAD-7D42AA97368E}" xr6:coauthVersionLast="47" xr6:coauthVersionMax="47" xr10:uidLastSave="{00000000-0000-0000-0000-000000000000}"/>
  <bookViews>
    <workbookView xWindow="28680" yWindow="-120" windowWidth="29040" windowHeight="1572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2" l="1"/>
  <c r="F32" i="2"/>
  <c r="O87" i="3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 s="1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 s="1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<sst xmlns="http://schemas.openxmlformats.org/spreadsheetml/2006/main" count="562" uniqueCount="333">
  <si>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</si>
  <si>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</si>
  <si>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</si>
  <si>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</si>
  <si>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</si>
  <si>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</si>
  <si>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</si>
  <si>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</si>
  <si>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</si>
  <si>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</si>
  <si>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</si>
  <si>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</si>
  <si>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</si>
  <si>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</si>
  <si>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</si>
  <si>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</si>
  <si>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</si>
  <si>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</si>
  <si>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</si>
  <si>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</si>
  <si>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</si>
  <si>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</si>
  <si>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</si>
  <si>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</si>
  <si>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</si>
  <si>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</si>
  <si>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</si>
  <si>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</si>
  <si>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</si>
  <si>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</si>
  <si>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</si>
  <si>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</si>
  <si>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</si>
  <si>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</si>
  <si>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</si>
  <si>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</si>
  <si>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</si>
  <si>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</si>
  <si>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</si>
  <si>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</si>
  <si>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</si>
  <si>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</si>
  <si>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</si>
  <si>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</si>
  <si>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</si>
  <si>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</si>
  <si>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</si>
  <si>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</si>
  <si>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</si>
  <si>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</si>
  <si>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</si>
  <si>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</si>
  <si>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</si>
  <si>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</si>
  <si>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</si>
  <si>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</si>
  <si>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</si>
  <si>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</si>
  <si>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</si>
  <si>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</si>
  <si>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</si>
  <si>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</si>
  <si>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</si>
  <si>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</si>
  <si>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</si>
  <si>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</si>
  <si>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</si>
  <si>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</si>
  <si>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</si>
  <si>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</si>
  <si>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</si>
  <si>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</si>
  <si>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</si>
  <si>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</si>
  <si>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</si>
  <si>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</si>
  <si>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</si>
  <si>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</si>
  <si>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</si>
  <si>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</si>
  <si>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</si>
  <si>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</si>
  <si>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</si>
  <si>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</si>
  <si>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</si>
  <si>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</si>
  <si>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</si>
  <si>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</si>
  <si>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</si>
  <si>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</si>
  <si>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</si>
  <si>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</si>
  <si>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</si>
  <si>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</si>
  <si>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</si>
  <si>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</si>
  <si>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</si>
  <si>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</si>
  <si>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</si>
  <si>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</si>
  <si>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</si>
  <si>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</si>
  <si>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</si>
  <si>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</si>
  <si>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</si>
  <si>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</si>
  <si>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</si>
  <si>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</si>
  <si>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</si>
  <si>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</si>
  <si>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</si>
  <si>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</si>
  <si>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</si>
  <si>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</si>
  <si>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</si>
  <si>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</si>
  <si>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</si>
  <si>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</si>
  <si>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</si>
  <si>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</si>
  <si>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</si>
  <si>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</si>
  <si>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</si>
  <si>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</si>
  <si>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</si>
  <si>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</si>
  <si>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</si>
  <si>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</si>
  <si>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</si>
  <si>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</si>
  <si>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</si>
  <si>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</si>
  <si>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</si>
  <si>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</si>
  <si>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</si>
  <si>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</si>
  <si>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</si>
  <si>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</si>
  <si>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</si>
  <si>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</si>
  <si>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</si>
  <si>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</si>
  <si>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</si>
  <si>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</si>
  <si>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</si>
  <si>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</si>
  <si>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</si>
  <si>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</si>
  <si>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</si>
  <si>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</si>
  <si>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</si>
  <si>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</si>
  <si>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</si>
  <si>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</si>
  <si>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</si>
  <si>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</si>
  <si>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</si>
  <si>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</si>
  <si>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</si>
  <si>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</si>
  <si>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</si>
  <si>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</si>
  <si>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</si>
  <si>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</si>
  <si>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</si>
  <si>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</si>
  <si>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</si>
  <si>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</si>
  <si>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</si>
  <si>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</si>
  <si>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</si>
  <si>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</si>
  <si>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</si>
  <si>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</si>
  <si>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</si>
  <si>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</si>
  <si>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</si>
  <si>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</si>
  <si>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</si>
  <si>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</si>
  <si>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</si>
  <si>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</si>
  <si>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</si>
  <si>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</si>
  <si>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</si>
  <si>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</si>
  <si>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</si>
  <si>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</si>
  <si>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</si>
  <si>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</si>
  <si>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</si>
  <si>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</si>
  <si>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</si>
  <si>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</si>
  <si>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</si>
  <si>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</si>
  <si>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</si>
  <si>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</si>
  <si>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</si>
  <si>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</si>
  <si>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</si>
  <si>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</si>
  <si>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</si>
  <si>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</si>
  <si>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</si>
  <si>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</si>
  <si>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</si>
  <si>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</si>
  <si>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</si>
  <si>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</si>
  <si>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</si>
  <si>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</si>
  <si>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</si>
  <si>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</si>
  <si>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</si>
  <si>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</si>
  <si>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</si>
  <si>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</si>
  <si>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</si>
  <si>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</si>
  <si>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</si>
  <si>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</si>
  <si>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</si>
  <si>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</si>
  <si>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</si>
  <si>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</si>
  <si>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</si>
  <si>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</si>
  <si>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</si>
  <si>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</si>
  <si>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</si>
  <si>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</si>
  <si>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</si>
  <si>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</si>
  <si>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</si>
  <si>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</si>
  <si>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</si>
  <si>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</si>
  <si>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</si>
  <si>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</si>
  <si>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</si>
  <si>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</si>
  <si>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</si>
  <si>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</si>
  <si>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</si>
  <si>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</si>
  <si>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</si>
  <si>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</si>
  <si>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</si>
  <si>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</si>
  <si>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</si>
  <si>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</si>
  <si>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</si>
  <si>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</si>
  <si>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</si>
  <si>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</si>
  <si>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</si>
  <si>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</si>
  <si>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</si>
  <si>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</si>
  <si>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</si>
  <si>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</si>
  <si>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</si>
  <si>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</si>
  <si>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</si>
  <si>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</si>
  <si>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</si>
  <si>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</si>
  <si>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</si>
  <si>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</si>
  <si>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</si>
  <si>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</si>
  <si>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</si>
  <si>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</si>
  <si>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</si>
  <si>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</si>
  <si>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</si>
  <si>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</si>
  <si>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</si>
  <si>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</si>
  <si>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</si>
  <si>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</si>
  <si>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</si>
  <si>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</si>
  <si>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</si>
  <si>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</si>
  <si>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</si>
  <si>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</si>
  <si>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</si>
  <si>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</si>
  <si>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</si>
  <si>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</si>
  <si>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</si>
  <si>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</si>
  <si>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</si>
  <si>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</si>
  <si>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</si>
  <si>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</si>
  <si>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</si>
  <si>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</si>
  <si>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</si>
  <si>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</si>
  <si>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</si>
  <si>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</si>
  <si>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</si>
  <si>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</si>
  <si>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</si>
  <si>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</si>
  <si>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</si>
  <si>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</si>
  <si>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</si>
  <si>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</si>
  <si>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</si>
  <si>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</si>
  <si>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</si>
  <si>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</si>
  <si>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</si>
  <si>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</si>
  <si>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</si>
  <si>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</si>
  <si>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</si>
  <si>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</si>
  <si>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</si>
  <si>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</si>
  <si>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</si>
  <si>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</si>
  <si>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</si>
  <si>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</si>
  <si>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</si>
  <si>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</si>
  <si>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</si>
  <si>
    <t>No. of  dedicated bike parks - chargeable</t>
  </si>
  <si>
    <t>Bikepark - charges per bike including Service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</si>
</sst>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B9" sqref="B9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topLeftCell="A22" zoomScale="88" zoomScaleNormal="88" workbookViewId="0">
      <selection activeCell="F34" sqref="F34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43"/>
      <c r="C1" s="644"/>
      <c r="D1" s="644"/>
      <c r="E1" s="644"/>
      <c r="F1" s="644"/>
      <c r="G1" s="644"/>
      <c r="H1" s="644"/>
      <c r="I1" s="644"/>
      <c r="J1" s="645"/>
    </row>
    <row r="2" spans="1:10" ht="14.25" customHeight="1">
      <c r="A2" s="43"/>
      <c r="B2" s="646"/>
      <c r="C2" s="647"/>
      <c r="D2" s="647"/>
      <c r="E2" s="647"/>
      <c r="F2" s="647"/>
      <c r="G2" s="647"/>
      <c r="H2" s="647"/>
      <c r="I2" s="647"/>
      <c r="J2" s="648"/>
    </row>
    <row r="3" spans="1:10" ht="15" customHeight="1" thickBot="1">
      <c r="A3" s="43"/>
      <c r="B3" s="649"/>
      <c r="C3" s="650"/>
      <c r="D3" s="650"/>
      <c r="E3" s="650"/>
      <c r="F3" s="650"/>
      <c r="G3" s="650"/>
      <c r="H3" s="650"/>
      <c r="I3" s="647"/>
      <c r="J3" s="648"/>
    </row>
    <row r="4" spans="1:10" ht="13">
      <c r="A4" s="43"/>
      <c r="B4" s="670"/>
      <c r="C4" s="671"/>
      <c r="D4" s="671"/>
      <c r="E4" s="671"/>
      <c r="F4" s="671"/>
      <c r="G4" s="671"/>
      <c r="H4" s="389"/>
      <c r="I4" s="390"/>
      <c r="J4" s="391"/>
    </row>
    <row r="5" spans="1:10" ht="16">
      <c r="A5" s="43"/>
      <c r="B5" s="672" t="s">
        <v>66</v>
      </c>
      <c r="C5" s="673"/>
      <c r="D5" s="673"/>
      <c r="E5" s="673"/>
      <c r="F5" s="673"/>
      <c r="G5" s="674"/>
      <c r="H5" s="392"/>
      <c r="I5" s="469" t="s">
        <v>16</v>
      </c>
      <c r="J5" s="494">
        <v>105.02</v>
      </c>
    </row>
    <row r="6" spans="1:10" ht="13.5" thickBot="1">
      <c r="A6" s="43"/>
      <c r="B6" s="675"/>
      <c r="C6" s="676"/>
      <c r="D6" s="677"/>
      <c r="E6" s="44"/>
      <c r="F6" s="668">
        <v>10.763999999999999</v>
      </c>
      <c r="G6" s="669"/>
      <c r="H6" s="393"/>
      <c r="I6" s="656">
        <v>10.763999999999999</v>
      </c>
      <c r="J6" s="657"/>
    </row>
    <row r="7" spans="1:10" ht="26">
      <c r="A7" s="43"/>
      <c r="B7" s="470" t="s">
        <v>67</v>
      </c>
      <c r="C7" s="678" t="s">
        <v>68</v>
      </c>
      <c r="D7" s="679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602" t="s">
        <v>69</v>
      </c>
      <c r="G8" s="636"/>
      <c r="H8" s="392"/>
      <c r="I8" s="637" t="s">
        <v>63</v>
      </c>
      <c r="J8" s="638"/>
    </row>
    <row r="9" spans="1:10" ht="13">
      <c r="A9" s="43"/>
      <c r="B9" s="637" t="s">
        <v>70</v>
      </c>
      <c r="C9" s="636"/>
      <c r="D9" s="603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51" t="s">
        <v>73</v>
      </c>
      <c r="D10" s="610"/>
      <c r="E10" s="479"/>
      <c r="F10" s="662" t="s">
        <v>295</v>
      </c>
      <c r="G10" s="663"/>
      <c r="H10" s="392"/>
      <c r="I10" s="658" t="str">
        <f>+F10</f>
        <v>Chennai</v>
      </c>
      <c r="J10" s="659"/>
    </row>
    <row r="11" spans="1:10" ht="28.5" customHeight="1">
      <c r="A11" s="43"/>
      <c r="B11" s="154">
        <f>1+B10</f>
        <v>2</v>
      </c>
      <c r="C11" s="652" t="s">
        <v>74</v>
      </c>
      <c r="D11" s="653"/>
      <c r="E11" s="42"/>
      <c r="F11" s="662"/>
      <c r="G11" s="663"/>
      <c r="H11" s="392"/>
      <c r="I11" s="660">
        <f>+F11</f>
        <v>0</v>
      </c>
      <c r="J11" s="661"/>
    </row>
    <row r="12" spans="1:10" ht="27.75" customHeight="1">
      <c r="A12" s="43"/>
      <c r="B12" s="154">
        <f>1+B11</f>
        <v>3</v>
      </c>
      <c r="C12" s="596" t="s">
        <v>75</v>
      </c>
      <c r="D12" s="595"/>
      <c r="E12" s="480"/>
      <c r="F12" s="664"/>
      <c r="G12" s="665"/>
      <c r="H12" s="392"/>
      <c r="I12" s="680">
        <f>+F12</f>
        <v>0</v>
      </c>
      <c r="J12" s="681"/>
    </row>
    <row r="13" spans="1:10" ht="15.9" customHeight="1">
      <c r="A13" s="43"/>
      <c r="B13" s="154">
        <f t="shared" ref="B13:B30" si="0">1+B12</f>
        <v>4</v>
      </c>
      <c r="C13" s="596" t="s">
        <v>76</v>
      </c>
      <c r="D13" s="595"/>
      <c r="E13" s="42"/>
      <c r="F13" s="667"/>
      <c r="G13" s="665"/>
      <c r="H13" s="392"/>
      <c r="I13" s="680"/>
      <c r="J13" s="681"/>
    </row>
    <row r="14" spans="1:10" ht="48" customHeight="1">
      <c r="A14" s="43"/>
      <c r="B14" s="154">
        <f t="shared" si="0"/>
        <v>5</v>
      </c>
      <c r="C14" s="654" t="s">
        <v>77</v>
      </c>
      <c r="D14" s="655"/>
      <c r="E14" s="464"/>
      <c r="F14" s="664" t="s">
        <v>296</v>
      </c>
      <c r="G14" s="666"/>
      <c r="H14" s="392"/>
      <c r="I14" s="680" t="str">
        <f>+F14</f>
        <v>6th floor</v>
      </c>
      <c r="J14" s="681"/>
    </row>
    <row r="15" spans="1:10" ht="51.75" customHeight="1">
      <c r="A15" s="43"/>
      <c r="B15" s="154">
        <f t="shared" si="0"/>
        <v>6</v>
      </c>
      <c r="C15" s="596" t="s">
        <v>78</v>
      </c>
      <c r="D15" s="595"/>
      <c r="E15" s="50"/>
      <c r="F15" s="602"/>
      <c r="G15" s="636"/>
      <c r="H15" s="392"/>
      <c r="I15" s="637">
        <f>+F15</f>
        <v>0</v>
      </c>
      <c r="J15" s="638"/>
    </row>
    <row r="16" spans="1:10" ht="15.9" customHeight="1">
      <c r="A16" s="43"/>
      <c r="B16" s="154">
        <f t="shared" si="0"/>
        <v>7</v>
      </c>
      <c r="C16" s="596" t="s">
        <v>79</v>
      </c>
      <c r="D16" s="595"/>
      <c r="E16" s="50"/>
      <c r="F16" s="667"/>
      <c r="G16" s="665"/>
      <c r="H16" s="392"/>
      <c r="I16" s="680"/>
      <c r="J16" s="681"/>
    </row>
    <row r="17" spans="1:10" ht="15.9" customHeight="1">
      <c r="A17" s="43"/>
      <c r="B17" s="154">
        <f t="shared" si="0"/>
        <v>8</v>
      </c>
      <c r="C17" s="596" t="s">
        <v>80</v>
      </c>
      <c r="D17" s="595"/>
      <c r="E17" s="50"/>
      <c r="F17" s="664" t="s">
        <v>81</v>
      </c>
      <c r="G17" s="665"/>
      <c r="H17" s="392"/>
      <c r="I17" s="680" t="str">
        <f>+F17</f>
        <v>Warm Shell</v>
      </c>
      <c r="J17" s="681"/>
    </row>
    <row r="18" spans="1:10" ht="48" customHeight="1">
      <c r="A18" s="43"/>
      <c r="B18" s="154">
        <f t="shared" si="0"/>
        <v>9</v>
      </c>
      <c r="C18" s="596" t="s">
        <v>82</v>
      </c>
      <c r="D18" s="595"/>
      <c r="E18" s="155"/>
      <c r="F18" s="602">
        <f>F15</f>
        <v>0</v>
      </c>
      <c r="G18" s="636"/>
      <c r="H18" s="392"/>
      <c r="I18" s="637">
        <f>+F18</f>
        <v>0</v>
      </c>
      <c r="J18" s="638"/>
    </row>
    <row r="19" spans="1:10" ht="15.9" customHeight="1">
      <c r="A19" s="43"/>
      <c r="B19" s="154">
        <f t="shared" si="0"/>
        <v>10</v>
      </c>
      <c r="C19" s="596" t="s">
        <v>83</v>
      </c>
      <c r="D19" s="595"/>
      <c r="E19" s="155"/>
      <c r="F19" s="667"/>
      <c r="G19" s="665"/>
      <c r="H19" s="392"/>
      <c r="I19" s="680"/>
      <c r="J19" s="681"/>
    </row>
    <row r="20" spans="1:10" ht="15.9" customHeight="1">
      <c r="A20" s="43"/>
      <c r="B20" s="154">
        <f t="shared" si="0"/>
        <v>11</v>
      </c>
      <c r="C20" s="594" t="s">
        <v>84</v>
      </c>
      <c r="D20" s="595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596" t="s">
        <v>85</v>
      </c>
      <c r="D21" s="595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594" t="s">
        <v>86</v>
      </c>
      <c r="D22" s="595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596" t="s">
        <v>87</v>
      </c>
      <c r="D23" s="595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596" t="s">
        <v>88</v>
      </c>
      <c r="D24" s="595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596" t="s">
        <v>89</v>
      </c>
      <c r="D25" s="595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596" t="s">
        <v>90</v>
      </c>
      <c r="D26" s="595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594" t="s">
        <v>91</v>
      </c>
      <c r="D27" s="595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594" t="s">
        <v>92</v>
      </c>
      <c r="D28" s="595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594" t="s">
        <v>93</v>
      </c>
      <c r="D29" s="595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596" t="s">
        <v>94</v>
      </c>
      <c r="D30" s="595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82" t="s">
        <v>95</v>
      </c>
      <c r="C31" s="683"/>
      <c r="D31" s="684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594" t="s">
        <v>96</v>
      </c>
      <c r="D32" s="595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594" t="s">
        <v>97</v>
      </c>
      <c r="D33" s="595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594" t="s">
        <v>98</v>
      </c>
      <c r="D34" s="595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596" t="s">
        <v>99</v>
      </c>
      <c r="D35" s="595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594" t="s">
        <v>100</v>
      </c>
      <c r="D36" s="595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594" t="s">
        <v>101</v>
      </c>
      <c r="D37" s="595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594" t="s">
        <v>102</v>
      </c>
      <c r="D38" s="595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594" t="s">
        <v>103</v>
      </c>
      <c r="D39" s="595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594" t="s">
        <v>104</v>
      </c>
      <c r="D40" s="595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594" t="s">
        <v>105</v>
      </c>
      <c r="D41" s="595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596" t="s">
        <v>106</v>
      </c>
      <c r="D42" s="595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596" t="s">
        <v>107</v>
      </c>
      <c r="D43" s="595"/>
      <c r="E43" s="65"/>
      <c r="F43" s="60">
        <f>'Lease Rent'!D22</f>
        <v>80</v>
      </c>
      <c r="G43" s="191">
        <f>F43</f>
        <v>80</v>
      </c>
      <c r="H43" s="392"/>
      <c r="I43" s="129">
        <f>+F43</f>
        <v>80</v>
      </c>
      <c r="J43" s="61">
        <f>I43</f>
        <v>80</v>
      </c>
    </row>
    <row r="44" spans="1:10" ht="15.9" customHeight="1">
      <c r="A44" s="484"/>
      <c r="B44" s="154">
        <f t="shared" si="1"/>
        <v>13</v>
      </c>
      <c r="C44" s="596" t="s">
        <v>108</v>
      </c>
      <c r="D44" s="595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594" t="s">
        <v>109</v>
      </c>
      <c r="D45" s="595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596" t="s">
        <v>331</v>
      </c>
      <c r="D46" s="595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596" t="s">
        <v>332</v>
      </c>
      <c r="D47" s="595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41">
        <f>1+B47</f>
        <v>17</v>
      </c>
      <c r="C48" s="594" t="s">
        <v>110</v>
      </c>
      <c r="D48" s="595"/>
      <c r="E48" s="65"/>
      <c r="F48" s="687" t="str">
        <f>Main!B14</f>
        <v>15% every 3 years</v>
      </c>
      <c r="G48" s="688"/>
      <c r="H48" s="392"/>
      <c r="I48" s="680" t="str">
        <f>+F48</f>
        <v>15% every 3 years</v>
      </c>
      <c r="J48" s="681"/>
    </row>
    <row r="49" spans="1:18" ht="15.9" customHeight="1">
      <c r="A49" s="43"/>
      <c r="B49" s="642"/>
      <c r="C49" s="594" t="s">
        <v>111</v>
      </c>
      <c r="D49" s="595"/>
      <c r="E49" s="65"/>
      <c r="F49" s="687" t="str">
        <f>Main!B15</f>
        <v>5% every years</v>
      </c>
      <c r="G49" s="688"/>
      <c r="H49" s="392"/>
      <c r="I49" s="685" t="str">
        <f t="shared" ref="I49:I56" si="2">F49</f>
        <v>5% every years</v>
      </c>
      <c r="J49" s="686"/>
    </row>
    <row r="50" spans="1:18" ht="15.9" customHeight="1">
      <c r="A50" s="43"/>
      <c r="B50" s="154">
        <f>1+B48</f>
        <v>18</v>
      </c>
      <c r="C50" s="596" t="s">
        <v>112</v>
      </c>
      <c r="D50" s="595"/>
      <c r="E50" s="65"/>
      <c r="F50" s="632">
        <f>'Lease Rent'!B31</f>
        <v>46023</v>
      </c>
      <c r="G50" s="633"/>
      <c r="H50" s="392"/>
      <c r="I50" s="634">
        <f t="shared" si="2"/>
        <v>46023</v>
      </c>
      <c r="J50" s="635"/>
    </row>
    <row r="51" spans="1:18" ht="15.9" customHeight="1">
      <c r="A51" s="43"/>
      <c r="B51" s="154">
        <f t="shared" ref="B51:B57" si="3">1+B50</f>
        <v>19</v>
      </c>
      <c r="C51" s="594" t="s">
        <v>113</v>
      </c>
      <c r="D51" s="595"/>
      <c r="E51" s="65"/>
      <c r="F51" s="632">
        <f>'Lease Rent'!C102</f>
        <v>48213</v>
      </c>
      <c r="G51" s="633"/>
      <c r="H51" s="392"/>
      <c r="I51" s="634">
        <f>F51</f>
        <v>48213</v>
      </c>
      <c r="J51" s="635"/>
    </row>
    <row r="52" spans="1:18" ht="15.9" customHeight="1">
      <c r="A52" s="43"/>
      <c r="B52" s="154">
        <f t="shared" si="3"/>
        <v>20</v>
      </c>
      <c r="C52" s="594" t="s">
        <v>114</v>
      </c>
      <c r="D52" s="604"/>
      <c r="E52" s="65"/>
      <c r="F52" s="632">
        <f>F50</f>
        <v>46023</v>
      </c>
      <c r="G52" s="633"/>
      <c r="H52" s="392"/>
      <c r="I52" s="634">
        <f t="shared" si="2"/>
        <v>46023</v>
      </c>
      <c r="J52" s="635"/>
    </row>
    <row r="53" spans="1:18" ht="15.9" customHeight="1">
      <c r="A53" s="43"/>
      <c r="B53" s="154">
        <f t="shared" si="3"/>
        <v>21</v>
      </c>
      <c r="C53" s="594" t="s">
        <v>115</v>
      </c>
      <c r="D53" s="604"/>
      <c r="E53" s="65"/>
      <c r="F53" s="602">
        <v>0</v>
      </c>
      <c r="G53" s="636"/>
      <c r="H53" s="392"/>
      <c r="I53" s="637">
        <f>+F53</f>
        <v>0</v>
      </c>
      <c r="J53" s="638"/>
    </row>
    <row r="54" spans="1:18" ht="15.9" customHeight="1">
      <c r="A54" s="43"/>
      <c r="B54" s="154">
        <f t="shared" si="3"/>
        <v>22</v>
      </c>
      <c r="C54" s="596" t="s">
        <v>116</v>
      </c>
      <c r="D54" s="595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596" t="s">
        <v>117</v>
      </c>
      <c r="D55" s="595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596" t="s">
        <v>118</v>
      </c>
      <c r="D56" s="595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596" t="s">
        <v>119</v>
      </c>
      <c r="D57" s="595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602" t="s">
        <v>69</v>
      </c>
      <c r="G58" s="636"/>
      <c r="H58" s="392"/>
      <c r="I58" s="637" t="s">
        <v>63</v>
      </c>
      <c r="J58" s="638"/>
    </row>
    <row r="59" spans="1:18" ht="15.9" customHeight="1">
      <c r="A59" s="43"/>
      <c r="B59" s="639" t="s">
        <v>120</v>
      </c>
      <c r="C59" s="640"/>
      <c r="D59" s="640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594" t="s">
        <v>121</v>
      </c>
      <c r="D60" s="595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594" t="s">
        <v>122</v>
      </c>
      <c r="D61" s="595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597" t="s">
        <v>123</v>
      </c>
      <c r="D62" s="598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594" t="s">
        <v>317</v>
      </c>
      <c r="D63" s="595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594" t="s">
        <v>124</v>
      </c>
      <c r="D64" s="595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596" t="s">
        <v>318</v>
      </c>
      <c r="D65" s="595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596" t="s">
        <v>319</v>
      </c>
      <c r="D66" s="595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596" t="s">
        <v>125</v>
      </c>
      <c r="D67" s="595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596" t="s">
        <v>126</v>
      </c>
      <c r="D68" s="595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594" t="s">
        <v>127</v>
      </c>
      <c r="D69" s="595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596" t="s">
        <v>128</v>
      </c>
      <c r="D70" s="595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596" t="s">
        <v>129</v>
      </c>
      <c r="D71" s="595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596" t="s">
        <v>130</v>
      </c>
      <c r="D72" s="595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594" t="s">
        <v>131</v>
      </c>
      <c r="D73" s="595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594" t="s">
        <v>133</v>
      </c>
      <c r="D75" s="595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594" t="s">
        <v>134</v>
      </c>
      <c r="D76" s="595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594" t="s">
        <v>135</v>
      </c>
      <c r="D77" s="595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594" t="s">
        <v>136</v>
      </c>
      <c r="D78" s="595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594" t="s">
        <v>137</v>
      </c>
      <c r="D79" s="595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594" t="s">
        <v>138</v>
      </c>
      <c r="D80" s="595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594" t="s">
        <v>139</v>
      </c>
      <c r="D81" s="604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594" t="s">
        <v>140</v>
      </c>
      <c r="D82" s="595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594" t="s">
        <v>320</v>
      </c>
      <c r="D83" s="595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16" t="s">
        <v>141</v>
      </c>
      <c r="C85" s="617"/>
      <c r="D85" s="618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594" t="s">
        <v>142</v>
      </c>
      <c r="D86" s="595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596" t="s">
        <v>143</v>
      </c>
      <c r="D87" s="595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596" t="s">
        <v>144</v>
      </c>
      <c r="D88" s="595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596" t="s">
        <v>145</v>
      </c>
      <c r="D89" s="595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596" t="s">
        <v>285</v>
      </c>
      <c r="D90" s="595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596" t="s">
        <v>146</v>
      </c>
      <c r="D91" s="595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596" t="s">
        <v>147</v>
      </c>
      <c r="D92" s="595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594" t="s">
        <v>148</v>
      </c>
      <c r="D93" s="595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597" t="s">
        <v>65</v>
      </c>
      <c r="D94" s="598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636"/>
      <c r="D95" s="636"/>
      <c r="E95" s="76"/>
      <c r="F95" s="77"/>
      <c r="G95" s="77"/>
      <c r="H95" s="392"/>
      <c r="I95" s="132"/>
      <c r="J95" s="78"/>
    </row>
    <row r="96" spans="1:24" ht="15.9" customHeight="1">
      <c r="A96" s="43"/>
      <c r="B96" s="599" t="s">
        <v>149</v>
      </c>
      <c r="C96" s="600"/>
      <c r="D96" s="600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596" t="str">
        <f>+C76</f>
        <v>Siemens Standard Fitout (Existing)</v>
      </c>
      <c r="D97" s="595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596" t="str">
        <f>+C77</f>
        <v>Siemens Standard Fitout (New)</v>
      </c>
      <c r="D98" s="595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596" t="str">
        <f>+C78</f>
        <v>Capex over the period of lease period</v>
      </c>
      <c r="D99" s="595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596" t="str">
        <f>+C79</f>
        <v>PM cost over the period of lease period</v>
      </c>
      <c r="D100" s="595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596" t="str">
        <f>+C80</f>
        <v>Asset Retirement Obligation ( Removal &amp; Restoration Obligation)</v>
      </c>
      <c r="D101" s="595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594" t="s">
        <v>150</v>
      </c>
      <c r="D102" s="595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597" t="s">
        <v>151</v>
      </c>
      <c r="D103" s="598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90" t="s">
        <v>152</v>
      </c>
      <c r="C105" s="611"/>
      <c r="D105" s="611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594" t="s">
        <v>65</v>
      </c>
      <c r="D106" s="595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594" t="s">
        <v>151</v>
      </c>
      <c r="D107" s="604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597" t="s">
        <v>153</v>
      </c>
      <c r="D108" s="598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599" t="s">
        <v>154</v>
      </c>
      <c r="C109" s="600"/>
      <c r="D109" s="600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594" t="s">
        <v>155</v>
      </c>
      <c r="D110" s="604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594" t="s">
        <v>156</v>
      </c>
      <c r="D111" s="604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594" t="s">
        <v>157</v>
      </c>
      <c r="D112" s="604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594" t="s">
        <v>158</v>
      </c>
      <c r="D113" s="604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594" t="s">
        <v>159</v>
      </c>
      <c r="D114" s="604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594" t="s">
        <v>160</v>
      </c>
      <c r="D115" s="604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594" t="s">
        <v>161</v>
      </c>
      <c r="D116" s="604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594" t="s">
        <v>162</v>
      </c>
      <c r="D117" s="595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594" t="s">
        <v>163</v>
      </c>
      <c r="D118" s="604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597" t="s">
        <v>164</v>
      </c>
      <c r="D119" s="598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602"/>
      <c r="D120" s="603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599" t="s">
        <v>165</v>
      </c>
      <c r="C121" s="600"/>
      <c r="D121" s="600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594" t="s">
        <v>166</v>
      </c>
      <c r="D122" s="604"/>
      <c r="E122" s="70"/>
      <c r="F122" s="46"/>
      <c r="G122" s="373"/>
      <c r="H122" s="392"/>
      <c r="I122" s="180"/>
      <c r="J122" s="74"/>
    </row>
    <row r="123" spans="1:26" ht="15.9" customHeight="1">
      <c r="A123" s="69"/>
      <c r="B123" s="154">
        <v>2</v>
      </c>
      <c r="C123" s="597" t="s">
        <v>167</v>
      </c>
      <c r="D123" s="598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02"/>
      <c r="D124" s="603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599" t="s">
        <v>168</v>
      </c>
      <c r="C125" s="600"/>
      <c r="D125" s="600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594" t="s">
        <v>169</v>
      </c>
      <c r="D126" s="604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594" t="s">
        <v>170</v>
      </c>
      <c r="D127" s="604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594" t="s">
        <v>171</v>
      </c>
      <c r="D128" s="604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594" t="s">
        <v>172</v>
      </c>
      <c r="D129" s="604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594" t="s">
        <v>173</v>
      </c>
      <c r="D130" s="604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594" t="s">
        <v>174</v>
      </c>
      <c r="D131" s="604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597" t="s">
        <v>175</v>
      </c>
      <c r="D132" s="598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36"/>
      <c r="D133" s="603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599" t="s">
        <v>176</v>
      </c>
      <c r="C134" s="600"/>
      <c r="D134" s="600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597" t="s">
        <v>177</v>
      </c>
      <c r="D135" s="598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602"/>
      <c r="D136" s="603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602" t="s">
        <v>69</v>
      </c>
      <c r="G137" s="636"/>
      <c r="H137" s="392"/>
      <c r="I137" s="637" t="s">
        <v>63</v>
      </c>
      <c r="J137" s="638"/>
    </row>
    <row r="138" spans="1:20" ht="15.9" hidden="1" customHeight="1">
      <c r="A138" s="43"/>
      <c r="B138" s="599" t="s">
        <v>178</v>
      </c>
      <c r="C138" s="600"/>
      <c r="D138" s="601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05"/>
      <c r="D139" s="606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594" t="s">
        <v>179</v>
      </c>
      <c r="D140" s="595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596" t="s">
        <v>180</v>
      </c>
      <c r="D141" s="595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596" t="s">
        <v>181</v>
      </c>
      <c r="D142" s="595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594" t="s">
        <v>182</v>
      </c>
      <c r="D143" s="595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24" t="s">
        <v>183</v>
      </c>
      <c r="D144" s="625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597" t="s">
        <v>184</v>
      </c>
      <c r="D145" s="598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599" t="s">
        <v>185</v>
      </c>
      <c r="C147" s="600"/>
      <c r="D147" s="601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05"/>
      <c r="D148" s="606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596" t="s">
        <v>187</v>
      </c>
      <c r="D149" s="595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596" t="s">
        <v>188</v>
      </c>
      <c r="D150" s="595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596" t="s">
        <v>189</v>
      </c>
      <c r="D151" s="595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596" t="s">
        <v>190</v>
      </c>
      <c r="D152" s="595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594" t="s">
        <v>191</v>
      </c>
      <c r="D153" s="595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594" t="s">
        <v>192</v>
      </c>
      <c r="D154" s="595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05"/>
      <c r="D155" s="606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599" t="s">
        <v>193</v>
      </c>
      <c r="C156" s="600"/>
      <c r="D156" s="601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05"/>
      <c r="D157" s="606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622" t="s">
        <v>194</v>
      </c>
      <c r="D158" s="623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594" t="s">
        <v>195</v>
      </c>
      <c r="D159" s="604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594" t="s">
        <v>196</v>
      </c>
      <c r="D160" s="604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597" t="s">
        <v>29</v>
      </c>
      <c r="D161" s="598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05"/>
      <c r="D162" s="606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16" t="s">
        <v>197</v>
      </c>
      <c r="C163" s="617"/>
      <c r="D163" s="618"/>
      <c r="E163" s="689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619"/>
      <c r="C164" s="620"/>
      <c r="D164" s="621"/>
      <c r="E164" s="609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05"/>
      <c r="D165" s="606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607" t="str">
        <f>+C106</f>
        <v>Net Rent I</v>
      </c>
      <c r="D166" s="608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607" t="str">
        <f>+C107</f>
        <v>Net Rent II</v>
      </c>
      <c r="D167" s="608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612" t="s">
        <v>198</v>
      </c>
      <c r="D168" s="613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614"/>
      <c r="D169" s="615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607" t="str">
        <f>+C119</f>
        <v xml:space="preserve">OpEx I </v>
      </c>
      <c r="D170" s="608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607" t="str">
        <f>+C123</f>
        <v xml:space="preserve">OpEx II </v>
      </c>
      <c r="D171" s="608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12" t="s">
        <v>199</v>
      </c>
      <c r="D172" s="613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607" t="str">
        <f>+C132</f>
        <v xml:space="preserve">Services </v>
      </c>
      <c r="D174" s="608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12" t="s">
        <v>200</v>
      </c>
      <c r="D175" s="613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05"/>
      <c r="D176" s="606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612" t="s">
        <v>201</v>
      </c>
      <c r="D177" s="613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599" t="s">
        <v>202</v>
      </c>
      <c r="C179" s="600"/>
      <c r="D179" s="601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05"/>
      <c r="D180" s="606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596" t="s">
        <v>203</v>
      </c>
      <c r="D181" s="595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594" t="s">
        <v>204</v>
      </c>
      <c r="D182" s="595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594" t="s">
        <v>205</v>
      </c>
      <c r="D183" s="604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594" t="s">
        <v>206</v>
      </c>
      <c r="D184" s="595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594" t="s">
        <v>207</v>
      </c>
      <c r="D185" s="595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29" t="s">
        <v>208</v>
      </c>
      <c r="C187" s="630"/>
      <c r="D187" s="630"/>
      <c r="E187" s="630"/>
      <c r="F187" s="630"/>
      <c r="G187" s="630"/>
      <c r="H187" s="630"/>
      <c r="I187" s="630"/>
      <c r="J187" s="631"/>
    </row>
    <row r="188" spans="1:19" ht="15.9" customHeight="1">
      <c r="A188" s="43"/>
      <c r="B188" s="156"/>
      <c r="C188" s="609" t="s">
        <v>209</v>
      </c>
      <c r="D188" s="609"/>
      <c r="E188" s="366"/>
      <c r="F188" s="366" t="s">
        <v>186</v>
      </c>
      <c r="G188" s="160" t="s">
        <v>186</v>
      </c>
      <c r="H188" s="626"/>
      <c r="I188" s="217" t="s">
        <v>63</v>
      </c>
      <c r="J188" s="218" t="s">
        <v>63</v>
      </c>
    </row>
    <row r="189" spans="1:19" ht="15.9" customHeight="1">
      <c r="A189" s="43"/>
      <c r="B189" s="154"/>
      <c r="C189" s="596" t="s">
        <v>210</v>
      </c>
      <c r="D189" s="595"/>
      <c r="E189" s="155"/>
      <c r="F189" s="155"/>
      <c r="G189" s="94">
        <f>+G20</f>
        <v>0</v>
      </c>
      <c r="H189" s="627"/>
      <c r="I189" s="154"/>
      <c r="J189" s="94">
        <f>+G189/J5</f>
        <v>0</v>
      </c>
    </row>
    <row r="190" spans="1:19" ht="15.9" customHeight="1">
      <c r="A190" s="43"/>
      <c r="B190" s="154"/>
      <c r="C190" s="596" t="s">
        <v>211</v>
      </c>
      <c r="D190" s="595"/>
      <c r="E190" s="155"/>
      <c r="F190" s="155"/>
      <c r="G190" s="94">
        <f>+G189*G23</f>
        <v>0</v>
      </c>
      <c r="H190" s="627"/>
      <c r="I190" s="154"/>
      <c r="J190" s="94">
        <f>+J189*J23</f>
        <v>0</v>
      </c>
    </row>
    <row r="191" spans="1:19" ht="15.9" customHeight="1">
      <c r="A191" s="43"/>
      <c r="B191" s="154"/>
      <c r="C191" s="610" t="s">
        <v>212</v>
      </c>
      <c r="D191" s="610"/>
      <c r="E191" s="155"/>
      <c r="F191" s="155"/>
      <c r="G191" s="94">
        <f>+G190*25%</f>
        <v>0</v>
      </c>
      <c r="H191" s="627"/>
      <c r="I191" s="154"/>
      <c r="J191" s="94">
        <f>+J190*25%</f>
        <v>0</v>
      </c>
    </row>
    <row r="192" spans="1:19" ht="15.9" customHeight="1">
      <c r="A192" s="43"/>
      <c r="B192" s="154"/>
      <c r="C192" s="594" t="s">
        <v>213</v>
      </c>
      <c r="D192" s="595"/>
      <c r="E192" s="155"/>
      <c r="F192" s="155"/>
      <c r="G192" s="94">
        <f>+G191*1%</f>
        <v>0</v>
      </c>
      <c r="H192" s="627"/>
      <c r="I192" s="154"/>
      <c r="J192" s="94">
        <f>G192/J5</f>
        <v>0</v>
      </c>
    </row>
    <row r="193" spans="1:20" ht="15.9" customHeight="1">
      <c r="A193" s="43"/>
      <c r="B193" s="154"/>
      <c r="C193" s="594" t="s">
        <v>214</v>
      </c>
      <c r="D193" s="595"/>
      <c r="E193" s="155"/>
      <c r="F193" s="155"/>
      <c r="G193" s="94">
        <f>G192*0.5</f>
        <v>0</v>
      </c>
      <c r="H193" s="627"/>
      <c r="I193" s="154"/>
      <c r="J193" s="94">
        <f>G193/J5</f>
        <v>0</v>
      </c>
    </row>
    <row r="194" spans="1:20" ht="15.9" customHeight="1" thickBot="1">
      <c r="A194" s="43"/>
      <c r="B194" s="154"/>
      <c r="C194" s="610" t="s">
        <v>215</v>
      </c>
      <c r="D194" s="610"/>
      <c r="E194" s="155"/>
      <c r="F194" s="155"/>
      <c r="G194" s="102">
        <f>G82</f>
        <v>565315.30184775486</v>
      </c>
      <c r="H194" s="627"/>
      <c r="I194" s="154"/>
      <c r="J194" s="102">
        <f>+J192+J193</f>
        <v>0</v>
      </c>
    </row>
    <row r="195" spans="1:20" ht="15.9" customHeight="1">
      <c r="A195" s="158"/>
      <c r="B195" s="370"/>
      <c r="C195" s="611"/>
      <c r="D195" s="611"/>
      <c r="E195" s="367"/>
      <c r="F195" s="367" t="s">
        <v>186</v>
      </c>
      <c r="G195" s="45" t="s">
        <v>186</v>
      </c>
      <c r="H195" s="627"/>
      <c r="I195" s="217" t="s">
        <v>63</v>
      </c>
      <c r="J195" s="218" t="s">
        <v>63</v>
      </c>
    </row>
    <row r="196" spans="1:20" ht="15.9" customHeight="1">
      <c r="A196" s="66"/>
      <c r="B196" s="91"/>
      <c r="C196" s="596" t="s">
        <v>216</v>
      </c>
      <c r="D196" s="595"/>
      <c r="E196" s="50"/>
      <c r="F196" s="42"/>
      <c r="G196" s="94">
        <f>+G54</f>
        <v>72</v>
      </c>
      <c r="H196" s="627"/>
      <c r="I196" s="83"/>
      <c r="J196" s="94">
        <f>+J54</f>
        <v>72</v>
      </c>
    </row>
    <row r="197" spans="1:20" ht="15.9" customHeight="1">
      <c r="A197" s="66"/>
      <c r="B197" s="91"/>
      <c r="C197" s="596" t="s">
        <v>217</v>
      </c>
      <c r="D197" s="595"/>
      <c r="E197" s="50"/>
      <c r="F197" s="42"/>
      <c r="G197" s="94">
        <f>F140</f>
        <v>9515</v>
      </c>
      <c r="H197" s="627"/>
      <c r="I197" s="83"/>
      <c r="J197" s="94">
        <f>I140</f>
        <v>9515</v>
      </c>
    </row>
    <row r="198" spans="1:20" ht="15.9" customHeight="1">
      <c r="A198" s="112"/>
      <c r="B198" s="91"/>
      <c r="C198" s="596" t="s">
        <v>218</v>
      </c>
      <c r="D198" s="595"/>
      <c r="E198" s="50"/>
      <c r="F198" s="42"/>
      <c r="G198" s="103">
        <f>+F60</f>
        <v>129</v>
      </c>
      <c r="H198" s="627"/>
      <c r="I198" s="83"/>
      <c r="J198" s="103">
        <f>+I60</f>
        <v>1.228337459531518</v>
      </c>
    </row>
    <row r="199" spans="1:20" ht="15.9" customHeight="1">
      <c r="A199" s="66"/>
      <c r="B199" s="91"/>
      <c r="C199" s="596" t="s">
        <v>218</v>
      </c>
      <c r="D199" s="595"/>
      <c r="E199" s="50"/>
      <c r="F199" s="42"/>
      <c r="G199" s="94">
        <f>(G197*G198*G196)</f>
        <v>88375320</v>
      </c>
      <c r="H199" s="627"/>
      <c r="I199" s="83"/>
      <c r="J199" s="94">
        <f>+G199/$J$5</f>
        <v>841509.42677585222</v>
      </c>
    </row>
    <row r="200" spans="1:20" ht="15.9" customHeight="1">
      <c r="A200" s="66"/>
      <c r="B200" s="91"/>
      <c r="C200" s="596" t="s">
        <v>219</v>
      </c>
      <c r="D200" s="595"/>
      <c r="E200" s="50"/>
      <c r="F200" s="42"/>
      <c r="G200" s="94">
        <f>G199/G196*12</f>
        <v>14729220</v>
      </c>
      <c r="H200" s="627"/>
      <c r="I200" s="83"/>
      <c r="J200" s="94">
        <f>+G200/$J$5</f>
        <v>140251.57112930872</v>
      </c>
    </row>
    <row r="201" spans="1:20" ht="15.9" customHeight="1">
      <c r="A201" s="66"/>
      <c r="B201" s="91"/>
      <c r="C201" s="596" t="s">
        <v>220</v>
      </c>
      <c r="D201" s="595"/>
      <c r="E201" s="50"/>
      <c r="F201" s="42"/>
      <c r="G201" s="94">
        <f>(+G220*115%)/5</f>
        <v>3026339.9999999995</v>
      </c>
      <c r="H201" s="627"/>
      <c r="I201" s="83"/>
      <c r="J201" s="94">
        <f>+G201/$J$5</f>
        <v>28816.796800609405</v>
      </c>
    </row>
    <row r="202" spans="1:20" ht="15.9" customHeight="1">
      <c r="A202" s="66"/>
      <c r="B202" s="91"/>
      <c r="C202" s="596" t="s">
        <v>221</v>
      </c>
      <c r="D202" s="595"/>
      <c r="E202" s="50"/>
      <c r="F202" s="42"/>
      <c r="G202" s="94">
        <f>(+I220*115%)/5</f>
        <v>2765157.6185172233</v>
      </c>
      <c r="H202" s="627"/>
      <c r="I202" s="83"/>
      <c r="J202" s="94">
        <f>+G202/$J$5</f>
        <v>26329.819258400526</v>
      </c>
    </row>
    <row r="203" spans="1:20" ht="15.9" customHeight="1">
      <c r="A203" s="66"/>
      <c r="B203" s="91"/>
      <c r="C203" s="596" t="s">
        <v>36</v>
      </c>
      <c r="D203" s="595"/>
      <c r="E203" s="50"/>
      <c r="F203" s="42"/>
      <c r="G203" s="94">
        <f>+G67</f>
        <v>11418000</v>
      </c>
      <c r="H203" s="627"/>
      <c r="I203" s="83"/>
      <c r="J203" s="94">
        <f>+G203/$J$5</f>
        <v>108722.14816225482</v>
      </c>
    </row>
    <row r="204" spans="1:20" ht="15.9" customHeight="1">
      <c r="A204" s="66"/>
      <c r="B204" s="91"/>
      <c r="C204" s="594" t="s">
        <v>222</v>
      </c>
      <c r="D204" s="595"/>
      <c r="E204" s="50"/>
      <c r="F204" s="42"/>
      <c r="G204" s="94">
        <f>(G200+G201+G202+G203)*1.18</f>
        <v>37687686.789850324</v>
      </c>
      <c r="H204" s="627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594" t="s">
        <v>223</v>
      </c>
      <c r="D205" s="595"/>
      <c r="E205" s="50"/>
      <c r="F205" s="42"/>
      <c r="G205" s="94">
        <f>G204*1%</f>
        <v>376876.86789850326</v>
      </c>
      <c r="H205" s="627"/>
      <c r="I205" s="83"/>
      <c r="J205" s="94">
        <f>J204*1%</f>
        <v>3041.2033535057349</v>
      </c>
    </row>
    <row r="206" spans="1:20" ht="15.9" customHeight="1">
      <c r="A206" s="66"/>
      <c r="B206" s="91"/>
      <c r="C206" s="596" t="s">
        <v>224</v>
      </c>
      <c r="D206" s="595"/>
      <c r="E206" s="50"/>
      <c r="F206" s="42"/>
      <c r="G206" s="94">
        <f>G204*0.5%</f>
        <v>188438.43394925163</v>
      </c>
      <c r="H206" s="627"/>
      <c r="I206" s="83"/>
      <c r="J206" s="94">
        <f>J204*0.5%</f>
        <v>1520.6016767528674</v>
      </c>
    </row>
    <row r="207" spans="1:20" ht="15.9" customHeight="1">
      <c r="A207" s="66"/>
      <c r="B207" s="91"/>
      <c r="C207" s="597" t="s">
        <v>215</v>
      </c>
      <c r="D207" s="598"/>
      <c r="E207" s="50"/>
      <c r="F207" s="42"/>
      <c r="G207" s="94">
        <f>G205+G206</f>
        <v>565315.30184775486</v>
      </c>
      <c r="H207" s="627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27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27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27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27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27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27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27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27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27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27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27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27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28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Q8"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70"/>
      <c r="B2" s="671"/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671"/>
      <c r="V2" s="671"/>
      <c r="W2" s="671"/>
      <c r="X2" s="671"/>
      <c r="Y2" s="671"/>
      <c r="Z2" s="671"/>
      <c r="AA2" s="695"/>
    </row>
    <row r="3" spans="1:27" ht="11.25" customHeight="1">
      <c r="A3" s="696"/>
      <c r="B3" s="697"/>
      <c r="C3" s="697"/>
      <c r="D3" s="697"/>
      <c r="E3" s="697"/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  <c r="AA3" s="698"/>
    </row>
    <row r="4" spans="1:27" ht="12" customHeight="1" thickBot="1">
      <c r="A4" s="699"/>
      <c r="B4" s="700"/>
      <c r="C4" s="700"/>
      <c r="D4" s="700"/>
      <c r="E4" s="700"/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  <c r="AA4" s="701"/>
    </row>
    <row r="5" spans="1:27" ht="12.75" customHeight="1">
      <c r="A5" s="670" t="s">
        <v>0</v>
      </c>
      <c r="B5" s="671"/>
      <c r="C5" s="671"/>
      <c r="D5" s="671"/>
      <c r="E5" s="671"/>
      <c r="F5" s="671"/>
      <c r="G5" s="671"/>
      <c r="H5" s="671"/>
      <c r="I5" s="671"/>
      <c r="J5" s="671"/>
      <c r="K5" s="671"/>
      <c r="L5" s="671"/>
      <c r="M5" s="671"/>
      <c r="N5" s="671"/>
      <c r="O5" s="671"/>
      <c r="P5" s="671"/>
      <c r="Q5" s="671"/>
      <c r="R5" s="671"/>
      <c r="S5" s="671"/>
      <c r="T5" s="671"/>
      <c r="U5" s="671"/>
      <c r="V5" s="671"/>
      <c r="W5" s="671"/>
      <c r="X5" s="671"/>
      <c r="Y5" s="671"/>
      <c r="Z5" s="671"/>
      <c r="AA5" s="695"/>
    </row>
    <row r="6" spans="1:27" ht="13.5" customHeight="1">
      <c r="A6" s="702"/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  <c r="AA6" s="704"/>
    </row>
    <row r="7" spans="1:27" ht="13.5" customHeight="1" thickBot="1">
      <c r="A7" s="705" t="s">
        <v>292</v>
      </c>
      <c r="B7" s="706"/>
      <c r="C7" s="706"/>
      <c r="D7" s="706"/>
      <c r="E7" s="706"/>
      <c r="F7" s="706"/>
      <c r="G7" s="706"/>
      <c r="H7" s="706"/>
      <c r="I7" s="706"/>
      <c r="J7" s="706"/>
      <c r="K7" s="706"/>
      <c r="L7" s="706"/>
      <c r="M7" s="706"/>
      <c r="N7" s="706"/>
      <c r="O7" s="706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  <c r="AA7" s="708"/>
    </row>
    <row r="8" spans="1:27" ht="12.75" customHeight="1" thickBot="1">
      <c r="A8" s="709" t="s">
        <v>1</v>
      </c>
      <c r="B8" s="710"/>
      <c r="C8" s="710"/>
      <c r="D8" s="710"/>
      <c r="E8" s="710"/>
      <c r="F8" s="710"/>
      <c r="G8" s="710"/>
      <c r="H8" s="710"/>
      <c r="I8" s="710"/>
      <c r="J8" s="710"/>
      <c r="K8" s="710"/>
      <c r="L8" s="710"/>
      <c r="M8" s="710"/>
      <c r="N8" s="711"/>
      <c r="O8" s="6"/>
      <c r="P8" s="709" t="s">
        <v>2</v>
      </c>
      <c r="Q8" s="710"/>
      <c r="R8" s="710"/>
      <c r="S8" s="710"/>
      <c r="T8" s="710"/>
      <c r="U8" s="710"/>
      <c r="V8" s="710"/>
      <c r="W8" s="710"/>
      <c r="X8" s="710"/>
      <c r="Y8" s="710"/>
      <c r="Z8" s="710"/>
      <c r="AA8" s="712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12.611665790856541</v>
      </c>
      <c r="F10" s="8">
        <f>+'Rent Calculation'!F41</f>
        <v>15.48</v>
      </c>
      <c r="G10" s="8">
        <f t="shared" ref="G10:G15" si="0">SUM(B10:F10)</f>
        <v>148.09166579085652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119999.99999999999</v>
      </c>
      <c r="F11" s="9">
        <f>F10*'Rent Calculation'!F21</f>
        <v>147292.20000000001</v>
      </c>
      <c r="G11" s="9">
        <f t="shared" si="0"/>
        <v>1409092.2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692" t="s">
        <v>53</v>
      </c>
      <c r="U32" s="693"/>
      <c r="V32" s="694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691"/>
      <c r="Q36" s="691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E22" sqref="E22 D24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3" t="s">
        <v>29</v>
      </c>
      <c r="C11" s="713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workbookViewId="0">
      <pane ySplit="2" topLeftCell="A65" activePane="bottomLeft" state="frozen"/>
      <selection activeCell="F34" sqref="F34"/>
      <selection pane="bottomLeft" activeCell="E89" sqref="E89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14" t="s">
        <v>252</v>
      </c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  <c r="N1" s="71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714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717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2026-06-16T06:34:14Z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