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0050s8t\Documents\rental-automation\artifacts\"/>
    </mc:Choice>
  </mc:AlternateContent>
  <xr:revisionPtr revIDLastSave="0" documentId="13_ncr:1_{1051DB5E-6430-4095-987A-803B467179E9}" xr6:coauthVersionLast="47" xr6:coauthVersionMax="47" xr10:uidLastSave="{00000000-0000-0000-0000-000000000000}"/>
  <bookViews>
    <workbookView xWindow="28680" yWindow="-120" windowWidth="29040" windowHeight="15720" tabRatio="764" activeTab="1" xr2:uid="{00000000-000D-0000-FFFF-FFFF00000000}"/>
  </bookViews>
  <sheets>
    <sheet name="Main" sheetId="26" r:id="rId1"/>
    <sheet name="Rent Calculation" sheetId="2" r:id="rId2"/>
    <sheet name="Lease Size" sheetId="1" r:id="rId3"/>
    <sheet name="Lease Rent" sheetId="11" r:id="rId4"/>
    <sheet name="CAPEX and PM" sheetId="3" r:id="rId5"/>
    <sheet name="Security Deposit" sheetId="4" r:id="rId6"/>
  </sheets>
  <definedNames>
    <definedName name="NC_ARO_Carrying_Amount">#REF!</definedName>
    <definedName name="PBBT_Intern_Projektabrechnung_Caption" hidden="1">#REF!</definedName>
    <definedName name="_xlnm.Print_Area" localSheetId="1">'Rent Calculation'!$A$1:$R$221</definedName>
    <definedName name="_xlnm.Print_Titles" localSheetId="1">'Rent Calculation'!$1:$6</definedName>
    <definedName name="Waehrung">#REF!</definedName>
  </definedNames>
  <calcPr calcId="191028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2" l="1"/>
  <c r="F32" i="2"/>
  <c r="O87" i="3"/>
  <c r="O88" i="3" s="1"/>
  <c r="O83" i="3"/>
  <c r="O82" i="3"/>
  <c r="O77" i="3"/>
  <c r="O78" i="3" s="1"/>
  <c r="O72" i="3"/>
  <c r="O73" i="3" s="1"/>
  <c r="E85" i="3"/>
  <c r="E86" i="3" s="1"/>
  <c r="E80" i="3"/>
  <c r="E81" i="3" s="1"/>
  <c r="E70" i="3"/>
  <c r="E75" i="3"/>
  <c r="E76" i="3" s="1"/>
  <c r="B85" i="3"/>
  <c r="B80" i="3"/>
  <c r="N82" i="3"/>
  <c r="N83" i="3" s="1"/>
  <c r="F90" i="3"/>
  <c r="O18" i="3"/>
  <c r="O19" i="3" s="1"/>
  <c r="O12" i="3"/>
  <c r="O13" i="3" s="1"/>
  <c r="O6" i="3"/>
  <c r="O7" i="3" s="1"/>
  <c r="U15" i="1"/>
  <c r="Q26" i="1"/>
  <c r="F118" i="2"/>
  <c r="G117" i="2"/>
  <c r="G118" i="2" s="1"/>
  <c r="C17" i="4"/>
  <c r="D25" i="4"/>
  <c r="O27" i="3" l="1"/>
  <c r="C11" i="4"/>
  <c r="C10" i="4"/>
  <c r="F152" i="2"/>
  <c r="F151" i="2"/>
  <c r="F149" i="2"/>
  <c r="F65" i="2" l="1"/>
  <c r="F119" i="2"/>
  <c r="F67" i="2"/>
  <c r="I97" i="2"/>
  <c r="F91" i="2"/>
  <c r="F66" i="2"/>
  <c r="F64" i="2"/>
  <c r="F60" i="2"/>
  <c r="B26" i="2"/>
  <c r="B27" i="2"/>
  <c r="G216" i="2"/>
  <c r="G215" i="2"/>
  <c r="G214" i="2"/>
  <c r="G213" i="2"/>
  <c r="G212" i="2"/>
  <c r="G211" i="2"/>
  <c r="G210" i="2"/>
  <c r="P104" i="11"/>
  <c r="P103" i="11"/>
  <c r="P99" i="11"/>
  <c r="P87" i="11"/>
  <c r="P75" i="11"/>
  <c r="P63" i="11"/>
  <c r="P51" i="11"/>
  <c r="P39" i="11"/>
  <c r="I104" i="11"/>
  <c r="I67" i="11"/>
  <c r="I34" i="1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I95" i="11" s="1"/>
  <c r="I96" i="11" s="1"/>
  <c r="I97" i="11" s="1"/>
  <c r="I98" i="11" s="1"/>
  <c r="I99" i="11" s="1"/>
  <c r="I100" i="11" s="1"/>
  <c r="I101" i="11" s="1"/>
  <c r="I102" i="11" s="1"/>
  <c r="I33" i="11"/>
  <c r="I32" i="11"/>
  <c r="I31" i="11"/>
  <c r="H67" i="11" l="1"/>
  <c r="H66" i="11"/>
  <c r="F49" i="2"/>
  <c r="F48" i="2"/>
  <c r="H54" i="11"/>
  <c r="H55" i="11"/>
  <c r="H56" i="11"/>
  <c r="H57" i="11"/>
  <c r="H58" i="11"/>
  <c r="H59" i="11"/>
  <c r="H60" i="11"/>
  <c r="H61" i="11"/>
  <c r="H62" i="11"/>
  <c r="H63" i="11"/>
  <c r="H64" i="11"/>
  <c r="H65" i="11"/>
  <c r="H39" i="1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35" i="11"/>
  <c r="H36" i="11" s="1"/>
  <c r="H37" i="11" s="1"/>
  <c r="H38" i="11" s="1"/>
  <c r="H34" i="11"/>
  <c r="H33" i="11"/>
  <c r="H32" i="11"/>
  <c r="H31" i="11"/>
  <c r="F29" i="2"/>
  <c r="F28" i="2"/>
  <c r="F21" i="2"/>
  <c r="D10" i="1" s="1"/>
  <c r="D11" i="1" s="1"/>
  <c r="E20" i="1"/>
  <c r="E21" i="1"/>
  <c r="E17" i="1"/>
  <c r="E16" i="1"/>
  <c r="E15" i="1"/>
  <c r="E14" i="1"/>
  <c r="E13" i="1"/>
  <c r="E12" i="1"/>
  <c r="Q9" i="1" l="1"/>
  <c r="T9" i="1"/>
  <c r="F20" i="1"/>
  <c r="F19" i="1"/>
  <c r="B21" i="1"/>
  <c r="B20" i="1"/>
  <c r="B19" i="1"/>
  <c r="B61" i="2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I61" i="2"/>
  <c r="J61" i="2"/>
  <c r="O103" i="11"/>
  <c r="O99" i="11"/>
  <c r="O87" i="11"/>
  <c r="O75" i="11"/>
  <c r="O51" i="11"/>
  <c r="O63" i="11"/>
  <c r="J92" i="11"/>
  <c r="J91" i="11"/>
  <c r="J80" i="11"/>
  <c r="J79" i="11"/>
  <c r="J56" i="11"/>
  <c r="J55" i="11"/>
  <c r="J44" i="11"/>
  <c r="J43" i="11"/>
  <c r="A100" i="11"/>
  <c r="A99" i="11"/>
  <c r="A88" i="11"/>
  <c r="A87" i="11"/>
  <c r="A76" i="11"/>
  <c r="A75" i="11"/>
  <c r="A64" i="11"/>
  <c r="A63" i="11"/>
  <c r="A51" i="11"/>
  <c r="A52" i="11"/>
  <c r="A40" i="11"/>
  <c r="A41" i="11"/>
  <c r="A42" i="11" s="1"/>
  <c r="A43" i="11" s="1"/>
  <c r="A44" i="11" s="1"/>
  <c r="A45" i="11" s="1"/>
  <c r="A46" i="11" s="1"/>
  <c r="A47" i="11" s="1"/>
  <c r="A48" i="11" s="1"/>
  <c r="A49" i="11" s="1"/>
  <c r="A50" i="11" s="1"/>
  <c r="A39" i="11"/>
  <c r="B60" i="3"/>
  <c r="N18" i="3"/>
  <c r="N19" i="3" s="1"/>
  <c r="M18" i="3"/>
  <c r="M19" i="3" s="1"/>
  <c r="L18" i="3"/>
  <c r="L19" i="3" s="1"/>
  <c r="K18" i="3"/>
  <c r="K19" i="3" s="1"/>
  <c r="N6" i="3"/>
  <c r="N7" i="3" s="1"/>
  <c r="M6" i="3"/>
  <c r="M7" i="3" s="1"/>
  <c r="E9" i="3"/>
  <c r="B13" i="3" s="1"/>
  <c r="B37" i="3"/>
  <c r="F78" i="2" s="1"/>
  <c r="G78" i="2" s="1"/>
  <c r="E71" i="3"/>
  <c r="O67" i="3"/>
  <c r="O68" i="3" s="1"/>
  <c r="N67" i="3"/>
  <c r="N68" i="3" s="1"/>
  <c r="M67" i="3"/>
  <c r="M68" i="3" s="1"/>
  <c r="L67" i="3"/>
  <c r="L68" i="3" s="1"/>
  <c r="O62" i="3"/>
  <c r="O63" i="3" s="1"/>
  <c r="N62" i="3"/>
  <c r="N63" i="3" s="1"/>
  <c r="M62" i="3"/>
  <c r="M63" i="3" s="1"/>
  <c r="E65" i="3"/>
  <c r="E66" i="3" s="1"/>
  <c r="E60" i="3"/>
  <c r="E61" i="3" s="1"/>
  <c r="O57" i="3"/>
  <c r="O58" i="3" s="1"/>
  <c r="N57" i="3"/>
  <c r="N58" i="3" s="1"/>
  <c r="M57" i="3"/>
  <c r="M58" i="3" s="1"/>
  <c r="E55" i="3"/>
  <c r="K57" i="3" s="1"/>
  <c r="K58" i="3" s="1"/>
  <c r="O52" i="3"/>
  <c r="O53" i="3" s="1"/>
  <c r="N52" i="3"/>
  <c r="N53" i="3" s="1"/>
  <c r="M52" i="3"/>
  <c r="M53" i="3" s="1"/>
  <c r="E50" i="3"/>
  <c r="H52" i="3" s="1"/>
  <c r="H53" i="3" s="1"/>
  <c r="O47" i="3"/>
  <c r="O48" i="3" s="1"/>
  <c r="N47" i="3"/>
  <c r="N48" i="3" s="1"/>
  <c r="M47" i="3"/>
  <c r="M48" i="3" s="1"/>
  <c r="E45" i="3"/>
  <c r="K47" i="3" s="1"/>
  <c r="K48" i="3" s="1"/>
  <c r="O42" i="3"/>
  <c r="O43" i="3" s="1"/>
  <c r="N42" i="3"/>
  <c r="N43" i="3" s="1"/>
  <c r="M42" i="3"/>
  <c r="M43" i="3" s="1"/>
  <c r="E40" i="3"/>
  <c r="E41" i="3" s="1"/>
  <c r="B6" i="26"/>
  <c r="C3" i="26"/>
  <c r="J31" i="11"/>
  <c r="H68" i="11"/>
  <c r="H69" i="11" s="1"/>
  <c r="L32" i="11"/>
  <c r="B10" i="4"/>
  <c r="K32" i="11"/>
  <c r="G20" i="11"/>
  <c r="G21" i="11" s="1"/>
  <c r="G22" i="11" s="1"/>
  <c r="G23" i="11" s="1"/>
  <c r="G24" i="11" s="1"/>
  <c r="G25" i="11" s="1"/>
  <c r="A32" i="11"/>
  <c r="C31" i="11"/>
  <c r="B32" i="11"/>
  <c r="C32" i="11" s="1"/>
  <c r="B104" i="3"/>
  <c r="F79" i="2" s="1"/>
  <c r="I79" i="2" s="1"/>
  <c r="J79" i="2" s="1"/>
  <c r="J160" i="2" s="1"/>
  <c r="F50" i="2"/>
  <c r="I50" i="2" s="1"/>
  <c r="F38" i="2"/>
  <c r="G38" i="2" s="1"/>
  <c r="J33" i="11"/>
  <c r="J34" i="11" s="1"/>
  <c r="A33" i="11"/>
  <c r="F140" i="2"/>
  <c r="G140" i="2" s="1"/>
  <c r="G21" i="2"/>
  <c r="D3" i="11"/>
  <c r="E15" i="3"/>
  <c r="E16" i="3" s="1"/>
  <c r="J3" i="11"/>
  <c r="J4" i="11"/>
  <c r="P3" i="11"/>
  <c r="F21" i="1"/>
  <c r="B5" i="11"/>
  <c r="D5" i="11"/>
  <c r="B8" i="11"/>
  <c r="D8" i="11" s="1"/>
  <c r="R8" i="11" s="1"/>
  <c r="B7" i="11"/>
  <c r="D7" i="11"/>
  <c r="B6" i="11"/>
  <c r="D6" i="11" s="1"/>
  <c r="B4" i="11"/>
  <c r="D4" i="11" s="1"/>
  <c r="B22" i="4"/>
  <c r="B23" i="4" s="1"/>
  <c r="C23" i="4" s="1"/>
  <c r="F47" i="2"/>
  <c r="F46" i="2"/>
  <c r="F44" i="2"/>
  <c r="I43" i="2"/>
  <c r="J43" i="2" s="1"/>
  <c r="G43" i="2"/>
  <c r="E3" i="11"/>
  <c r="E4" i="11" s="1"/>
  <c r="E5" i="11" s="1"/>
  <c r="E3" i="3"/>
  <c r="E4" i="3" s="1"/>
  <c r="Q27" i="1"/>
  <c r="J12" i="1" s="1"/>
  <c r="R27" i="1"/>
  <c r="J13" i="1" s="1"/>
  <c r="S27" i="1"/>
  <c r="J14" i="1" s="1"/>
  <c r="T27" i="1"/>
  <c r="J15" i="1" s="1"/>
  <c r="Q28" i="1"/>
  <c r="I12" i="1" s="1"/>
  <c r="R28" i="1"/>
  <c r="I13" i="1" s="1"/>
  <c r="S28" i="1"/>
  <c r="I14" i="1" s="1"/>
  <c r="T28" i="1"/>
  <c r="I15" i="1" s="1"/>
  <c r="B15" i="4"/>
  <c r="D24" i="11"/>
  <c r="L1" i="11"/>
  <c r="E23" i="11"/>
  <c r="E22" i="11"/>
  <c r="E24" i="11" s="1"/>
  <c r="E25" i="11" s="1"/>
  <c r="I3" i="11" s="1"/>
  <c r="I4" i="11" s="1"/>
  <c r="I6" i="11" s="1"/>
  <c r="I8" i="11" s="1"/>
  <c r="I10" i="11" s="1"/>
  <c r="R10" i="11" s="1"/>
  <c r="G217" i="2" s="1"/>
  <c r="E19" i="1" s="1"/>
  <c r="N77" i="3"/>
  <c r="N78" i="3" s="1"/>
  <c r="M77" i="3"/>
  <c r="M78" i="3" s="1"/>
  <c r="N72" i="3"/>
  <c r="N73" i="3" s="1"/>
  <c r="M72" i="3"/>
  <c r="M73" i="3" s="1"/>
  <c r="L72" i="3"/>
  <c r="L73" i="3" s="1"/>
  <c r="K67" i="3"/>
  <c r="K68" i="3" s="1"/>
  <c r="B75" i="3"/>
  <c r="B70" i="3"/>
  <c r="B65" i="3"/>
  <c r="B55" i="3"/>
  <c r="B50" i="3"/>
  <c r="B45" i="3"/>
  <c r="B40" i="3"/>
  <c r="U27" i="1"/>
  <c r="J16" i="1" s="1"/>
  <c r="I21" i="2"/>
  <c r="G7" i="2"/>
  <c r="I28" i="1"/>
  <c r="I48" i="2"/>
  <c r="I28" i="2"/>
  <c r="J28" i="2" s="1"/>
  <c r="I17" i="2"/>
  <c r="C9" i="4"/>
  <c r="I81" i="2"/>
  <c r="J81" i="2" s="1"/>
  <c r="I80" i="2"/>
  <c r="J80" i="2" s="1"/>
  <c r="I76" i="2"/>
  <c r="J76" i="2" s="1"/>
  <c r="I72" i="2"/>
  <c r="J72" i="2" s="1"/>
  <c r="I70" i="2"/>
  <c r="G37" i="2"/>
  <c r="U28" i="1"/>
  <c r="V28" i="1"/>
  <c r="I17" i="1" s="1"/>
  <c r="W28" i="1"/>
  <c r="I18" i="1" s="1"/>
  <c r="X28" i="1"/>
  <c r="I19" i="1" s="1"/>
  <c r="Y28" i="1"/>
  <c r="I20" i="1" s="1"/>
  <c r="Z28" i="1"/>
  <c r="I21" i="1" s="1"/>
  <c r="V27" i="1"/>
  <c r="J17" i="1" s="1"/>
  <c r="W27" i="1"/>
  <c r="J18" i="1" s="1"/>
  <c r="X27" i="1"/>
  <c r="J19" i="1" s="1"/>
  <c r="Y27" i="1"/>
  <c r="J20" i="1" s="1"/>
  <c r="Z27" i="1"/>
  <c r="J21" i="1" s="1"/>
  <c r="B87" i="2"/>
  <c r="B88" i="2" s="1"/>
  <c r="B89" i="2" s="1"/>
  <c r="B90" i="2" s="1"/>
  <c r="I42" i="2"/>
  <c r="J42" i="2" s="1"/>
  <c r="I10" i="2"/>
  <c r="C174" i="2"/>
  <c r="C171" i="2"/>
  <c r="C170" i="2"/>
  <c r="C167" i="2"/>
  <c r="C166" i="2"/>
  <c r="B107" i="2"/>
  <c r="B108" i="2" s="1"/>
  <c r="B4" i="3"/>
  <c r="B38" i="3" s="1"/>
  <c r="C100" i="2"/>
  <c r="C99" i="2"/>
  <c r="J123" i="2"/>
  <c r="J171" i="2" s="1"/>
  <c r="I123" i="2"/>
  <c r="I171" i="2" s="1"/>
  <c r="G123" i="2"/>
  <c r="G171" i="2" s="1"/>
  <c r="F123" i="2"/>
  <c r="F171" i="2" s="1"/>
  <c r="J132" i="2"/>
  <c r="J174" i="2" s="1"/>
  <c r="J175" i="2" s="1"/>
  <c r="I132" i="2"/>
  <c r="I174" i="2" s="1"/>
  <c r="I175" i="2" s="1"/>
  <c r="G132" i="2"/>
  <c r="G174" i="2" s="1"/>
  <c r="G175" i="2" s="1"/>
  <c r="G183" i="2" s="1"/>
  <c r="F132" i="2"/>
  <c r="F174" i="2" s="1"/>
  <c r="F175" i="2" s="1"/>
  <c r="B127" i="2"/>
  <c r="B128" i="2"/>
  <c r="B129" i="2" s="1"/>
  <c r="B130" i="2" s="1"/>
  <c r="B131" i="2" s="1"/>
  <c r="C101" i="2"/>
  <c r="C98" i="2"/>
  <c r="C97" i="2"/>
  <c r="B111" i="2"/>
  <c r="B112" i="2" s="1"/>
  <c r="B113" i="2" s="1"/>
  <c r="B114" i="2" s="1"/>
  <c r="B115" i="2" s="1"/>
  <c r="B116" i="2" s="1"/>
  <c r="B117" i="2" s="1"/>
  <c r="B118" i="2" s="1"/>
  <c r="B119" i="2" s="1"/>
  <c r="B98" i="2"/>
  <c r="B99" i="2" s="1"/>
  <c r="B100" i="2" s="1"/>
  <c r="B101" i="2" s="1"/>
  <c r="B102" i="2" s="1"/>
  <c r="B103" i="2" s="1"/>
  <c r="I25" i="2"/>
  <c r="I24" i="2"/>
  <c r="J24" i="2" s="1"/>
  <c r="J141" i="2" s="1"/>
  <c r="B33" i="2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50" i="2" s="1"/>
  <c r="B51" i="2" s="1"/>
  <c r="B52" i="2" s="1"/>
  <c r="B53" i="2" s="1"/>
  <c r="B54" i="2" s="1"/>
  <c r="B55" i="2" s="1"/>
  <c r="B56" i="2" s="1"/>
  <c r="B57" i="2" s="1"/>
  <c r="A9" i="1"/>
  <c r="I53" i="2"/>
  <c r="AA18" i="1"/>
  <c r="I56" i="2"/>
  <c r="J56" i="2" s="1"/>
  <c r="I55" i="2"/>
  <c r="J55" i="2" s="1"/>
  <c r="I49" i="2"/>
  <c r="G40" i="2"/>
  <c r="I29" i="2"/>
  <c r="J29" i="2" s="1"/>
  <c r="I40" i="2"/>
  <c r="J40" i="2" s="1"/>
  <c r="I34" i="2"/>
  <c r="J34" i="2" s="1"/>
  <c r="M12" i="3"/>
  <c r="M13" i="3" s="1"/>
  <c r="N12" i="3"/>
  <c r="N13" i="3" s="1"/>
  <c r="G34" i="2"/>
  <c r="C23" i="1"/>
  <c r="F18" i="2"/>
  <c r="I18" i="2" s="1"/>
  <c r="I7" i="2"/>
  <c r="J7" i="2" s="1"/>
  <c r="G189" i="2"/>
  <c r="J189" i="2" s="1"/>
  <c r="I15" i="2"/>
  <c r="I12" i="2"/>
  <c r="I11" i="2"/>
  <c r="I14" i="2"/>
  <c r="I68" i="2"/>
  <c r="I22" i="2"/>
  <c r="J22" i="2" s="1"/>
  <c r="J20" i="2"/>
  <c r="J97" i="2"/>
  <c r="J45" i="2"/>
  <c r="J33" i="2"/>
  <c r="I142" i="2"/>
  <c r="F142" i="2"/>
  <c r="I20" i="2"/>
  <c r="G56" i="2"/>
  <c r="G55" i="2"/>
  <c r="G42" i="2"/>
  <c r="G33" i="2"/>
  <c r="G29" i="2"/>
  <c r="G28" i="2"/>
  <c r="F141" i="2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G24" i="2"/>
  <c r="G141" i="2" s="1"/>
  <c r="F211" i="2"/>
  <c r="F212" i="2" s="1"/>
  <c r="F213" i="2" s="1"/>
  <c r="F214" i="2" s="1"/>
  <c r="G68" i="2"/>
  <c r="J68" i="2" s="1"/>
  <c r="G72" i="2"/>
  <c r="U37" i="1"/>
  <c r="V37" i="1" s="1"/>
  <c r="G142" i="2"/>
  <c r="J142" i="2"/>
  <c r="B21" i="3"/>
  <c r="F23" i="2"/>
  <c r="B14" i="4"/>
  <c r="B12" i="4"/>
  <c r="C12" i="4" s="1"/>
  <c r="I69" i="2"/>
  <c r="J69" i="2"/>
  <c r="G69" i="2"/>
  <c r="G30" i="2"/>
  <c r="J30" i="2" s="1"/>
  <c r="F83" i="2"/>
  <c r="I91" i="2" s="1"/>
  <c r="J91" i="2" s="1"/>
  <c r="I30" i="2"/>
  <c r="G97" i="2"/>
  <c r="G45" i="2"/>
  <c r="G23" i="2"/>
  <c r="J220" i="2"/>
  <c r="I117" i="2"/>
  <c r="J117" i="2" s="1"/>
  <c r="I118" i="2"/>
  <c r="J118" i="2" s="1"/>
  <c r="A34" i="11"/>
  <c r="A35" i="11" s="1"/>
  <c r="A36" i="11" s="1"/>
  <c r="A37" i="11" s="1"/>
  <c r="A38" i="11" s="1"/>
  <c r="J70" i="2"/>
  <c r="P4" i="11"/>
  <c r="P5" i="11"/>
  <c r="P6" i="11"/>
  <c r="P7" i="11" s="1"/>
  <c r="P8" i="11" s="1"/>
  <c r="P9" i="11" s="1"/>
  <c r="P10" i="11"/>
  <c r="M4" i="11"/>
  <c r="J5" i="11"/>
  <c r="M3" i="11"/>
  <c r="F36" i="3"/>
  <c r="G36" i="3" s="1"/>
  <c r="H36" i="3" s="1"/>
  <c r="I36" i="3" s="1"/>
  <c r="J36" i="3" s="1"/>
  <c r="K36" i="3" s="1"/>
  <c r="L36" i="3" s="1"/>
  <c r="M36" i="3" s="1"/>
  <c r="N36" i="3" s="1"/>
  <c r="O36" i="3" s="1"/>
  <c r="G2" i="3"/>
  <c r="H2" i="3" s="1"/>
  <c r="I2" i="3" s="1"/>
  <c r="J2" i="3" s="1"/>
  <c r="K2" i="3" s="1"/>
  <c r="L2" i="3" s="1"/>
  <c r="M2" i="3" s="1"/>
  <c r="N2" i="3" s="1"/>
  <c r="O2" i="3" s="1"/>
  <c r="B23" i="3"/>
  <c r="B92" i="3" s="1"/>
  <c r="F36" i="2"/>
  <c r="F39" i="2" s="1"/>
  <c r="I39" i="2" s="1"/>
  <c r="J39" i="2" s="1"/>
  <c r="B33" i="11"/>
  <c r="C33" i="11" s="1"/>
  <c r="B34" i="11" s="1"/>
  <c r="C34" i="11" s="1"/>
  <c r="B35" i="11" s="1"/>
  <c r="C35" i="11" s="1"/>
  <c r="B36" i="11" s="1"/>
  <c r="C36" i="11" s="1"/>
  <c r="B37" i="11" s="1"/>
  <c r="C37" i="11" s="1"/>
  <c r="B38" i="11" s="1"/>
  <c r="C38" i="11" s="1"/>
  <c r="B39" i="11" s="1"/>
  <c r="C39" i="11" s="1"/>
  <c r="B40" i="11" s="1"/>
  <c r="C40" i="11" s="1"/>
  <c r="B41" i="11" s="1"/>
  <c r="C41" i="11" s="1"/>
  <c r="B42" i="11" s="1"/>
  <c r="C42" i="11" s="1"/>
  <c r="B43" i="11" s="1"/>
  <c r="C43" i="11" s="1"/>
  <c r="B44" i="11" s="1"/>
  <c r="C44" i="11" s="1"/>
  <c r="B45" i="11" s="1"/>
  <c r="C45" i="11" s="1"/>
  <c r="B46" i="11" s="1"/>
  <c r="C46" i="11" s="1"/>
  <c r="B47" i="11" s="1"/>
  <c r="C47" i="11" s="1"/>
  <c r="B48" i="11" s="1"/>
  <c r="C48" i="11" s="1"/>
  <c r="B49" i="11" s="1"/>
  <c r="C49" i="11" s="1"/>
  <c r="B50" i="11" s="1"/>
  <c r="C50" i="11" s="1"/>
  <c r="B51" i="11" s="1"/>
  <c r="C51" i="11" s="1"/>
  <c r="B52" i="11" s="1"/>
  <c r="C52" i="11" s="1"/>
  <c r="B53" i="11" s="1"/>
  <c r="C53" i="11" s="1"/>
  <c r="B54" i="11" s="1"/>
  <c r="C54" i="11" s="1"/>
  <c r="B55" i="11" s="1"/>
  <c r="C55" i="11" s="1"/>
  <c r="B56" i="11" s="1"/>
  <c r="C56" i="11" s="1"/>
  <c r="B57" i="11" s="1"/>
  <c r="C57" i="11" s="1"/>
  <c r="B58" i="11" s="1"/>
  <c r="C58" i="11" s="1"/>
  <c r="B59" i="11" s="1"/>
  <c r="C59" i="11" s="1"/>
  <c r="B60" i="11" s="1"/>
  <c r="C60" i="11" s="1"/>
  <c r="B61" i="11" s="1"/>
  <c r="C61" i="11" s="1"/>
  <c r="B62" i="11" s="1"/>
  <c r="C62" i="11" s="1"/>
  <c r="B63" i="11" s="1"/>
  <c r="C63" i="11" s="1"/>
  <c r="B64" i="11" s="1"/>
  <c r="C64" i="11" s="1"/>
  <c r="B65" i="11" s="1"/>
  <c r="C65" i="11" s="1"/>
  <c r="B66" i="11" s="1"/>
  <c r="C66" i="11" s="1"/>
  <c r="B67" i="11" s="1"/>
  <c r="C67" i="11" s="1"/>
  <c r="B68" i="11" s="1"/>
  <c r="C68" i="11" s="1"/>
  <c r="B69" i="11" s="1"/>
  <c r="C69" i="11" s="1"/>
  <c r="B70" i="11" s="1"/>
  <c r="C70" i="11" s="1"/>
  <c r="B71" i="11" s="1"/>
  <c r="C71" i="11" s="1"/>
  <c r="B72" i="11" s="1"/>
  <c r="C72" i="11" s="1"/>
  <c r="B73" i="11" s="1"/>
  <c r="C73" i="11" s="1"/>
  <c r="B74" i="11" s="1"/>
  <c r="C74" i="11" s="1"/>
  <c r="B75" i="11" s="1"/>
  <c r="C75" i="11" s="1"/>
  <c r="B76" i="11" s="1"/>
  <c r="C76" i="11" s="1"/>
  <c r="B77" i="11" s="1"/>
  <c r="C77" i="11" s="1"/>
  <c r="B78" i="11" s="1"/>
  <c r="C78" i="11" s="1"/>
  <c r="B79" i="11" s="1"/>
  <c r="C79" i="11" s="1"/>
  <c r="B80" i="11" s="1"/>
  <c r="C80" i="11" s="1"/>
  <c r="B81" i="11" s="1"/>
  <c r="C81" i="11" s="1"/>
  <c r="B82" i="11" s="1"/>
  <c r="C82" i="11" s="1"/>
  <c r="B83" i="11" s="1"/>
  <c r="C83" i="11" s="1"/>
  <c r="B84" i="11" s="1"/>
  <c r="C84" i="11" s="1"/>
  <c r="B85" i="11" s="1"/>
  <c r="C85" i="11" s="1"/>
  <c r="B86" i="11" s="1"/>
  <c r="C86" i="11" s="1"/>
  <c r="B87" i="11" s="1"/>
  <c r="C87" i="11" s="1"/>
  <c r="B88" i="11" s="1"/>
  <c r="C88" i="11" s="1"/>
  <c r="B89" i="11" s="1"/>
  <c r="C89" i="11" s="1"/>
  <c r="B90" i="11" s="1"/>
  <c r="C90" i="11" s="1"/>
  <c r="B91" i="11" s="1"/>
  <c r="C91" i="11" s="1"/>
  <c r="B92" i="11" s="1"/>
  <c r="C92" i="11" s="1"/>
  <c r="B93" i="11" s="1"/>
  <c r="C93" i="11" s="1"/>
  <c r="B94" i="11" s="1"/>
  <c r="C94" i="11" s="1"/>
  <c r="B95" i="11" s="1"/>
  <c r="C95" i="11" s="1"/>
  <c r="B96" i="11" s="1"/>
  <c r="C96" i="11" s="1"/>
  <c r="B97" i="11" s="1"/>
  <c r="C97" i="11" s="1"/>
  <c r="B98" i="11" s="1"/>
  <c r="C98" i="11" s="1"/>
  <c r="B99" i="11" s="1"/>
  <c r="C99" i="11" s="1"/>
  <c r="B100" i="11" s="1"/>
  <c r="C100" i="11" s="1"/>
  <c r="B101" i="11" s="1"/>
  <c r="C101" i="11" s="1"/>
  <c r="B102" i="11" s="1"/>
  <c r="C102" i="11" s="1"/>
  <c r="F51" i="2" s="1"/>
  <c r="F33" i="11"/>
  <c r="F34" i="11"/>
  <c r="F35" i="11"/>
  <c r="F36" i="11"/>
  <c r="F37" i="11"/>
  <c r="F38" i="11" s="1"/>
  <c r="F39" i="11" s="1"/>
  <c r="F40" i="11" s="1"/>
  <c r="F41" i="11" s="1"/>
  <c r="F42" i="11" s="1"/>
  <c r="F43" i="11" s="1"/>
  <c r="F44" i="11" s="1"/>
  <c r="F45" i="11" s="1"/>
  <c r="F46" i="11" s="1"/>
  <c r="F47" i="11" s="1"/>
  <c r="F48" i="11" s="1"/>
  <c r="F49" i="11" s="1"/>
  <c r="F50" i="11" s="1"/>
  <c r="F51" i="11" s="1"/>
  <c r="F52" i="11" s="1"/>
  <c r="F53" i="11" s="1"/>
  <c r="F54" i="11" s="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3" i="11"/>
  <c r="F4" i="11" s="1"/>
  <c r="F5" i="11" s="1"/>
  <c r="F6" i="11" s="1"/>
  <c r="F7" i="11" s="1"/>
  <c r="F8" i="11" s="1"/>
  <c r="F9" i="11" s="1"/>
  <c r="F10" i="11" s="1"/>
  <c r="R5" i="11"/>
  <c r="E33" i="11"/>
  <c r="M32" i="11"/>
  <c r="E34" i="11"/>
  <c r="K33" i="11"/>
  <c r="I67" i="2"/>
  <c r="G67" i="2"/>
  <c r="J67" i="2" s="1"/>
  <c r="I32" i="2"/>
  <c r="J32" i="2" s="1"/>
  <c r="G32" i="2"/>
  <c r="H47" i="3" l="1"/>
  <c r="H48" i="3" s="1"/>
  <c r="B56" i="3"/>
  <c r="J52" i="3"/>
  <c r="J53" i="3" s="1"/>
  <c r="G47" i="3"/>
  <c r="G48" i="3" s="1"/>
  <c r="I52" i="3"/>
  <c r="I53" i="3" s="1"/>
  <c r="E46" i="3"/>
  <c r="L57" i="3"/>
  <c r="L58" i="3" s="1"/>
  <c r="E56" i="3"/>
  <c r="B51" i="3"/>
  <c r="I57" i="3"/>
  <c r="I58" i="3" s="1"/>
  <c r="L47" i="3"/>
  <c r="L48" i="3" s="1"/>
  <c r="M27" i="3"/>
  <c r="M96" i="3"/>
  <c r="AA27" i="1"/>
  <c r="J57" i="3"/>
  <c r="J58" i="3" s="1"/>
  <c r="N27" i="3"/>
  <c r="B41" i="3"/>
  <c r="J23" i="1"/>
  <c r="B46" i="3"/>
  <c r="K52" i="3"/>
  <c r="K53" i="3" s="1"/>
  <c r="E51" i="3"/>
  <c r="I47" i="3"/>
  <c r="I48" i="3" s="1"/>
  <c r="L52" i="3"/>
  <c r="L53" i="3" s="1"/>
  <c r="B19" i="3"/>
  <c r="B22" i="3"/>
  <c r="B90" i="3"/>
  <c r="B7" i="3"/>
  <c r="B61" i="3"/>
  <c r="F27" i="2"/>
  <c r="I27" i="2" s="1"/>
  <c r="J27" i="2" s="1"/>
  <c r="J62" i="3"/>
  <c r="J63" i="3" s="1"/>
  <c r="K62" i="3"/>
  <c r="K63" i="3" s="1"/>
  <c r="J47" i="3"/>
  <c r="J48" i="3" s="1"/>
  <c r="N96" i="3"/>
  <c r="L62" i="3"/>
  <c r="L63" i="3" s="1"/>
  <c r="O96" i="3"/>
  <c r="O98" i="3" s="1"/>
  <c r="C22" i="4"/>
  <c r="G91" i="2"/>
  <c r="F160" i="2"/>
  <c r="B28" i="2"/>
  <c r="B29" i="2" s="1"/>
  <c r="B30" i="2" s="1"/>
  <c r="G79" i="2"/>
  <c r="G160" i="2" s="1"/>
  <c r="B105" i="3"/>
  <c r="F100" i="2" s="1"/>
  <c r="G190" i="2"/>
  <c r="G191" i="2" s="1"/>
  <c r="G192" i="2" s="1"/>
  <c r="J192" i="2" s="1"/>
  <c r="I160" i="2"/>
  <c r="B91" i="2"/>
  <c r="B92" i="2" s="1"/>
  <c r="B93" i="2" s="1"/>
  <c r="B94" i="2" s="1"/>
  <c r="I141" i="2"/>
  <c r="I23" i="2"/>
  <c r="I26" i="2" s="1"/>
  <c r="J26" i="2" s="1"/>
  <c r="T15" i="1"/>
  <c r="F159" i="2"/>
  <c r="Z16" i="1"/>
  <c r="F215" i="2"/>
  <c r="F216" i="2" s="1"/>
  <c r="F217" i="2" s="1"/>
  <c r="F218" i="2" s="1"/>
  <c r="G203" i="2"/>
  <c r="J203" i="2" s="1"/>
  <c r="F54" i="2"/>
  <c r="I54" i="2" s="1"/>
  <c r="J21" i="2"/>
  <c r="J23" i="2" s="1"/>
  <c r="J190" i="2" s="1"/>
  <c r="J191" i="2" s="1"/>
  <c r="T17" i="1"/>
  <c r="Z15" i="1"/>
  <c r="U17" i="1"/>
  <c r="Q16" i="1"/>
  <c r="U16" i="1"/>
  <c r="Y16" i="1"/>
  <c r="Q17" i="1"/>
  <c r="V17" i="1"/>
  <c r="Y17" i="1"/>
  <c r="Z17" i="1"/>
  <c r="G83" i="2"/>
  <c r="R15" i="1"/>
  <c r="V15" i="1"/>
  <c r="V35" i="1"/>
  <c r="I140" i="2"/>
  <c r="J197" i="2" s="1"/>
  <c r="R16" i="1"/>
  <c r="V16" i="1"/>
  <c r="V36" i="1"/>
  <c r="R17" i="1"/>
  <c r="W17" i="1"/>
  <c r="S17" i="1"/>
  <c r="W16" i="1"/>
  <c r="D23" i="4"/>
  <c r="S15" i="1"/>
  <c r="X17" i="1"/>
  <c r="T16" i="1"/>
  <c r="X16" i="1"/>
  <c r="Y15" i="1"/>
  <c r="S16" i="1"/>
  <c r="X15" i="1"/>
  <c r="I36" i="2"/>
  <c r="J36" i="2" s="1"/>
  <c r="B10" i="1"/>
  <c r="B11" i="1" s="1"/>
  <c r="E10" i="1"/>
  <c r="E11" i="1" s="1"/>
  <c r="F71" i="2"/>
  <c r="G71" i="2" s="1"/>
  <c r="F26" i="2"/>
  <c r="G26" i="2" s="1"/>
  <c r="G25" i="2" s="1"/>
  <c r="J25" i="2" s="1"/>
  <c r="E31" i="11"/>
  <c r="L31" i="11" s="1"/>
  <c r="O39" i="11" s="1"/>
  <c r="G193" i="2"/>
  <c r="J193" i="2" s="1"/>
  <c r="G197" i="2"/>
  <c r="F31" i="11"/>
  <c r="D12" i="1"/>
  <c r="D13" i="1"/>
  <c r="F52" i="2"/>
  <c r="I52" i="2" s="1"/>
  <c r="A65" i="11"/>
  <c r="A66" i="11" s="1"/>
  <c r="A67" i="11" s="1"/>
  <c r="A68" i="11" s="1"/>
  <c r="A69" i="11" s="1"/>
  <c r="A70" i="11" s="1"/>
  <c r="A71" i="11" s="1"/>
  <c r="A72" i="11" s="1"/>
  <c r="A73" i="11" s="1"/>
  <c r="A74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101" i="11" s="1"/>
  <c r="A102" i="11" s="1"/>
  <c r="L34" i="11"/>
  <c r="J35" i="11"/>
  <c r="R6" i="11"/>
  <c r="E6" i="11"/>
  <c r="E7" i="11" s="1"/>
  <c r="E8" i="11" s="1"/>
  <c r="S5" i="11"/>
  <c r="H70" i="11"/>
  <c r="L33" i="11"/>
  <c r="S4" i="11"/>
  <c r="R4" i="11"/>
  <c r="S3" i="11"/>
  <c r="R3" i="11"/>
  <c r="K34" i="11"/>
  <c r="E35" i="11"/>
  <c r="M5" i="11"/>
  <c r="J6" i="11"/>
  <c r="R7" i="11"/>
  <c r="L4" i="11"/>
  <c r="L3" i="11"/>
  <c r="I5" i="11"/>
  <c r="I44" i="2"/>
  <c r="G44" i="2"/>
  <c r="U34" i="1"/>
  <c r="V34" i="1" s="1"/>
  <c r="B11" i="4"/>
  <c r="G39" i="2"/>
  <c r="G36" i="2"/>
  <c r="I38" i="2"/>
  <c r="J38" i="2" s="1"/>
  <c r="I51" i="2"/>
  <c r="H3" i="11"/>
  <c r="F41" i="2"/>
  <c r="F10" i="1" s="1"/>
  <c r="F11" i="1" s="1"/>
  <c r="A53" i="11"/>
  <c r="A54" i="11" s="1"/>
  <c r="A55" i="11" s="1"/>
  <c r="A56" i="11" s="1"/>
  <c r="A57" i="11" s="1"/>
  <c r="A58" i="11" s="1"/>
  <c r="A59" i="11" s="1"/>
  <c r="A60" i="11" s="1"/>
  <c r="A61" i="11" s="1"/>
  <c r="A62" i="11" s="1"/>
  <c r="H22" i="11"/>
  <c r="I78" i="2"/>
  <c r="I16" i="1"/>
  <c r="G159" i="2"/>
  <c r="AA28" i="1"/>
  <c r="H12" i="3"/>
  <c r="H13" i="3" s="1"/>
  <c r="G12" i="3"/>
  <c r="G13" i="3" s="1"/>
  <c r="K12" i="3"/>
  <c r="K13" i="3" s="1"/>
  <c r="L12" i="3"/>
  <c r="I12" i="3"/>
  <c r="I13" i="3" s="1"/>
  <c r="F12" i="3"/>
  <c r="F13" i="3" s="1"/>
  <c r="J12" i="3"/>
  <c r="J13" i="3" s="1"/>
  <c r="L42" i="3" l="1"/>
  <c r="L43" i="3" s="1"/>
  <c r="L96" i="3" s="1"/>
  <c r="J42" i="3"/>
  <c r="J43" i="3" s="1"/>
  <c r="H42" i="3"/>
  <c r="H43" i="3" s="1"/>
  <c r="H96" i="3" s="1"/>
  <c r="I42" i="3"/>
  <c r="I43" i="3" s="1"/>
  <c r="I96" i="3" s="1"/>
  <c r="F42" i="3"/>
  <c r="F43" i="3" s="1"/>
  <c r="F96" i="3" s="1"/>
  <c r="F91" i="3" s="1"/>
  <c r="K42" i="3"/>
  <c r="K43" i="3" s="1"/>
  <c r="K96" i="3"/>
  <c r="G42" i="3"/>
  <c r="G43" i="3" s="1"/>
  <c r="G96" i="3" s="1"/>
  <c r="J18" i="3"/>
  <c r="J19" i="3" s="1"/>
  <c r="I18" i="3"/>
  <c r="I19" i="3" s="1"/>
  <c r="H18" i="3"/>
  <c r="H19" i="3" s="1"/>
  <c r="G18" i="3"/>
  <c r="G19" i="3" s="1"/>
  <c r="F18" i="3"/>
  <c r="F19" i="3" s="1"/>
  <c r="G27" i="2"/>
  <c r="F102" i="2"/>
  <c r="G102" i="2" s="1"/>
  <c r="J96" i="3"/>
  <c r="B106" i="3"/>
  <c r="I71" i="2"/>
  <c r="J71" i="2" s="1"/>
  <c r="J194" i="2"/>
  <c r="F220" i="2"/>
  <c r="J140" i="2"/>
  <c r="AA17" i="1"/>
  <c r="J83" i="2"/>
  <c r="G54" i="2"/>
  <c r="G196" i="2" s="1"/>
  <c r="B16" i="4"/>
  <c r="D24" i="4" s="1"/>
  <c r="F101" i="2" s="1"/>
  <c r="I101" i="2" s="1"/>
  <c r="AA16" i="1"/>
  <c r="S6" i="11"/>
  <c r="K31" i="11"/>
  <c r="B91" i="3"/>
  <c r="L6" i="11"/>
  <c r="I100" i="2"/>
  <c r="J100" i="2" s="1"/>
  <c r="G100" i="2"/>
  <c r="D16" i="1"/>
  <c r="D17" i="1" s="1"/>
  <c r="D14" i="1"/>
  <c r="D15" i="1"/>
  <c r="L35" i="11"/>
  <c r="J36" i="11"/>
  <c r="H71" i="11"/>
  <c r="L5" i="11"/>
  <c r="I7" i="11"/>
  <c r="M33" i="11"/>
  <c r="K35" i="11"/>
  <c r="E36" i="11"/>
  <c r="M34" i="11"/>
  <c r="E9" i="11"/>
  <c r="H23" i="11"/>
  <c r="J7" i="11"/>
  <c r="M6" i="11"/>
  <c r="H20" i="11"/>
  <c r="H25" i="11"/>
  <c r="L8" i="11"/>
  <c r="B13" i="4"/>
  <c r="Q3" i="11"/>
  <c r="H4" i="11"/>
  <c r="H5" i="11"/>
  <c r="K3" i="11"/>
  <c r="N3" i="11" s="1"/>
  <c r="J44" i="2"/>
  <c r="G41" i="2"/>
  <c r="I41" i="2"/>
  <c r="J41" i="2" s="1"/>
  <c r="J54" i="2"/>
  <c r="J196" i="2" s="1"/>
  <c r="U38" i="1"/>
  <c r="V38" i="1"/>
  <c r="H19" i="11"/>
  <c r="H24" i="11"/>
  <c r="H21" i="11"/>
  <c r="I159" i="2"/>
  <c r="J78" i="2"/>
  <c r="I23" i="1"/>
  <c r="L13" i="3"/>
  <c r="I6" i="3"/>
  <c r="I7" i="3" s="1"/>
  <c r="H6" i="3"/>
  <c r="H7" i="3" s="1"/>
  <c r="K6" i="3"/>
  <c r="K7" i="3" s="1"/>
  <c r="K27" i="3" s="1"/>
  <c r="J6" i="3"/>
  <c r="J7" i="3" s="1"/>
  <c r="F77" i="2"/>
  <c r="I77" i="2" s="1"/>
  <c r="I158" i="2" s="1"/>
  <c r="G6" i="3"/>
  <c r="G7" i="3" s="1"/>
  <c r="F6" i="3"/>
  <c r="F7" i="3" s="1"/>
  <c r="L6" i="3"/>
  <c r="L7" i="3" s="1"/>
  <c r="B3" i="3"/>
  <c r="F21" i="3" s="1"/>
  <c r="H27" i="3" l="1"/>
  <c r="G27" i="3"/>
  <c r="E96" i="3"/>
  <c r="J27" i="3"/>
  <c r="G90" i="3"/>
  <c r="F92" i="3"/>
  <c r="F95" i="3" s="1"/>
  <c r="F98" i="3" s="1"/>
  <c r="I27" i="3"/>
  <c r="L27" i="3"/>
  <c r="F27" i="3"/>
  <c r="F22" i="3" s="1"/>
  <c r="I102" i="2"/>
  <c r="J102" i="2" s="1"/>
  <c r="I161" i="2"/>
  <c r="G101" i="2"/>
  <c r="M31" i="11"/>
  <c r="W26" i="1"/>
  <c r="W15" i="1" s="1"/>
  <c r="Q15" i="1"/>
  <c r="D19" i="1"/>
  <c r="D18" i="1"/>
  <c r="M7" i="11"/>
  <c r="J8" i="11"/>
  <c r="S7" i="11"/>
  <c r="E10" i="11"/>
  <c r="L7" i="11"/>
  <c r="I9" i="11"/>
  <c r="M35" i="11"/>
  <c r="H72" i="11"/>
  <c r="J37" i="11"/>
  <c r="L36" i="11"/>
  <c r="E37" i="11"/>
  <c r="K36" i="11"/>
  <c r="M36" i="11" s="1"/>
  <c r="K4" i="11"/>
  <c r="N4" i="11" s="1"/>
  <c r="H6" i="11"/>
  <c r="Q4" i="11"/>
  <c r="T4" i="11" s="1"/>
  <c r="T3" i="11"/>
  <c r="H26" i="11"/>
  <c r="J101" i="2"/>
  <c r="G10" i="1"/>
  <c r="G11" i="1"/>
  <c r="C13" i="4"/>
  <c r="H7" i="11"/>
  <c r="K5" i="11"/>
  <c r="N5" i="11" s="1"/>
  <c r="Q5" i="11"/>
  <c r="T5" i="11" s="1"/>
  <c r="J159" i="2"/>
  <c r="G26" i="1"/>
  <c r="H26" i="1" s="1"/>
  <c r="G77" i="2"/>
  <c r="F75" i="2"/>
  <c r="F158" i="2"/>
  <c r="E27" i="3" l="1"/>
  <c r="G91" i="3"/>
  <c r="H90" i="3" s="1"/>
  <c r="H91" i="3" s="1"/>
  <c r="I90" i="3" s="1"/>
  <c r="I91" i="3" s="1"/>
  <c r="J90" i="3" s="1"/>
  <c r="J91" i="3" s="1"/>
  <c r="K90" i="3" s="1"/>
  <c r="K91" i="3" s="1"/>
  <c r="L90" i="3" s="1"/>
  <c r="G21" i="3"/>
  <c r="G22" i="3" s="1"/>
  <c r="H21" i="3" s="1"/>
  <c r="H22" i="3" s="1"/>
  <c r="I21" i="3" s="1"/>
  <c r="I22" i="3" s="1"/>
  <c r="F23" i="3"/>
  <c r="F26" i="3" s="1"/>
  <c r="F29" i="3" s="1"/>
  <c r="AA26" i="1"/>
  <c r="D20" i="1"/>
  <c r="G19" i="1"/>
  <c r="H19" i="1" s="1"/>
  <c r="E38" i="11"/>
  <c r="K37" i="11"/>
  <c r="L37" i="11"/>
  <c r="J38" i="11"/>
  <c r="L9" i="11"/>
  <c r="R9" i="11"/>
  <c r="L10" i="11"/>
  <c r="H73" i="11"/>
  <c r="M8" i="11"/>
  <c r="J9" i="11"/>
  <c r="S8" i="11"/>
  <c r="Q7" i="11"/>
  <c r="T7" i="11" s="1"/>
  <c r="H9" i="11"/>
  <c r="K7" i="11"/>
  <c r="N7" i="11" s="1"/>
  <c r="U3" i="11"/>
  <c r="F89" i="2"/>
  <c r="K6" i="11"/>
  <c r="N6" i="11" s="1"/>
  <c r="H8" i="11"/>
  <c r="Q6" i="11"/>
  <c r="T6" i="11" s="1"/>
  <c r="K26" i="1"/>
  <c r="I75" i="2"/>
  <c r="J75" i="2" s="1"/>
  <c r="J77" i="2"/>
  <c r="J158" i="2" s="1"/>
  <c r="J161" i="2" s="1"/>
  <c r="G158" i="2"/>
  <c r="G75" i="2"/>
  <c r="F161" i="2"/>
  <c r="J92" i="3" l="1"/>
  <c r="J95" i="3" s="1"/>
  <c r="J98" i="3" s="1"/>
  <c r="H92" i="3"/>
  <c r="H95" i="3" s="1"/>
  <c r="H98" i="3" s="1"/>
  <c r="I92" i="3"/>
  <c r="I95" i="3" s="1"/>
  <c r="I98" i="3" s="1"/>
  <c r="G92" i="3"/>
  <c r="G95" i="3" s="1"/>
  <c r="G98" i="3" s="1"/>
  <c r="G23" i="3"/>
  <c r="G26" i="3" s="1"/>
  <c r="G29" i="3" s="1"/>
  <c r="D21" i="1"/>
  <c r="G20" i="1"/>
  <c r="H20" i="1" s="1"/>
  <c r="K19" i="1"/>
  <c r="L19" i="1" s="1"/>
  <c r="X14" i="1"/>
  <c r="J10" i="11"/>
  <c r="M9" i="11"/>
  <c r="S9" i="11"/>
  <c r="J39" i="11"/>
  <c r="L38" i="11"/>
  <c r="H74" i="11"/>
  <c r="M37" i="11"/>
  <c r="E18" i="1"/>
  <c r="R11" i="11"/>
  <c r="K38" i="11"/>
  <c r="N39" i="11" s="1"/>
  <c r="E39" i="11"/>
  <c r="H10" i="11"/>
  <c r="K8" i="11"/>
  <c r="N8" i="11" s="1"/>
  <c r="Q8" i="11"/>
  <c r="AA15" i="1"/>
  <c r="Q9" i="11"/>
  <c r="K9" i="11"/>
  <c r="N9" i="11" s="1"/>
  <c r="I89" i="2"/>
  <c r="J89" i="2" s="1"/>
  <c r="G89" i="2"/>
  <c r="L91" i="3"/>
  <c r="M90" i="3" s="1"/>
  <c r="K92" i="3"/>
  <c r="K95" i="3" s="1"/>
  <c r="H23" i="3"/>
  <c r="H26" i="3" s="1"/>
  <c r="G161" i="2"/>
  <c r="J21" i="3"/>
  <c r="J22" i="3" s="1"/>
  <c r="G21" i="1" l="1"/>
  <c r="D23" i="1"/>
  <c r="X25" i="1"/>
  <c r="X30" i="1" s="1"/>
  <c r="X22" i="1"/>
  <c r="Y14" i="1"/>
  <c r="K20" i="1"/>
  <c r="L20" i="1" s="1"/>
  <c r="H75" i="11"/>
  <c r="L39" i="11"/>
  <c r="J40" i="11"/>
  <c r="K39" i="11"/>
  <c r="E40" i="11"/>
  <c r="M38" i="11"/>
  <c r="I19" i="11"/>
  <c r="M10" i="11"/>
  <c r="S10" i="11"/>
  <c r="S11" i="11" s="1"/>
  <c r="G220" i="2"/>
  <c r="E23" i="1"/>
  <c r="T9" i="11"/>
  <c r="T8" i="11"/>
  <c r="Q10" i="11"/>
  <c r="K10" i="11"/>
  <c r="N10" i="11" s="1"/>
  <c r="L92" i="3"/>
  <c r="L95" i="3" s="1"/>
  <c r="L98" i="3" s="1"/>
  <c r="K98" i="3"/>
  <c r="M91" i="3"/>
  <c r="N90" i="3" s="1"/>
  <c r="H29" i="3"/>
  <c r="I23" i="3"/>
  <c r="I26" i="3" s="1"/>
  <c r="K21" i="3"/>
  <c r="K22" i="3" s="1"/>
  <c r="M39" i="11" l="1"/>
  <c r="H21" i="1"/>
  <c r="Z14" i="1" s="1"/>
  <c r="Z25" i="1" s="1"/>
  <c r="Z30" i="1" s="1"/>
  <c r="K21" i="1"/>
  <c r="L21" i="1" s="1"/>
  <c r="Y25" i="1"/>
  <c r="Y30" i="1" s="1"/>
  <c r="Y22" i="1"/>
  <c r="C210" i="2"/>
  <c r="B12" i="1" s="1"/>
  <c r="J41" i="11"/>
  <c r="L40" i="11"/>
  <c r="G201" i="2"/>
  <c r="E41" i="11"/>
  <c r="K40" i="11"/>
  <c r="H76" i="11"/>
  <c r="J19" i="11"/>
  <c r="K19" i="11" s="1"/>
  <c r="T10" i="11"/>
  <c r="T11" i="11" s="1"/>
  <c r="Q11" i="11"/>
  <c r="M92" i="3"/>
  <c r="M95" i="3" s="1"/>
  <c r="M98" i="3" s="1"/>
  <c r="N91" i="3"/>
  <c r="O90" i="3" s="1"/>
  <c r="L21" i="3"/>
  <c r="J23" i="3"/>
  <c r="J26" i="3" s="1"/>
  <c r="J29" i="3" s="1"/>
  <c r="I29" i="3"/>
  <c r="Z22" i="1" l="1"/>
  <c r="G66" i="2"/>
  <c r="F88" i="2"/>
  <c r="I66" i="2"/>
  <c r="M40" i="11"/>
  <c r="E42" i="11"/>
  <c r="K41" i="11"/>
  <c r="L41" i="11"/>
  <c r="J42" i="11"/>
  <c r="I210" i="2"/>
  <c r="F12" i="1" s="1"/>
  <c r="H77" i="11"/>
  <c r="J201" i="2"/>
  <c r="N92" i="3"/>
  <c r="N95" i="3" s="1"/>
  <c r="O91" i="3"/>
  <c r="O92" i="3" s="1"/>
  <c r="K23" i="3"/>
  <c r="K26" i="3" s="1"/>
  <c r="K29" i="3" s="1"/>
  <c r="L22" i="3"/>
  <c r="M21" i="3" s="1"/>
  <c r="M41" i="11" l="1"/>
  <c r="H78" i="11"/>
  <c r="J66" i="2"/>
  <c r="K42" i="11"/>
  <c r="E43" i="11"/>
  <c r="G152" i="2"/>
  <c r="J152" i="2" s="1"/>
  <c r="I152" i="2"/>
  <c r="G88" i="2"/>
  <c r="I88" i="2"/>
  <c r="J88" i="2" s="1"/>
  <c r="L42" i="11"/>
  <c r="N98" i="3"/>
  <c r="E99" i="3"/>
  <c r="B98" i="3" s="1"/>
  <c r="E95" i="3"/>
  <c r="M22" i="3"/>
  <c r="N21" i="3" s="1"/>
  <c r="L23" i="3"/>
  <c r="L26" i="3" s="1"/>
  <c r="L43" i="11" l="1"/>
  <c r="H79" i="11"/>
  <c r="E44" i="11"/>
  <c r="K43" i="11"/>
  <c r="G12" i="1"/>
  <c r="H12" i="1" s="1"/>
  <c r="M42" i="11"/>
  <c r="B99" i="3"/>
  <c r="B96" i="3"/>
  <c r="F99" i="2"/>
  <c r="L29" i="3"/>
  <c r="M23" i="3"/>
  <c r="M26" i="3" s="1"/>
  <c r="M29" i="3" s="1"/>
  <c r="N22" i="3"/>
  <c r="N23" i="3" l="1"/>
  <c r="N26" i="3" s="1"/>
  <c r="N29" i="3" s="1"/>
  <c r="O21" i="3"/>
  <c r="O22" i="3" s="1"/>
  <c r="O23" i="3" s="1"/>
  <c r="O26" i="3" s="1"/>
  <c r="O29" i="3" s="1"/>
  <c r="L44" i="11"/>
  <c r="J45" i="11"/>
  <c r="H80" i="11"/>
  <c r="M43" i="11"/>
  <c r="E45" i="11"/>
  <c r="K44" i="11"/>
  <c r="Q14" i="1"/>
  <c r="Q25" i="1"/>
  <c r="K12" i="1"/>
  <c r="L12" i="1" s="1"/>
  <c r="G99" i="2"/>
  <c r="I99" i="2"/>
  <c r="J99" i="2" s="1"/>
  <c r="E26" i="3" l="1"/>
  <c r="E30" i="3"/>
  <c r="B27" i="3" s="1"/>
  <c r="J46" i="11"/>
  <c r="L45" i="11"/>
  <c r="Q30" i="1"/>
  <c r="K45" i="11"/>
  <c r="M45" i="11" s="1"/>
  <c r="E46" i="11"/>
  <c r="H81" i="11"/>
  <c r="M44" i="11"/>
  <c r="B29" i="3" l="1"/>
  <c r="F98" i="2" s="1"/>
  <c r="G98" i="2" s="1"/>
  <c r="B30" i="3"/>
  <c r="Q22" i="1"/>
  <c r="Q23" i="1" s="1"/>
  <c r="H82" i="11"/>
  <c r="E47" i="11"/>
  <c r="K46" i="11"/>
  <c r="L46" i="11"/>
  <c r="J47" i="11"/>
  <c r="F103" i="2" l="1"/>
  <c r="F107" i="2" s="1"/>
  <c r="I98" i="2"/>
  <c r="J48" i="11"/>
  <c r="L47" i="11"/>
  <c r="K47" i="11"/>
  <c r="E48" i="11"/>
  <c r="H83" i="11"/>
  <c r="M46" i="11"/>
  <c r="I103" i="2"/>
  <c r="I107" i="2" s="1"/>
  <c r="I167" i="2" s="1"/>
  <c r="J98" i="2"/>
  <c r="J103" i="2" s="1"/>
  <c r="J107" i="2" s="1"/>
  <c r="J167" i="2" s="1"/>
  <c r="G103" i="2"/>
  <c r="M47" i="11" l="1"/>
  <c r="H84" i="11"/>
  <c r="K48" i="11"/>
  <c r="E49" i="11"/>
  <c r="J49" i="11"/>
  <c r="L48" i="11"/>
  <c r="F167" i="2"/>
  <c r="G107" i="2"/>
  <c r="J50" i="11" l="1"/>
  <c r="L49" i="11"/>
  <c r="E50" i="11"/>
  <c r="K49" i="11"/>
  <c r="M48" i="11"/>
  <c r="H85" i="11"/>
  <c r="G167" i="2"/>
  <c r="J51" i="11" l="1"/>
  <c r="L50" i="11"/>
  <c r="H86" i="11"/>
  <c r="M49" i="11"/>
  <c r="K50" i="11"/>
  <c r="N51" i="11" s="1"/>
  <c r="E51" i="11"/>
  <c r="J52" i="11" l="1"/>
  <c r="L51" i="11"/>
  <c r="E52" i="11"/>
  <c r="K51" i="11"/>
  <c r="M50" i="11"/>
  <c r="H87" i="11"/>
  <c r="L52" i="11" l="1"/>
  <c r="J53" i="11"/>
  <c r="H88" i="11"/>
  <c r="M51" i="11"/>
  <c r="E53" i="11"/>
  <c r="K52" i="11"/>
  <c r="I211" i="2"/>
  <c r="F13" i="1" s="1"/>
  <c r="J54" i="11" l="1"/>
  <c r="L53" i="11"/>
  <c r="M52" i="11"/>
  <c r="H89" i="11"/>
  <c r="E54" i="11"/>
  <c r="K53" i="11"/>
  <c r="C211" i="2"/>
  <c r="B13" i="1" s="1"/>
  <c r="M53" i="11" l="1"/>
  <c r="K54" i="11"/>
  <c r="E55" i="11"/>
  <c r="H90" i="11"/>
  <c r="L54" i="11"/>
  <c r="M54" i="11" l="1"/>
  <c r="G13" i="1"/>
  <c r="H13" i="1" s="1"/>
  <c r="H91" i="11"/>
  <c r="L55" i="11"/>
  <c r="E56" i="11"/>
  <c r="K55" i="11"/>
  <c r="K13" i="1" l="1"/>
  <c r="L13" i="1" s="1"/>
  <c r="M55" i="11"/>
  <c r="K56" i="11"/>
  <c r="E57" i="11"/>
  <c r="J57" i="11"/>
  <c r="L56" i="11"/>
  <c r="H92" i="11"/>
  <c r="R14" i="1" l="1"/>
  <c r="R25" i="1" s="1"/>
  <c r="J58" i="11"/>
  <c r="L57" i="11"/>
  <c r="M56" i="11"/>
  <c r="K57" i="11"/>
  <c r="E58" i="11"/>
  <c r="H93" i="11"/>
  <c r="L58" i="11" l="1"/>
  <c r="J59" i="11"/>
  <c r="R22" i="1"/>
  <c r="R23" i="1" s="1"/>
  <c r="H94" i="11"/>
  <c r="K58" i="11"/>
  <c r="E59" i="11"/>
  <c r="M57" i="11"/>
  <c r="E60" i="11" l="1"/>
  <c r="K59" i="11"/>
  <c r="H95" i="11"/>
  <c r="R30" i="1"/>
  <c r="M58" i="11"/>
  <c r="L59" i="11"/>
  <c r="J60" i="11"/>
  <c r="L60" i="11" l="1"/>
  <c r="J61" i="11"/>
  <c r="H96" i="11"/>
  <c r="M59" i="11"/>
  <c r="E61" i="11"/>
  <c r="K60" i="11"/>
  <c r="E62" i="11" l="1"/>
  <c r="K61" i="11"/>
  <c r="H97" i="11"/>
  <c r="M60" i="11"/>
  <c r="J62" i="11"/>
  <c r="L61" i="11"/>
  <c r="L62" i="11" l="1"/>
  <c r="J63" i="11"/>
  <c r="M61" i="11"/>
  <c r="H98" i="11"/>
  <c r="K62" i="11"/>
  <c r="N63" i="11" s="1"/>
  <c r="E63" i="11"/>
  <c r="L63" i="11" l="1"/>
  <c r="J64" i="11"/>
  <c r="E64" i="11"/>
  <c r="K63" i="11"/>
  <c r="M62" i="11"/>
  <c r="H99" i="11"/>
  <c r="J65" i="11" l="1"/>
  <c r="L64" i="11"/>
  <c r="I212" i="2"/>
  <c r="F14" i="1" s="1"/>
  <c r="H100" i="11"/>
  <c r="M63" i="11"/>
  <c r="E65" i="11"/>
  <c r="K64" i="11"/>
  <c r="J66" i="11" l="1"/>
  <c r="L65" i="11"/>
  <c r="M64" i="11"/>
  <c r="K65" i="11"/>
  <c r="M65" i="11" s="1"/>
  <c r="E66" i="11"/>
  <c r="C212" i="2"/>
  <c r="B14" i="1" s="1"/>
  <c r="H101" i="11"/>
  <c r="J67" i="11" l="1"/>
  <c r="L66" i="11"/>
  <c r="H102" i="11"/>
  <c r="E67" i="11"/>
  <c r="K66" i="11"/>
  <c r="J68" i="11" l="1"/>
  <c r="L67" i="11"/>
  <c r="M66" i="11"/>
  <c r="E68" i="11"/>
  <c r="K67" i="11"/>
  <c r="G14" i="1"/>
  <c r="H14" i="1" s="1"/>
  <c r="J69" i="11" l="1"/>
  <c r="L68" i="11"/>
  <c r="K14" i="1"/>
  <c r="L14" i="1" s="1"/>
  <c r="M67" i="11"/>
  <c r="K68" i="11"/>
  <c r="E69" i="11"/>
  <c r="E70" i="11" l="1"/>
  <c r="K69" i="11"/>
  <c r="M68" i="11"/>
  <c r="S14" i="1"/>
  <c r="S25" i="1" s="1"/>
  <c r="J70" i="11"/>
  <c r="L69" i="11"/>
  <c r="E71" i="11" l="1"/>
  <c r="K70" i="11"/>
  <c r="L70" i="11"/>
  <c r="J71" i="11"/>
  <c r="S22" i="1"/>
  <c r="S23" i="1" s="1"/>
  <c r="M69" i="11"/>
  <c r="E72" i="11" l="1"/>
  <c r="K71" i="11"/>
  <c r="S30" i="1"/>
  <c r="M70" i="11"/>
  <c r="L71" i="11"/>
  <c r="J72" i="11"/>
  <c r="L72" i="11" l="1"/>
  <c r="J73" i="11"/>
  <c r="M71" i="11"/>
  <c r="E73" i="11"/>
  <c r="K72" i="11"/>
  <c r="M72" i="11" l="1"/>
  <c r="E74" i="11"/>
  <c r="K73" i="11"/>
  <c r="J74" i="11"/>
  <c r="L73" i="11"/>
  <c r="L74" i="11" l="1"/>
  <c r="J75" i="11"/>
  <c r="M73" i="11"/>
  <c r="E75" i="11"/>
  <c r="K74" i="11"/>
  <c r="N75" i="11" s="1"/>
  <c r="J76" i="11" l="1"/>
  <c r="L75" i="11"/>
  <c r="M74" i="11"/>
  <c r="E76" i="11"/>
  <c r="K75" i="11"/>
  <c r="L76" i="11" l="1"/>
  <c r="J77" i="11"/>
  <c r="M75" i="11"/>
  <c r="E77" i="11"/>
  <c r="K76" i="11"/>
  <c r="I213" i="2"/>
  <c r="F15" i="1" s="1"/>
  <c r="E78" i="11" l="1"/>
  <c r="K77" i="11"/>
  <c r="M76" i="11"/>
  <c r="C213" i="2"/>
  <c r="B15" i="1" s="1"/>
  <c r="J78" i="11"/>
  <c r="L77" i="11"/>
  <c r="M77" i="11" l="1"/>
  <c r="E79" i="11"/>
  <c r="K78" i="11"/>
  <c r="L78" i="11"/>
  <c r="L79" i="11" l="1"/>
  <c r="E80" i="11"/>
  <c r="K79" i="11"/>
  <c r="M78" i="11"/>
  <c r="G15" i="1"/>
  <c r="H15" i="1" s="1"/>
  <c r="M79" i="11" l="1"/>
  <c r="K15" i="1"/>
  <c r="L15" i="1" s="1"/>
  <c r="E81" i="11"/>
  <c r="K80" i="11"/>
  <c r="L80" i="11"/>
  <c r="J81" i="11"/>
  <c r="L81" i="11" l="1"/>
  <c r="J82" i="11"/>
  <c r="E82" i="11"/>
  <c r="K81" i="11"/>
  <c r="M80" i="11"/>
  <c r="T14" i="1"/>
  <c r="T25" i="1" s="1"/>
  <c r="M81" i="11" l="1"/>
  <c r="T22" i="1"/>
  <c r="T23" i="1" s="1"/>
  <c r="E83" i="11"/>
  <c r="K82" i="11"/>
  <c r="J83" i="11"/>
  <c r="L82" i="11"/>
  <c r="J84" i="11" l="1"/>
  <c r="L83" i="11"/>
  <c r="M82" i="11"/>
  <c r="E84" i="11"/>
  <c r="K83" i="11"/>
  <c r="T30" i="1"/>
  <c r="M83" i="11" l="1"/>
  <c r="E85" i="11"/>
  <c r="K84" i="11"/>
  <c r="J85" i="11"/>
  <c r="L84" i="11"/>
  <c r="L85" i="11" l="1"/>
  <c r="J86" i="11"/>
  <c r="M84" i="11"/>
  <c r="E86" i="11"/>
  <c r="K85" i="11"/>
  <c r="M85" i="11" l="1"/>
  <c r="E87" i="11"/>
  <c r="K86" i="11"/>
  <c r="N87" i="11" s="1"/>
  <c r="L86" i="11"/>
  <c r="J87" i="11"/>
  <c r="J88" i="11" l="1"/>
  <c r="L87" i="11"/>
  <c r="M86" i="11"/>
  <c r="E88" i="11"/>
  <c r="K87" i="11"/>
  <c r="I214" i="2" l="1"/>
  <c r="F16" i="1" s="1"/>
  <c r="M87" i="11"/>
  <c r="E89" i="11"/>
  <c r="K88" i="11"/>
  <c r="L88" i="11"/>
  <c r="J89" i="11"/>
  <c r="J90" i="11" l="1"/>
  <c r="L89" i="11"/>
  <c r="M88" i="11"/>
  <c r="E90" i="11"/>
  <c r="K89" i="11"/>
  <c r="C214" i="2"/>
  <c r="B16" i="1" s="1"/>
  <c r="M89" i="11" l="1"/>
  <c r="L90" i="11"/>
  <c r="E91" i="11"/>
  <c r="K90" i="11"/>
  <c r="M90" i="11" l="1"/>
  <c r="L91" i="11"/>
  <c r="E92" i="11"/>
  <c r="K91" i="11"/>
  <c r="G16" i="1"/>
  <c r="H16" i="1" s="1"/>
  <c r="M91" i="11" l="1"/>
  <c r="K16" i="1"/>
  <c r="L16" i="1" s="1"/>
  <c r="E93" i="11"/>
  <c r="K92" i="11"/>
  <c r="J93" i="11"/>
  <c r="L92" i="11"/>
  <c r="L93" i="11" l="1"/>
  <c r="J94" i="11"/>
  <c r="E94" i="11"/>
  <c r="K93" i="11"/>
  <c r="M92" i="11"/>
  <c r="U14" i="1"/>
  <c r="U25" i="1" s="1"/>
  <c r="M93" i="11" l="1"/>
  <c r="U22" i="1"/>
  <c r="U23" i="1" s="1"/>
  <c r="E95" i="11"/>
  <c r="K94" i="11"/>
  <c r="J95" i="11"/>
  <c r="L94" i="11"/>
  <c r="E96" i="11" l="1"/>
  <c r="K95" i="11"/>
  <c r="J96" i="11"/>
  <c r="L95" i="11"/>
  <c r="M94" i="11"/>
  <c r="U30" i="1"/>
  <c r="J97" i="11" l="1"/>
  <c r="L96" i="11"/>
  <c r="M95" i="11"/>
  <c r="E97" i="11"/>
  <c r="K96" i="11"/>
  <c r="M96" i="11" l="1"/>
  <c r="E98" i="11"/>
  <c r="K97" i="11"/>
  <c r="J98" i="11"/>
  <c r="L97" i="11"/>
  <c r="E99" i="11" l="1"/>
  <c r="K98" i="11"/>
  <c r="N99" i="11" s="1"/>
  <c r="L98" i="11"/>
  <c r="J99" i="11"/>
  <c r="M97" i="11"/>
  <c r="E100" i="11" l="1"/>
  <c r="K99" i="11"/>
  <c r="L99" i="11"/>
  <c r="I215" i="2" s="1"/>
  <c r="F17" i="1" s="1"/>
  <c r="J100" i="11"/>
  <c r="M98" i="11"/>
  <c r="L100" i="11" l="1"/>
  <c r="J101" i="11"/>
  <c r="M99" i="11"/>
  <c r="C215" i="2"/>
  <c r="B17" i="1" s="1"/>
  <c r="E101" i="11"/>
  <c r="K100" i="11"/>
  <c r="M100" i="11" l="1"/>
  <c r="I25" i="11"/>
  <c r="E102" i="11"/>
  <c r="K102" i="11" s="1"/>
  <c r="K101" i="11"/>
  <c r="L101" i="11"/>
  <c r="J102" i="11"/>
  <c r="L102" i="11" s="1"/>
  <c r="J25" i="11" s="1"/>
  <c r="G17" i="1"/>
  <c r="H17" i="1" s="1"/>
  <c r="N103" i="11" l="1"/>
  <c r="I216" i="2"/>
  <c r="F18" i="1" s="1"/>
  <c r="K17" i="1"/>
  <c r="L17" i="1" s="1"/>
  <c r="V14" i="1"/>
  <c r="V25" i="1" s="1"/>
  <c r="L104" i="11"/>
  <c r="J20" i="11"/>
  <c r="J21" i="11"/>
  <c r="J22" i="11"/>
  <c r="J23" i="11"/>
  <c r="J24" i="11"/>
  <c r="M101" i="11"/>
  <c r="M102" i="11"/>
  <c r="M104" i="11" s="1"/>
  <c r="K104" i="11"/>
  <c r="I20" i="11"/>
  <c r="I21" i="11"/>
  <c r="I22" i="11"/>
  <c r="I23" i="11"/>
  <c r="I24" i="11"/>
  <c r="K25" i="11"/>
  <c r="O104" i="11" l="1"/>
  <c r="K22" i="11"/>
  <c r="F23" i="1"/>
  <c r="I220" i="2"/>
  <c r="C216" i="2"/>
  <c r="B18" i="1" s="1"/>
  <c r="N104" i="11"/>
  <c r="K24" i="11"/>
  <c r="K23" i="11"/>
  <c r="K21" i="11"/>
  <c r="K20" i="11"/>
  <c r="I26" i="11"/>
  <c r="J26" i="11"/>
  <c r="V30" i="1"/>
  <c r="V22" i="1"/>
  <c r="K26" i="11" l="1"/>
  <c r="C220" i="2"/>
  <c r="G202" i="2"/>
  <c r="J202" i="2" l="1"/>
  <c r="G64" i="2"/>
  <c r="I64" i="2"/>
  <c r="J64" i="2" s="1"/>
  <c r="F112" i="2"/>
  <c r="F90" i="2"/>
  <c r="G18" i="1"/>
  <c r="H18" i="1" s="1"/>
  <c r="B23" i="1"/>
  <c r="K18" i="1" l="1"/>
  <c r="L18" i="1" s="1"/>
  <c r="G23" i="1"/>
  <c r="G90" i="2"/>
  <c r="I90" i="2"/>
  <c r="J90" i="2" s="1"/>
  <c r="G112" i="2"/>
  <c r="I112" i="2"/>
  <c r="G65" i="2"/>
  <c r="I65" i="2"/>
  <c r="J65" i="2" s="1"/>
  <c r="F62" i="2"/>
  <c r="I60" i="2"/>
  <c r="G60" i="2"/>
  <c r="G198" i="2"/>
  <c r="G199" i="2" s="1"/>
  <c r="J112" i="2" l="1"/>
  <c r="I119" i="2"/>
  <c r="F86" i="2"/>
  <c r="F63" i="2"/>
  <c r="G62" i="2"/>
  <c r="J199" i="2"/>
  <c r="G200" i="2"/>
  <c r="G119" i="2"/>
  <c r="F170" i="2"/>
  <c r="F74" i="2"/>
  <c r="F144" i="2"/>
  <c r="I62" i="2"/>
  <c r="J60" i="2"/>
  <c r="J62" i="2" s="1"/>
  <c r="J198" i="2"/>
  <c r="G151" i="2"/>
  <c r="I151" i="2"/>
  <c r="J151" i="2" s="1"/>
  <c r="L23" i="1"/>
  <c r="K23" i="1"/>
  <c r="W14" i="1"/>
  <c r="W25" i="1" s="1"/>
  <c r="H23" i="1"/>
  <c r="G144" i="2" l="1"/>
  <c r="J119" i="2"/>
  <c r="G170" i="2"/>
  <c r="J200" i="2"/>
  <c r="J204" i="2" s="1"/>
  <c r="G204" i="2"/>
  <c r="W22" i="1"/>
  <c r="R34" i="1" s="1"/>
  <c r="N23" i="1" s="1"/>
  <c r="M23" i="1" s="1"/>
  <c r="AA14" i="1"/>
  <c r="AA22" i="1" s="1"/>
  <c r="G86" i="2"/>
  <c r="F73" i="2"/>
  <c r="G63" i="2"/>
  <c r="I63" i="2"/>
  <c r="J63" i="2" s="1"/>
  <c r="I86" i="2"/>
  <c r="I74" i="2"/>
  <c r="J74" i="2" s="1"/>
  <c r="I144" i="2"/>
  <c r="I170" i="2"/>
  <c r="I172" i="2" s="1"/>
  <c r="F172" i="2"/>
  <c r="W30" i="1" l="1"/>
  <c r="Q34" i="1" s="1"/>
  <c r="AA25" i="1"/>
  <c r="AA30" i="1" s="1"/>
  <c r="G205" i="2"/>
  <c r="G206" i="2"/>
  <c r="J205" i="2"/>
  <c r="J206" i="2"/>
  <c r="G149" i="2"/>
  <c r="I149" i="2"/>
  <c r="F153" i="2"/>
  <c r="G73" i="2"/>
  <c r="I73" i="2"/>
  <c r="J73" i="2" s="1"/>
  <c r="J170" i="2"/>
  <c r="J172" i="2" s="1"/>
  <c r="G172" i="2"/>
  <c r="J144" i="2"/>
  <c r="J86" i="2"/>
  <c r="G182" i="2" l="1"/>
  <c r="G207" i="2"/>
  <c r="F154" i="2"/>
  <c r="J149" i="2"/>
  <c r="J153" i="2" s="1"/>
  <c r="J154" i="2" s="1"/>
  <c r="I153" i="2"/>
  <c r="I154" i="2" s="1"/>
  <c r="G153" i="2"/>
  <c r="G154" i="2" l="1"/>
  <c r="F82" i="2"/>
  <c r="F92" i="2" s="1"/>
  <c r="J182" i="2"/>
  <c r="G82" i="2" l="1"/>
  <c r="G92" i="2" s="1"/>
  <c r="I82" i="2"/>
  <c r="J82" i="2" l="1"/>
  <c r="G194" i="2"/>
  <c r="I92" i="2"/>
  <c r="G93" i="2" l="1"/>
  <c r="J92" i="2"/>
  <c r="G25" i="1"/>
  <c r="H25" i="1" s="1"/>
  <c r="F93" i="2" l="1"/>
  <c r="H28" i="1"/>
  <c r="G28" i="1"/>
  <c r="G31" i="1" s="1"/>
  <c r="K25" i="1"/>
  <c r="K28" i="1" s="1"/>
  <c r="G94" i="2"/>
  <c r="G106" i="2" l="1"/>
  <c r="N28" i="1"/>
  <c r="M28" i="1" s="1"/>
  <c r="H31" i="1"/>
  <c r="I93" i="2"/>
  <c r="F94" i="2"/>
  <c r="H32" i="1" l="1"/>
  <c r="H36" i="1" s="1"/>
  <c r="N31" i="1"/>
  <c r="N32" i="1" s="1"/>
  <c r="J93" i="2"/>
  <c r="I94" i="2"/>
  <c r="I106" i="2" s="1"/>
  <c r="F106" i="2"/>
  <c r="G108" i="2"/>
  <c r="G166" i="2"/>
  <c r="I166" i="2" l="1"/>
  <c r="I168" i="2" s="1"/>
  <c r="I177" i="2" s="1"/>
  <c r="I108" i="2"/>
  <c r="J94" i="2"/>
  <c r="F108" i="2"/>
  <c r="F166" i="2"/>
  <c r="G168" i="2"/>
  <c r="N36" i="1"/>
  <c r="G143" i="2"/>
  <c r="G135" i="2"/>
  <c r="M31" i="1"/>
  <c r="J106" i="2" l="1"/>
  <c r="G145" i="2"/>
  <c r="I143" i="2"/>
  <c r="I135" i="2"/>
  <c r="I145" i="2" s="1"/>
  <c r="G177" i="2"/>
  <c r="G181" i="2"/>
  <c r="F168" i="2"/>
  <c r="F143" i="2"/>
  <c r="F135" i="2"/>
  <c r="G184" i="2" l="1"/>
  <c r="J181" i="2"/>
  <c r="J184" i="2" s="1"/>
  <c r="J185" i="2" s="1"/>
  <c r="F145" i="2"/>
  <c r="F177" i="2"/>
  <c r="J166" i="2"/>
  <c r="J108" i="2"/>
  <c r="J143" i="2" l="1"/>
  <c r="J135" i="2"/>
  <c r="J168" i="2"/>
  <c r="G185" i="2"/>
  <c r="J177" i="2" l="1"/>
  <c r="J145" i="2"/>
</calcChain>
</file>

<file path=xl/sharedStrings.xml><?xml version="1.0" encoding="utf-8"?>
<sst xmlns="http://schemas.openxmlformats.org/spreadsheetml/2006/main" count="562" uniqueCount="333">
  <si>
    <t>RENTAL CALCULATION FOR NEW LEASE</t>
  </si>
  <si>
    <t>Cash Outflow for the period</t>
  </si>
  <si>
    <t>Net Present Value Calculation</t>
  </si>
  <si>
    <t>Net rent 
(INR)</t>
  </si>
  <si>
    <t>Terrace Rent
(INR)</t>
  </si>
  <si>
    <t>Rent Signages 
(INR)</t>
  </si>
  <si>
    <t>Common area maintenance 
(INR)</t>
  </si>
  <si>
    <r>
      <t xml:space="preserve">Total nominal 
(INR) 
</t>
    </r>
    <r>
      <rPr>
        <b/>
        <sz val="8"/>
        <rFont val="Arial"/>
        <family val="2"/>
      </rPr>
      <t>A</t>
    </r>
  </si>
  <si>
    <t>Total 
(Euro)</t>
  </si>
  <si>
    <r>
      <t>Capex in Coming years 
(INR)</t>
    </r>
    <r>
      <rPr>
        <b/>
        <sz val="8"/>
        <rFont val="Arial"/>
        <family val="2"/>
      </rPr>
      <t xml:space="preserve"> 
B</t>
    </r>
  </si>
  <si>
    <r>
      <t>PM in Coming years 
(INR)</t>
    </r>
    <r>
      <rPr>
        <b/>
        <sz val="8"/>
        <rFont val="Arial"/>
        <family val="2"/>
      </rPr>
      <t xml:space="preserve">
C</t>
    </r>
  </si>
  <si>
    <t>Total nominal 
(INR) 
A + B + C</t>
  </si>
  <si>
    <t xml:space="preserve">Total 
(Euro)
</t>
  </si>
  <si>
    <t>Net Present outflow (Discounted ) 
(INR)</t>
  </si>
  <si>
    <t>Net Present outflow (Discounted ) 
(€)</t>
  </si>
  <si>
    <t>WACC</t>
  </si>
  <si>
    <t>Ex. Rate</t>
  </si>
  <si>
    <t xml:space="preserve">per/sq.ft./month </t>
  </si>
  <si>
    <t xml:space="preserve">per month </t>
  </si>
  <si>
    <t>Year  1</t>
  </si>
  <si>
    <t>Year  2</t>
  </si>
  <si>
    <t>Year  3</t>
  </si>
  <si>
    <t>Year  4</t>
  </si>
  <si>
    <t>Year  5</t>
  </si>
  <si>
    <t>Year  6</t>
  </si>
  <si>
    <t>Year  7</t>
  </si>
  <si>
    <t>Year 8</t>
  </si>
  <si>
    <t>Year 9</t>
  </si>
  <si>
    <t>Year 10</t>
  </si>
  <si>
    <t>Total</t>
  </si>
  <si>
    <t>rent per year 1st year</t>
  </si>
  <si>
    <t>rent per year 2nd year</t>
  </si>
  <si>
    <t>(€)</t>
  </si>
  <si>
    <t xml:space="preserve">rent per year 3rd year </t>
  </si>
  <si>
    <t>Rent, CAM, Car Park, Payment</t>
  </si>
  <si>
    <t xml:space="preserve">rent per year 4th year </t>
  </si>
  <si>
    <t>Security Deposit</t>
  </si>
  <si>
    <t xml:space="preserve">rent per year 5th year </t>
  </si>
  <si>
    <t>Project Maintenace</t>
  </si>
  <si>
    <t xml:space="preserve">rent per year 6th year </t>
  </si>
  <si>
    <t>Capex</t>
  </si>
  <si>
    <t xml:space="preserve">rent per year 7th year </t>
  </si>
  <si>
    <t xml:space="preserve">rent per year 8th year </t>
  </si>
  <si>
    <t xml:space="preserve">rent per year 9th year </t>
  </si>
  <si>
    <t xml:space="preserve">rent per year 10th year </t>
  </si>
  <si>
    <t>Total Cash Outflow for the period</t>
  </si>
  <si>
    <t>Total  rent for the period</t>
  </si>
  <si>
    <t>(INR)</t>
  </si>
  <si>
    <t>Lease Acquisition cost</t>
  </si>
  <si>
    <t>Fitout Cost</t>
  </si>
  <si>
    <t>Total one time Cost</t>
  </si>
  <si>
    <t>Lease Size in mn</t>
  </si>
  <si>
    <t>(Euro)</t>
  </si>
  <si>
    <t xml:space="preserve">Security Deposit Details </t>
  </si>
  <si>
    <t>Investment IT</t>
  </si>
  <si>
    <t>Net Present Value</t>
  </si>
  <si>
    <t>Security Deposit-A</t>
  </si>
  <si>
    <t>Fitout Deposit</t>
  </si>
  <si>
    <t>Total Project Cost</t>
  </si>
  <si>
    <t>Maintenance Deposit-B</t>
  </si>
  <si>
    <t>Power Deposit-C</t>
  </si>
  <si>
    <t>Rent</t>
  </si>
  <si>
    <t>CAM</t>
  </si>
  <si>
    <t>€</t>
  </si>
  <si>
    <t xml:space="preserve"> </t>
  </si>
  <si>
    <t>Net Rent I</t>
  </si>
  <si>
    <t xml:space="preserve">RENTAL CALCULATION FOR NEW LEASE </t>
  </si>
  <si>
    <t>Sr. No.</t>
  </si>
  <si>
    <t xml:space="preserve">Preferences by SRE
</t>
  </si>
  <si>
    <t>INR</t>
  </si>
  <si>
    <t xml:space="preserve">General Description </t>
  </si>
  <si>
    <t>Per sq. ft</t>
  </si>
  <si>
    <t>Per sq. Mtr</t>
  </si>
  <si>
    <t xml:space="preserve">Name of the  Lessor </t>
  </si>
  <si>
    <t>Address</t>
  </si>
  <si>
    <t xml:space="preserve">Age of Building in Yrs </t>
  </si>
  <si>
    <t xml:space="preserve">Age of  fit outs in Yrs </t>
  </si>
  <si>
    <t xml:space="preserve">Total Floors </t>
  </si>
  <si>
    <t xml:space="preserve">Floor  available for Lease </t>
  </si>
  <si>
    <t>Distance from main City in kms</t>
  </si>
  <si>
    <t>Type of Shell</t>
  </si>
  <si>
    <t>Warm Shell</t>
  </si>
  <si>
    <t>Floor considered for current Lease</t>
  </si>
  <si>
    <t>Consultant</t>
  </si>
  <si>
    <t>Assumed capital value in Rs. (Ready Receokner Rate)</t>
  </si>
  <si>
    <t xml:space="preserve">Chargeable office area </t>
  </si>
  <si>
    <t>Chargeable Utility area ( Terrace)</t>
  </si>
  <si>
    <t>Total  area</t>
  </si>
  <si>
    <t xml:space="preserve">Installed Capacity -  No. of Workplaces </t>
  </si>
  <si>
    <t>Carpet Area</t>
  </si>
  <si>
    <t>Efficiency in %</t>
  </si>
  <si>
    <t>Amortization Period for Fit outs (Months)</t>
  </si>
  <si>
    <t>Cost of Capital  (%)</t>
  </si>
  <si>
    <t>Imputed Interest on Assets (%)</t>
  </si>
  <si>
    <t>Lease acquqision cost - Brokerage [as 15 days rent]</t>
  </si>
  <si>
    <t>Agreed Terms with Landlord</t>
  </si>
  <si>
    <t xml:space="preserve">Security deposit  ( number of months ) </t>
  </si>
  <si>
    <t>Maintenance Security deposit (number of months)</t>
  </si>
  <si>
    <t>Fitout Security deposit for rent free period</t>
  </si>
  <si>
    <t>Advance Rent in months</t>
  </si>
  <si>
    <t>Quoted  Rentals (Not negotiated) ( per Sq.ft./Sq. mtr)</t>
  </si>
  <si>
    <t>Quoted  Rentals Fitouts (Not negotiated) ( per Sq.ft./Sq. mtr)</t>
  </si>
  <si>
    <t>Quoted CAM  (Not negotiated) ( per Sq.ft./Sq. mtr)</t>
  </si>
  <si>
    <t>Rentals (Negotiated) ( per Sq.ft./Sq. mtr)</t>
  </si>
  <si>
    <t>Rentals Utility (negotiated) ( per Sq.ft./Sq. mtr)</t>
  </si>
  <si>
    <t>CAM  ( Negotiated) ( per Sq.ft./Sq. mtr)</t>
  </si>
  <si>
    <t>No. of  dedicated car parks - Free</t>
  </si>
  <si>
    <t>No. of  dedicated car parks - chargeable</t>
  </si>
  <si>
    <t>Carpark - charges per car including Service tax</t>
  </si>
  <si>
    <t>No. of  dedicated 2 Wheeler parks - Free</t>
  </si>
  <si>
    <t>Escalation -  Rent  (after every  year)</t>
  </si>
  <si>
    <t>Escalation -  CAM (after every  year)</t>
  </si>
  <si>
    <t>Expected date of Agreement to start</t>
  </si>
  <si>
    <t>Expected date of Agreement to close</t>
  </si>
  <si>
    <t>Expected date of Rent commencement</t>
  </si>
  <si>
    <t>Rent Free Period (Months)</t>
  </si>
  <si>
    <t>Agreement Period (Months)</t>
  </si>
  <si>
    <t xml:space="preserve">Lock in period in months </t>
  </si>
  <si>
    <t>Notice Period in Months</t>
  </si>
  <si>
    <t>Sub-Lease rent paid to LL</t>
  </si>
  <si>
    <t xml:space="preserve">Commercials </t>
  </si>
  <si>
    <t>Average Rental for Space, Terrrace &amp; Signages ( per Sq.ft./Sq. mtr)</t>
  </si>
  <si>
    <t>Add :  1% Krishi Kalyan Cess ( Nett of Cenvat)</t>
  </si>
  <si>
    <t>Target Rentals in Rs. ( per Sq.ft./Sq. mtr) per month</t>
  </si>
  <si>
    <t>Average CAM for Space ( per Sq.ft./Sq. mtr)</t>
  </si>
  <si>
    <t>Security deposit (Refundable)</t>
  </si>
  <si>
    <t>Addnl.Deposit at the beginning of 4yr due to Escltn in Rent (Refundable)</t>
  </si>
  <si>
    <t>Addnl.Deposit -energy(Refundable)</t>
  </si>
  <si>
    <t>Addnl.Deposit at the beginning of 10yr due to Escltn in Rent (Refundable)</t>
  </si>
  <si>
    <t>Maint. Service Deposit (Refundable)</t>
  </si>
  <si>
    <t>Power Deposit (Refundable)</t>
  </si>
  <si>
    <t>Advance Rent</t>
  </si>
  <si>
    <t>Opex Rate</t>
  </si>
  <si>
    <t>CAPEX  for Fit out cost per sq.ft/sq. mtr (will be actualized)</t>
  </si>
  <si>
    <t>Siemens Standard Fitout (Existing)</t>
  </si>
  <si>
    <t>Siemens Standard Fitout (New)</t>
  </si>
  <si>
    <t>Capex over the period of lease period</t>
  </si>
  <si>
    <t>PM cost over the period of lease period</t>
  </si>
  <si>
    <t>Asset Retirement Obligation ( Removal &amp; Restoration Obligation)</t>
  </si>
  <si>
    <t>Passive Data Network (Only for add. Refinancing)</t>
  </si>
  <si>
    <t>Estimated Stamp Duty &amp; Registration (One time Payment)</t>
  </si>
  <si>
    <t>Net Rent I - Base Rent</t>
  </si>
  <si>
    <t xml:space="preserve">Effective Rent </t>
  </si>
  <si>
    <t xml:space="preserve">Effect of advance rent  </t>
  </si>
  <si>
    <t xml:space="preserve">Effect of Parking on Rent </t>
  </si>
  <si>
    <t xml:space="preserve">Effect of Sec. Deposit/Maint.Deposit/Power Deposit </t>
  </si>
  <si>
    <t xml:space="preserve">Effect Lease acquisition (Brokerage) </t>
  </si>
  <si>
    <t xml:space="preserve">Effect of Stamp Duty &amp; registration  </t>
  </si>
  <si>
    <t>Property Management Fees</t>
  </si>
  <si>
    <t>Net Rent II - Refinancing Cost</t>
  </si>
  <si>
    <t>Passive Data Network</t>
  </si>
  <si>
    <t>Net Rent II</t>
  </si>
  <si>
    <t>Net Rent I &amp; II</t>
  </si>
  <si>
    <t>Total Net Rent</t>
  </si>
  <si>
    <t>OPEX I - Standard OpEx</t>
  </si>
  <si>
    <t>Utilities (Gas/Electricity/Heating/Water)</t>
  </si>
  <si>
    <t>OpEx Maintenance</t>
  </si>
  <si>
    <t>OpEx charges from Landlord (CAM)</t>
  </si>
  <si>
    <t>Security/Reception</t>
  </si>
  <si>
    <t>Cleaning/Gardening/Winter Serv</t>
  </si>
  <si>
    <t>RE Insurance &amp; Taxes</t>
  </si>
  <si>
    <t>Corp Infra Allocations</t>
  </si>
  <si>
    <r>
      <t xml:space="preserve">OpEx Others Rs../ month </t>
    </r>
    <r>
      <rPr>
        <b/>
        <sz val="10"/>
        <rFont val="Arial"/>
        <family val="2"/>
      </rPr>
      <t xml:space="preserve"> (At Actuals</t>
    </r>
    <r>
      <rPr>
        <sz val="10"/>
        <rFont val="Arial"/>
        <family val="2"/>
      </rPr>
      <t>)</t>
    </r>
  </si>
  <si>
    <t>OpEx Management Fees</t>
  </si>
  <si>
    <t xml:space="preserve">OpEx I </t>
  </si>
  <si>
    <t>OPEX II - OpEx Add-on</t>
  </si>
  <si>
    <t>User Specific Cleaning, Security etc.</t>
  </si>
  <si>
    <t xml:space="preserve">OpEx II </t>
  </si>
  <si>
    <t>Services</t>
  </si>
  <si>
    <t>Space Plan &amp; Relocation management</t>
  </si>
  <si>
    <t>Other RE related consulting services</t>
  </si>
  <si>
    <t>Canteen &amp; Cafetaria /Catering</t>
  </si>
  <si>
    <t>Conferencing services</t>
  </si>
  <si>
    <t>Post &amp; Logistic Services</t>
  </si>
  <si>
    <t>Production related energy</t>
  </si>
  <si>
    <t xml:space="preserve">Services </t>
  </si>
  <si>
    <t>Total outflow ( Net Rent I + Net Rent II + OpEx I + OpEx II + Services  )</t>
  </si>
  <si>
    <t xml:space="preserve">Total outflow </t>
  </si>
  <si>
    <t xml:space="preserve">WORKPLACE COST </t>
  </si>
  <si>
    <t>Total Office + Terrace area (Sq.ft/Sq. Mtr)</t>
  </si>
  <si>
    <t xml:space="preserve">Capacity to accommodate Workplaces </t>
  </si>
  <si>
    <t xml:space="preserve">INDEX </t>
  </si>
  <si>
    <t>Space cost in Rs.month (Per Sq.ft/Sq. mtr)</t>
  </si>
  <si>
    <t>FMS  cost in Rs./month (Per Sq.ft/Sq. mtr)</t>
  </si>
  <si>
    <t>Work place cost pm (Space+FMS) in Rs.</t>
  </si>
  <si>
    <t>Payable to Landlord</t>
  </si>
  <si>
    <t xml:space="preserve">INR </t>
  </si>
  <si>
    <t>Rent payable to LL per month</t>
  </si>
  <si>
    <t xml:space="preserve">Rent payable to LL per month on Fitouts </t>
  </si>
  <si>
    <t>CAM Payable to LL per month</t>
  </si>
  <si>
    <t>Car park charges per month</t>
  </si>
  <si>
    <t>Total payable to LL per month</t>
  </si>
  <si>
    <t>Total payable to LL Per year</t>
  </si>
  <si>
    <t>Investments</t>
  </si>
  <si>
    <t>Fitouts</t>
  </si>
  <si>
    <t>Capex in Lease Term</t>
  </si>
  <si>
    <t>PM in Lease Term</t>
  </si>
  <si>
    <t>Average Occupancy Cost</t>
  </si>
  <si>
    <t>NET RENT</t>
  </si>
  <si>
    <t>OPEX</t>
  </si>
  <si>
    <t>SERVICES</t>
  </si>
  <si>
    <t>Total Occupancy Cost</t>
  </si>
  <si>
    <t>Receivable from Customer</t>
  </si>
  <si>
    <t>Rent Recoverable Rs./Month</t>
  </si>
  <si>
    <t>OpEx Recoverable Rs./Month</t>
  </si>
  <si>
    <t>Services Recoverable Rs. /Month</t>
  </si>
  <si>
    <t>Total Recoverable (Rent +Opex+ Services) Rs./per Month</t>
  </si>
  <si>
    <t>Total Recoverable (Rent + Opex + Services) Rs./per year</t>
  </si>
  <si>
    <t>Working</t>
  </si>
  <si>
    <t>Stamp Duty and Registration</t>
  </si>
  <si>
    <t>Ready Reckoner rate (per sq.mt)</t>
  </si>
  <si>
    <t>Market Value</t>
  </si>
  <si>
    <t xml:space="preserve">Market Value for Lease period </t>
  </si>
  <si>
    <t>Stamp Duty @ 1%</t>
  </si>
  <si>
    <t>Ragistration Charges @ 0.5 %</t>
  </si>
  <si>
    <t>Total Value of Stamp Duty and Registration</t>
  </si>
  <si>
    <t>Lease period in months</t>
  </si>
  <si>
    <t>Area (Sqft.)</t>
  </si>
  <si>
    <t>Rent (Rs. per Sqft.)</t>
  </si>
  <si>
    <t xml:space="preserve">Average rent </t>
  </si>
  <si>
    <t>Average Car park</t>
  </si>
  <si>
    <t>Average CAM</t>
  </si>
  <si>
    <t xml:space="preserve">Lease rent for average of 5 years + SD (including GST for stamp duty </t>
  </si>
  <si>
    <t>Stamp Duty =1% rent</t>
  </si>
  <si>
    <t>Registration Charges at 0.5%</t>
  </si>
  <si>
    <t>Year</t>
  </si>
  <si>
    <t>Rent 
(INR)</t>
  </si>
  <si>
    <t xml:space="preserve"> Terrace Rent 
(INR)</t>
  </si>
  <si>
    <t>Sinage Rent 
(INR)</t>
  </si>
  <si>
    <t>Car Park 
(INR)</t>
  </si>
  <si>
    <t>CAM 
(INR)</t>
  </si>
  <si>
    <t>FMS 
(INR)</t>
  </si>
  <si>
    <t>FY</t>
  </si>
  <si>
    <t>Rental terms as per agreement</t>
  </si>
  <si>
    <t>From</t>
  </si>
  <si>
    <t>To</t>
  </si>
  <si>
    <t>Months</t>
  </si>
  <si>
    <t>Area in SQM</t>
  </si>
  <si>
    <t>Area in SQF</t>
  </si>
  <si>
    <t xml:space="preserve">Escalation </t>
  </si>
  <si>
    <t>Rental</t>
  </si>
  <si>
    <t>Car Parks per #</t>
  </si>
  <si>
    <t>Rental 
SQM</t>
  </si>
  <si>
    <t>Car Parks 
SQM</t>
  </si>
  <si>
    <t>CAM 
SQM</t>
  </si>
  <si>
    <t>Rent+Car Parks</t>
  </si>
  <si>
    <t>Car parks</t>
  </si>
  <si>
    <t xml:space="preserve">Rates </t>
  </si>
  <si>
    <t>No of Vehicles</t>
  </si>
  <si>
    <t>Amount</t>
  </si>
  <si>
    <t>4 Wheeler</t>
  </si>
  <si>
    <t>2 Wheeler</t>
  </si>
  <si>
    <t>Calculation of Amortisation of Siemens own Investment</t>
  </si>
  <si>
    <t>Investment name</t>
  </si>
  <si>
    <t>Fitout</t>
  </si>
  <si>
    <t>Investment Cost</t>
  </si>
  <si>
    <t>Month needed</t>
  </si>
  <si>
    <t xml:space="preserve">Interest Rate </t>
  </si>
  <si>
    <t>Month left</t>
  </si>
  <si>
    <t>Annual Depreciation Rate</t>
  </si>
  <si>
    <t>Depreciation Time</t>
  </si>
  <si>
    <t>used Depreciation</t>
  </si>
  <si>
    <t>Area Sq. Fit</t>
  </si>
  <si>
    <t>Book value at Begin of FY</t>
  </si>
  <si>
    <t>Area Sq. Mtr</t>
  </si>
  <si>
    <t>Book value at End of FY</t>
  </si>
  <si>
    <t>Investment year*</t>
  </si>
  <si>
    <t>Average Net Book Value FY</t>
  </si>
  <si>
    <t>Impted Interest</t>
  </si>
  <si>
    <t xml:space="preserve">Test if refinace is ok (0%) </t>
  </si>
  <si>
    <t>User Depreciation</t>
  </si>
  <si>
    <t>per sq. ft.</t>
  </si>
  <si>
    <t>per sq. mtr</t>
  </si>
  <si>
    <t xml:space="preserve">Monthly Value </t>
  </si>
  <si>
    <t>Investment</t>
  </si>
  <si>
    <t>Basic and project maintenance</t>
  </si>
  <si>
    <t>Interest</t>
  </si>
  <si>
    <t>Remark</t>
  </si>
  <si>
    <t>Security deposit</t>
  </si>
  <si>
    <t>Additional deposit</t>
  </si>
  <si>
    <t>Area sqft</t>
  </si>
  <si>
    <t>Rate for Carrying Cost</t>
  </si>
  <si>
    <t>Term Period in Months</t>
  </si>
  <si>
    <t>Rate per Sqft</t>
  </si>
  <si>
    <t>Car Park</t>
  </si>
  <si>
    <t>CAM-IFRS16</t>
  </si>
  <si>
    <t xml:space="preserve">ARO working </t>
  </si>
  <si>
    <t xml:space="preserve">Per sqft </t>
  </si>
  <si>
    <t xml:space="preserve">Per sqmt </t>
  </si>
  <si>
    <t>Area (Sqft)</t>
  </si>
  <si>
    <t>ARO Cost per Sqft/pm</t>
  </si>
  <si>
    <t>ARO rate per Sqft as on 30.09.2017</t>
  </si>
  <si>
    <t>Lease Size Calculation for 3 Years</t>
  </si>
  <si>
    <t>Rentals</t>
  </si>
  <si>
    <t>Car Park
(INR)</t>
  </si>
  <si>
    <t>Chennai</t>
  </si>
  <si>
    <t>6th floor</t>
  </si>
  <si>
    <t>Additional deposit (Electricity)</t>
  </si>
  <si>
    <t>IN-CHEK2</t>
  </si>
  <si>
    <t>As on
 01/01/2026</t>
  </si>
  <si>
    <t>REU</t>
  </si>
  <si>
    <t>Chargeable Office Area</t>
  </si>
  <si>
    <t>Sq.ft.</t>
  </si>
  <si>
    <t>Sq.m.</t>
  </si>
  <si>
    <t>Agreement Start Date</t>
  </si>
  <si>
    <t>Agreement End Date</t>
  </si>
  <si>
    <t>Agreement Period</t>
  </si>
  <si>
    <t xml:space="preserve">Quoted Rentals </t>
  </si>
  <si>
    <t>Quoted CAM</t>
  </si>
  <si>
    <t>PM cost Over lease period</t>
  </si>
  <si>
    <t>Cost of Capital</t>
  </si>
  <si>
    <t>Imputed Interest</t>
  </si>
  <si>
    <t>Escalation Clause Rent</t>
  </si>
  <si>
    <t>15% every 3 years</t>
  </si>
  <si>
    <t>Escalation Clause CAM</t>
  </si>
  <si>
    <t>5% every years</t>
  </si>
  <si>
    <t>2026</t>
  </si>
  <si>
    <t>Rental / Month</t>
  </si>
  <si>
    <t xml:space="preserve">CAM / Month </t>
  </si>
  <si>
    <t xml:space="preserve">Carpark Rent / Month </t>
  </si>
  <si>
    <t xml:space="preserve">Lease acquision cost - Brokerage on warm shell (One time Payment) </t>
  </si>
  <si>
    <t>Used Depreciation</t>
  </si>
  <si>
    <t>PM per sq. ft. per month</t>
  </si>
  <si>
    <t>PM per sq. mtr. per month</t>
  </si>
  <si>
    <t>Rental 
SQF</t>
  </si>
  <si>
    <t>CAM 
SQF</t>
  </si>
  <si>
    <t>PARKING</t>
  </si>
  <si>
    <t>No. of 4 wheelers</t>
  </si>
  <si>
    <t>No. of 2 wheelers</t>
  </si>
  <si>
    <t>Rate per 4 wheeler</t>
  </si>
  <si>
    <t>Rate per 2 wheeler</t>
  </si>
  <si>
    <t>No. of  dedicated bike parks - chargeable</t>
  </si>
  <si>
    <t>Bikepark - charges per bike including Service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</si>
</sst>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3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 * #,##0.00_ ;_ * \-#,##0.00_ ;_ * &quot;-&quot;??_ ;_ @_ "/>
    <numFmt numFmtId="167" formatCode="_(* #,##0_);_(* \(#,##0\);_(* &quot;-&quot;??_);_(@_)"/>
    <numFmt numFmtId="168" formatCode="#,##0.0"/>
    <numFmt numFmtId="169" formatCode="0.0%"/>
    <numFmt numFmtId="170" formatCode="0.000000"/>
    <numFmt numFmtId="171" formatCode="_(* #,##0.0_);_(* \(#,##0.0\);_(* &quot;-&quot;??_);_(@_)"/>
    <numFmt numFmtId="172" formatCode="0.0"/>
    <numFmt numFmtId="173" formatCode="0.000"/>
    <numFmt numFmtId="174" formatCode="_ * #,##0_ ;_ * \-#,##0_ ;_ * &quot;-&quot;??_ ;_ @_ "/>
    <numFmt numFmtId="175" formatCode="[$-409]d\-mmm\-yy;@"/>
    <numFmt numFmtId="176" formatCode="#,##0.0000_);\(#,##0.0000\)"/>
    <numFmt numFmtId="177" formatCode="General_)"/>
    <numFmt numFmtId="178" formatCode="\$#,##0;\(\$#,##0\)"/>
    <numFmt numFmtId="179" formatCode="[$INR]\ #,##0.00_);\([$INR]\ #,##0.00\)"/>
    <numFmt numFmtId="180" formatCode="&quot;True&quot;;&quot;True&quot;;&quot;False&quot;"/>
    <numFmt numFmtId="181" formatCode="0.00;[Red]0.00"/>
    <numFmt numFmtId="182" formatCode="_(* #,##0.0000_);_(* \(#,##0.0000\);_(* &quot;-&quot;??_);_(@_)"/>
    <numFmt numFmtId="183" formatCode="#,##0.0000000_);\(#,##0.0000000\)"/>
    <numFmt numFmtId="184" formatCode="_-* #,##0.00\ _D_M_-;\-* #,##0.00\ _D_M_-;_-* &quot;-&quot;??\ _D_M_-;_-@_-"/>
    <numFmt numFmtId="185" formatCode="#,##0;\(#,##0\)"/>
    <numFmt numFmtId="186" formatCode="\$#,##0.00;\(\$#,##0.00\)"/>
    <numFmt numFmtId="187" formatCode="0.00_)"/>
    <numFmt numFmtId="188" formatCode="\£#,##0_);\(\£#,##0\)"/>
    <numFmt numFmtId="189" formatCode="&quot;$&quot;#,##0.00"/>
    <numFmt numFmtId="190" formatCode="_-&quot;$&quot;* #,##0.00_-;\-&quot;$&quot;* #,##0.00_-;_-&quot;$&quot;* &quot;-&quot;??_-;_-@_-"/>
    <numFmt numFmtId="191" formatCode="#,##0.0_);\(#,##0.0\)"/>
    <numFmt numFmtId="192" formatCode="[$-409]dd\-mmm\-yy;@"/>
    <numFmt numFmtId="193" formatCode="\\#,##0;[Red]&quot;\-&quot;#,##0"/>
    <numFmt numFmtId="194" formatCode="\\#,##0.00;[Red]&quot;\-&quot;#,##0.00"/>
    <numFmt numFmtId="195" formatCode="_-* #,##0_-;\-* #,##0_-;_-* \-_-;_-@_-"/>
    <numFmt numFmtId="196" formatCode="#\-#\-##"/>
    <numFmt numFmtId="197" formatCode="#,##0;\-#,##0;&quot;-&quot;"/>
    <numFmt numFmtId="198" formatCode="_(* #,##0.000_);_(* \(#,##0.000\);_(* &quot;-&quot;???_);_(@_)"/>
    <numFmt numFmtId="199" formatCode="0###0"/>
    <numFmt numFmtId="200" formatCode="_(\$* #,##0_);_(\$* \(#,##0\);_(\$* \-_);_(@_)"/>
    <numFmt numFmtId="201" formatCode="&quot;Rs.&quot;#,##0_);[Red]\(&quot;Rs.&quot;#,##0\)"/>
    <numFmt numFmtId="202" formatCode="#,##0_);[Red]\(#,##0\);;@"/>
    <numFmt numFmtId="203" formatCode="\+#,##0\ ;[Red]\-#,##0\ ;\-\ "/>
    <numFmt numFmtId="204" formatCode="\+#,##0.0\ ;[Red]\-#,##0.0\ ;\-\ "/>
    <numFmt numFmtId="205" formatCode="\+#,##0\ ;[Red]\-#,##0\ ;\-\ \ "/>
    <numFmt numFmtId="206" formatCode="\+#,##0.0\ ;[Red]\-#,##0.0\ ;\-\ \ "/>
    <numFmt numFmtId="207" formatCode="#,##0\ ;[Red]\-#,##0\ ;\-\ \ "/>
    <numFmt numFmtId="208" formatCode="#,##0.0\ ;[Red]\-#,##0.0\ ;\-\ \ "/>
    <numFmt numFmtId="209" formatCode="#,##0.00\ ;[Red]\-#,##0.00\ ;\-\ \ "/>
    <numFmt numFmtId="210" formatCode="#,##0.000\ ;[Red]\-#,##0.000\ ;\-\ \ "/>
    <numFmt numFmtId="211" formatCode="_-[$€-2]\ * #,##0.00_-;\-[$€-2]\ * #,##0.00_-;_-[$€-2]\ * &quot;-&quot;??_-"/>
    <numFmt numFmtId="212" formatCode="_([$€-2]* #,##0.00_);_([$€-2]* \(#,##0.00\);_([$€-2]* &quot;-&quot;??_)"/>
    <numFmt numFmtId="213" formatCode="&quot;Rs.&quot;#,##0.00_);\(&quot;Rs.&quot;#,##0.00\)"/>
    <numFmt numFmtId="214" formatCode="General\ ;[Red]\(General\)"/>
    <numFmt numFmtId="215" formatCode="&quot;Fr.&quot;\ \+#,##0\ ;[Red]&quot;Fr.&quot;\ \-#,##0\ ;\-\ "/>
    <numFmt numFmtId="216" formatCode="&quot;Fr.&quot;\ #,##0\ ;[Red]&quot;Fr.&quot;\ \-#,##0\ ;\-\ "/>
    <numFmt numFmtId="217" formatCode="&quot;Fr.&quot;\ #,##0.00\ ;[Red]&quot;Fr.&quot;\ \-#,##0.00\ ;\-\ "/>
    <numFmt numFmtId="218" formatCode="\T\T\ \ #\-#\-##"/>
    <numFmt numFmtId="219" formatCode="_-* #,##0\ _D_M_-;\-* #,##0\ _D_M_-;_-* &quot;-&quot;\ _D_M_-;_-@_-"/>
    <numFmt numFmtId="220" formatCode="&quot;DM&quot;#,##0.00;[Red]\-&quot;DM&quot;#,##0.00"/>
    <numFmt numFmtId="221" formatCode="#,##0;[Red]#,##0"/>
    <numFmt numFmtId="222" formatCode="\P\T\ \ #\-#\-##"/>
    <numFmt numFmtId="223" formatCode="\-##\ \T\O\ ##"/>
    <numFmt numFmtId="224" formatCode="mm/dd/yy"/>
    <numFmt numFmtId="225" formatCode="d/\ mmmm\ yyyy"/>
    <numFmt numFmtId="226" formatCode="d/m/yy\ "/>
    <numFmt numFmtId="227" formatCode="d/m/yyyy\ "/>
    <numFmt numFmtId="228" formatCode="\T\I\ #\-#\-##"/>
    <numFmt numFmtId="229" formatCode="hh:mm\ "/>
    <numFmt numFmtId="230" formatCode="0##0"/>
    <numFmt numFmtId="231" formatCode="\V\F\ \ #\-#\-##"/>
    <numFmt numFmtId="232" formatCode="00"/>
  </numFmts>
  <fonts count="102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sz val="9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Helv"/>
      <charset val="204"/>
    </font>
    <font>
      <sz val="10"/>
      <name val="Geneva"/>
      <family val="2"/>
    </font>
    <font>
      <sz val="14"/>
      <name val="AngsanaUPC"/>
      <family val="1"/>
    </font>
    <font>
      <sz val="10"/>
      <name val="Helv"/>
    </font>
    <font>
      <sz val="10"/>
      <name val="Times New Roman"/>
      <family val="1"/>
    </font>
    <font>
      <sz val="12"/>
      <name val="Tms Rmn"/>
    </font>
    <font>
      <sz val="12"/>
      <name val="¹ÙÅÁÃ¼"/>
      <charset val="129"/>
    </font>
    <font>
      <sz val="11"/>
      <color indexed="8"/>
      <name val="Calibri"/>
      <family val="2"/>
    </font>
    <font>
      <sz val="10"/>
      <name val="MS Sans Serif"/>
      <family val="2"/>
    </font>
    <font>
      <sz val="11"/>
      <name val="Courier"/>
      <family val="3"/>
    </font>
    <font>
      <sz val="12"/>
      <name val="Arial"/>
      <family val="2"/>
    </font>
    <font>
      <sz val="11"/>
      <color indexed="8"/>
      <name val="Calibri"/>
      <family val="2"/>
      <charset val="1"/>
    </font>
    <font>
      <sz val="10"/>
      <color indexed="10"/>
      <name val="Arial"/>
      <family val="2"/>
    </font>
    <font>
      <b/>
      <sz val="18"/>
      <name val="Arial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name val="Tahoma"/>
      <family val="2"/>
    </font>
    <font>
      <sz val="7"/>
      <name val="Small Fonts"/>
      <family val="2"/>
    </font>
    <font>
      <b/>
      <i/>
      <sz val="16"/>
      <name val="Helv"/>
    </font>
    <font>
      <b/>
      <sz val="10"/>
      <name val="Arial CE"/>
      <family val="2"/>
      <charset val="238"/>
    </font>
    <font>
      <sz val="11"/>
      <name val="Arial"/>
      <family val="2"/>
    </font>
    <font>
      <sz val="9"/>
      <name val="Times New Roman"/>
      <family val="1"/>
    </font>
    <font>
      <b/>
      <i/>
      <sz val="9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1"/>
      <name val="Times New Roman"/>
      <family val="1"/>
    </font>
    <font>
      <u/>
      <sz val="9"/>
      <color indexed="36"/>
      <name val="Arial"/>
      <family val="2"/>
    </font>
    <font>
      <u val="double"/>
      <sz val="14"/>
      <color indexed="8"/>
      <name val="Arial"/>
      <family val="2"/>
    </font>
    <font>
      <sz val="10"/>
      <color indexed="8"/>
      <name val="Verdana"/>
      <family val="2"/>
    </font>
    <font>
      <sz val="10"/>
      <color theme="0"/>
      <name val="Arial"/>
      <family val="2"/>
    </font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sz val="10"/>
      <color theme="1"/>
      <name val="Arial Unicode MS"/>
      <family val="2"/>
    </font>
    <font>
      <sz val="8"/>
      <color theme="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rgb="FF2F4F4F"/>
      <name val="Verdana"/>
      <family val="2"/>
    </font>
    <font>
      <sz val="8"/>
      <color theme="1"/>
      <name val="Arial"/>
      <family val="2"/>
    </font>
    <font>
      <sz val="14"/>
      <name val="Terminal"/>
      <family val="3"/>
      <charset val="128"/>
    </font>
    <font>
      <sz val="10"/>
      <name val="Helv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MS Serif"/>
      <family val="1"/>
    </font>
    <font>
      <b/>
      <u/>
      <sz val="11"/>
      <name val="Times New Roman"/>
      <family val="1"/>
    </font>
    <font>
      <sz val="10"/>
      <name val="Century Gothic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0"/>
      <name val="Century Gothic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9"/>
      <name val="Arial"/>
      <family val="2"/>
    </font>
    <font>
      <b/>
      <sz val="11"/>
      <name val="Helv"/>
    </font>
    <font>
      <sz val="11"/>
      <color indexed="60"/>
      <name val="Calibri"/>
      <family val="2"/>
    </font>
    <font>
      <sz val="12"/>
      <color indexed="8"/>
      <name val="Arial"/>
      <family val="2"/>
    </font>
    <font>
      <sz val="11"/>
      <color rgb="FF000000"/>
      <name val="Calibri"/>
      <family val="2"/>
      <charset val="204"/>
    </font>
    <font>
      <sz val="10"/>
      <name val="Tahoma"/>
      <family val="2"/>
    </font>
    <font>
      <b/>
      <sz val="11"/>
      <color indexed="63"/>
      <name val="Calibri"/>
      <family val="2"/>
    </font>
    <font>
      <sz val="8"/>
      <name val="Helv"/>
    </font>
    <font>
      <b/>
      <u/>
      <sz val="10"/>
      <color indexed="18"/>
      <name val="Century Gothic"/>
      <family val="2"/>
    </font>
    <font>
      <b/>
      <sz val="12"/>
      <color indexed="18"/>
      <name val="Times New Roman"/>
      <family val="1"/>
    </font>
    <font>
      <b/>
      <sz val="8"/>
      <color indexed="8"/>
      <name val="Helv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i/>
      <sz val="12"/>
      <name val="Times New Roman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ＭＳ ゴシック"/>
      <family val="3"/>
      <charset val="128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u val="singleAccounting"/>
      <sz val="10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gray06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23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23"/>
      </patternFill>
    </fill>
    <fill>
      <patternFill patternType="lightGray">
        <fgColor indexed="13"/>
        <bgColor indexed="9"/>
      </patternFill>
    </fill>
    <fill>
      <patternFill patternType="mediumGray">
        <fgColor indexed="22"/>
        <bgColor indexed="9"/>
      </patternFill>
    </fill>
    <fill>
      <patternFill patternType="solid">
        <fgColor rgb="FFF9A7F3"/>
        <bgColor indexed="64"/>
      </patternFill>
    </fill>
    <fill>
      <patternFill patternType="solid">
        <fgColor theme="8"/>
        <bgColor indexed="64"/>
      </patternFill>
    </fill>
  </fills>
  <borders count="8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12">
    <xf numFmtId="0" fontId="0" fillId="0" borderId="0"/>
    <xf numFmtId="0" fontId="15" fillId="0" borderId="0"/>
    <xf numFmtId="0" fontId="15" fillId="0" borderId="0"/>
    <xf numFmtId="43" fontId="4" fillId="0" borderId="0" applyFont="0" applyFill="0" applyBorder="0" applyAlignment="0" applyProtection="0"/>
    <xf numFmtId="4" fontId="44" fillId="2" borderId="1">
      <alignment readingOrder="1"/>
      <protection locked="0"/>
    </xf>
    <xf numFmtId="175" fontId="15" fillId="0" borderId="0"/>
    <xf numFmtId="0" fontId="4" fillId="0" borderId="0"/>
    <xf numFmtId="0" fontId="4" fillId="0" borderId="0"/>
    <xf numFmtId="0" fontId="4" fillId="0" borderId="0"/>
    <xf numFmtId="0" fontId="16" fillId="0" borderId="0"/>
    <xf numFmtId="9" fontId="17" fillId="0" borderId="0"/>
    <xf numFmtId="176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8" fillId="0" borderId="0"/>
    <xf numFmtId="0" fontId="18" fillId="0" borderId="0"/>
    <xf numFmtId="0" fontId="4" fillId="0" borderId="0" applyFill="0" applyBorder="0">
      <alignment vertical="center"/>
    </xf>
    <xf numFmtId="177" fontId="19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9" fillId="0" borderId="2">
      <protection locked="0"/>
    </xf>
    <xf numFmtId="0" fontId="20" fillId="0" borderId="0" applyNumberFormat="0" applyFill="0" applyBorder="0" applyAlignment="0" applyProtection="0"/>
    <xf numFmtId="0" fontId="21" fillId="0" borderId="0"/>
    <xf numFmtId="43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7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82" fontId="46" fillId="0" borderId="0" applyFont="0" applyFill="0" applyBorder="0" applyAlignment="0" applyProtection="0"/>
    <xf numFmtId="17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3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35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6" fillId="0" borderId="0" applyFont="0" applyFill="0" applyBorder="0" applyAlignment="0" applyProtection="0"/>
    <xf numFmtId="17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5" fontId="19" fillId="0" borderId="0"/>
    <xf numFmtId="177" fontId="24" fillId="0" borderId="3" applyNumberFormat="0" applyBorder="0" applyAlignment="0" applyProtection="0">
      <protection locked="0"/>
    </xf>
    <xf numFmtId="44" fontId="4" fillId="0" borderId="0" applyFont="0" applyFill="0" applyBorder="0" applyAlignment="0" applyProtection="0"/>
    <xf numFmtId="186" fontId="19" fillId="0" borderId="0"/>
    <xf numFmtId="0" fontId="25" fillId="0" borderId="0" applyProtection="0"/>
    <xf numFmtId="178" fontId="19" fillId="0" borderId="0"/>
    <xf numFmtId="0" fontId="26" fillId="0" borderId="0"/>
    <xf numFmtId="2" fontId="25" fillId="0" borderId="0" applyProtection="0"/>
    <xf numFmtId="0" fontId="19" fillId="0" borderId="4" applyNumberFormat="0" applyFill="0" applyBorder="0" applyAlignment="0" applyProtection="0">
      <protection locked="0"/>
    </xf>
    <xf numFmtId="168" fontId="27" fillId="0" borderId="5">
      <alignment horizontal="right"/>
    </xf>
    <xf numFmtId="38" fontId="5" fillId="3" borderId="0" applyNumberFormat="0" applyBorder="0" applyAlignment="0" applyProtection="0"/>
    <xf numFmtId="0" fontId="13" fillId="0" borderId="6" applyNumberFormat="0" applyAlignment="0" applyProtection="0">
      <alignment horizontal="left" vertical="center"/>
    </xf>
    <xf numFmtId="0" fontId="13" fillId="0" borderId="7">
      <alignment horizontal="left" vertical="center"/>
    </xf>
    <xf numFmtId="0" fontId="28" fillId="0" borderId="0" applyProtection="0"/>
    <xf numFmtId="0" fontId="13" fillId="0" borderId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83" fontId="4" fillId="0" borderId="0" applyProtection="0">
      <alignment horizontal="center"/>
    </xf>
    <xf numFmtId="10" fontId="5" fillId="4" borderId="8" applyNumberFormat="0" applyBorder="0" applyAlignment="0" applyProtection="0"/>
    <xf numFmtId="177" fontId="10" fillId="5" borderId="0"/>
    <xf numFmtId="0" fontId="31" fillId="0" borderId="0">
      <alignment horizontal="justify" vertical="top" wrapText="1"/>
    </xf>
    <xf numFmtId="37" fontId="32" fillId="0" borderId="0"/>
    <xf numFmtId="187" fontId="33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 applyFill="0" applyBorder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5" fontId="4" fillId="0" borderId="0"/>
    <xf numFmtId="0" fontId="4" fillId="0" borderId="0"/>
    <xf numFmtId="0" fontId="35" fillId="0" borderId="0">
      <alignment vertical="center"/>
    </xf>
    <xf numFmtId="0" fontId="4" fillId="0" borderId="0"/>
    <xf numFmtId="175" fontId="46" fillId="0" borderId="0"/>
    <xf numFmtId="175" fontId="46" fillId="0" borderId="0"/>
    <xf numFmtId="0" fontId="4" fillId="0" borderId="0"/>
    <xf numFmtId="0" fontId="46" fillId="0" borderId="0"/>
    <xf numFmtId="0" fontId="46" fillId="0" borderId="0"/>
    <xf numFmtId="0" fontId="1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8" fillId="0" borderId="0"/>
    <xf numFmtId="0" fontId="46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4" fillId="0" borderId="0" applyFont="0"/>
    <xf numFmtId="188" fontId="35" fillId="5" borderId="0"/>
    <xf numFmtId="0" fontId="36" fillId="0" borderId="0">
      <alignment horizontal="left" vertical="top"/>
    </xf>
    <xf numFmtId="0" fontId="37" fillId="0" borderId="0">
      <alignment horizontal="left" vertical="top"/>
    </xf>
    <xf numFmtId="0" fontId="38" fillId="0" borderId="0">
      <alignment horizontal="left" vertical="top"/>
    </xf>
    <xf numFmtId="0" fontId="39" fillId="6" borderId="9">
      <alignment horizontal="left"/>
    </xf>
    <xf numFmtId="0" fontId="40" fillId="1" borderId="0">
      <alignment horizontal="center" vertical="center"/>
    </xf>
    <xf numFmtId="0" fontId="40" fillId="1" borderId="10">
      <alignment horizontal="centerContinuous" vertical="center"/>
    </xf>
    <xf numFmtId="0" fontId="41" fillId="6" borderId="8">
      <alignment horizontal="left" vertical="center"/>
    </xf>
    <xf numFmtId="0" fontId="36" fillId="0" borderId="0">
      <alignment horizontal="left" vertical="top"/>
    </xf>
    <xf numFmtId="189" fontId="36" fillId="0" borderId="0">
      <alignment horizontal="right" vertical="top"/>
    </xf>
    <xf numFmtId="0" fontId="37" fillId="0" borderId="0">
      <alignment horizontal="centerContinuous" vertical="top"/>
    </xf>
    <xf numFmtId="9" fontId="4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" fontId="19" fillId="0" borderId="0" applyBorder="0">
      <alignment horizontal="left" vertical="top" wrapText="1"/>
    </xf>
    <xf numFmtId="0" fontId="4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40" fontId="41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49" fontId="43" fillId="7" borderId="0">
      <alignment horizontal="left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5" fontId="3" fillId="0" borderId="0"/>
    <xf numFmtId="175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1" fillId="0" borderId="0"/>
    <xf numFmtId="43" fontId="51" fillId="0" borderId="0" applyFont="0" applyFill="0" applyBorder="0" applyAlignment="0" applyProtection="0"/>
    <xf numFmtId="0" fontId="4" fillId="0" borderId="0"/>
    <xf numFmtId="0" fontId="55" fillId="3" borderId="1" applyNumberFormat="0">
      <alignment readingOrder="1"/>
      <protection locked="0"/>
    </xf>
    <xf numFmtId="0" fontId="4" fillId="10" borderId="8">
      <alignment horizontal="right"/>
    </xf>
    <xf numFmtId="0" fontId="4" fillId="0" borderId="8">
      <alignment horizontal="right"/>
    </xf>
    <xf numFmtId="0" fontId="4" fillId="3" borderId="8">
      <alignment horizontal="left"/>
    </xf>
    <xf numFmtId="0" fontId="4" fillId="3" borderId="8">
      <alignment horizontal="left" vertical="center"/>
    </xf>
    <xf numFmtId="0" fontId="4" fillId="2" borderId="8">
      <alignment horizontal="left" vertical="center"/>
    </xf>
    <xf numFmtId="0" fontId="4" fillId="10" borderId="8">
      <alignment horizontal="right"/>
    </xf>
    <xf numFmtId="0" fontId="4" fillId="10" borderId="8">
      <alignment horizontal="right"/>
    </xf>
    <xf numFmtId="0" fontId="54" fillId="19" borderId="0" applyNumberFormat="0" applyBorder="0" applyAlignment="0" applyProtection="0"/>
    <xf numFmtId="0" fontId="54" fillId="20" borderId="61" applyNumberFormat="0" applyProtection="0">
      <alignment horizontal="center" vertical="top" wrapText="1"/>
    </xf>
    <xf numFmtId="0" fontId="56" fillId="0" borderId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51" fillId="0" borderId="0"/>
    <xf numFmtId="43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193" fontId="4" fillId="0" borderId="0" applyFill="0" applyBorder="0" applyAlignment="0" applyProtection="0"/>
    <xf numFmtId="194" fontId="4" fillId="0" borderId="0" applyFill="0" applyBorder="0" applyAlignment="0" applyProtection="0"/>
    <xf numFmtId="40" fontId="4" fillId="0" borderId="0" applyFill="0" applyBorder="0" applyAlignment="0" applyProtection="0"/>
    <xf numFmtId="38" fontId="4" fillId="0" borderId="0" applyFill="0" applyBorder="0" applyAlignment="0" applyProtection="0"/>
    <xf numFmtId="195" fontId="4" fillId="0" borderId="0" applyFill="0" applyBorder="0" applyAlignment="0" applyProtection="0"/>
    <xf numFmtId="0" fontId="57" fillId="0" borderId="0"/>
    <xf numFmtId="0" fontId="58" fillId="0" borderId="0"/>
    <xf numFmtId="0" fontId="4" fillId="0" borderId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2" borderId="0" applyNumberFormat="0" applyBorder="0" applyAlignment="0" applyProtection="0"/>
    <xf numFmtId="0" fontId="22" fillId="22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30" borderId="0" applyNumberFormat="0" applyBorder="0" applyAlignment="0" applyProtection="0"/>
    <xf numFmtId="0" fontId="22" fillId="30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59" fillId="35" borderId="0" applyNumberFormat="0" applyBorder="0" applyAlignment="0" applyProtection="0"/>
    <xf numFmtId="0" fontId="59" fillId="35" borderId="0" applyNumberFormat="0" applyBorder="0" applyAlignment="0" applyProtection="0"/>
    <xf numFmtId="0" fontId="59" fillId="35" borderId="0" applyNumberFormat="0" applyBorder="0" applyAlignment="0" applyProtection="0"/>
    <xf numFmtId="0" fontId="59" fillId="35" borderId="0" applyNumberFormat="0" applyBorder="0" applyAlignment="0" applyProtection="0"/>
    <xf numFmtId="0" fontId="59" fillId="35" borderId="0" applyNumberFormat="0" applyBorder="0" applyAlignment="0" applyProtection="0"/>
    <xf numFmtId="0" fontId="59" fillId="35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1" borderId="0" applyNumberFormat="0" applyBorder="0" applyAlignment="0" applyProtection="0"/>
    <xf numFmtId="0" fontId="59" fillId="32" borderId="0" applyNumberFormat="0" applyBorder="0" applyAlignment="0" applyProtection="0"/>
    <xf numFmtId="0" fontId="59" fillId="32" borderId="0" applyNumberFormat="0" applyBorder="0" applyAlignment="0" applyProtection="0"/>
    <xf numFmtId="0" fontId="59" fillId="32" borderId="0" applyNumberFormat="0" applyBorder="0" applyAlignment="0" applyProtection="0"/>
    <xf numFmtId="0" fontId="59" fillId="32" borderId="0" applyNumberFormat="0" applyBorder="0" applyAlignment="0" applyProtection="0"/>
    <xf numFmtId="0" fontId="59" fillId="32" borderId="0" applyNumberFormat="0" applyBorder="0" applyAlignment="0" applyProtection="0"/>
    <xf numFmtId="0" fontId="59" fillId="32" borderId="0" applyNumberFormat="0" applyBorder="0" applyAlignment="0" applyProtection="0"/>
    <xf numFmtId="0" fontId="59" fillId="33" borderId="0" applyNumberFormat="0" applyBorder="0" applyAlignment="0" applyProtection="0"/>
    <xf numFmtId="0" fontId="59" fillId="33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0" borderId="0" applyNumberFormat="0" applyBorder="0" applyAlignment="0" applyProtection="0"/>
    <xf numFmtId="0" fontId="59" fillId="30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8" borderId="0" applyNumberFormat="0" applyBorder="0" applyAlignment="0" applyProtection="0"/>
    <xf numFmtId="0" fontId="59" fillId="38" borderId="0" applyNumberFormat="0" applyBorder="0" applyAlignment="0" applyProtection="0"/>
    <xf numFmtId="0" fontId="59" fillId="38" borderId="0" applyNumberFormat="0" applyBorder="0" applyAlignment="0" applyProtection="0"/>
    <xf numFmtId="0" fontId="59" fillId="38" borderId="0" applyNumberFormat="0" applyBorder="0" applyAlignment="0" applyProtection="0"/>
    <xf numFmtId="0" fontId="59" fillId="38" borderId="0" applyNumberFormat="0" applyBorder="0" applyAlignment="0" applyProtection="0"/>
    <xf numFmtId="0" fontId="59" fillId="38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0" fontId="59" fillId="39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40" borderId="0" applyNumberFormat="0" applyBorder="0" applyAlignment="0" applyProtection="0"/>
    <xf numFmtId="0" fontId="59" fillId="40" borderId="0" applyNumberFormat="0" applyBorder="0" applyAlignment="0" applyProtection="0"/>
    <xf numFmtId="0" fontId="59" fillId="40" borderId="0" applyNumberFormat="0" applyBorder="0" applyAlignment="0" applyProtection="0"/>
    <xf numFmtId="0" fontId="59" fillId="40" borderId="0" applyNumberFormat="0" applyBorder="0" applyAlignment="0" applyProtection="0"/>
    <xf numFmtId="0" fontId="59" fillId="40" borderId="0" applyNumberFormat="0" applyBorder="0" applyAlignment="0" applyProtection="0"/>
    <xf numFmtId="0" fontId="59" fillId="40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2" borderId="0" applyNumberFormat="0" applyBorder="0" applyAlignment="0" applyProtection="0"/>
    <xf numFmtId="0" fontId="59" fillId="41" borderId="0" applyNumberFormat="0" applyBorder="0" applyAlignment="0" applyProtection="0"/>
    <xf numFmtId="0" fontId="59" fillId="41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37" borderId="0" applyNumberFormat="0" applyBorder="0" applyAlignment="0" applyProtection="0"/>
    <xf numFmtId="0" fontId="59" fillId="43" borderId="0" applyNumberFormat="0" applyBorder="0" applyAlignment="0" applyProtection="0"/>
    <xf numFmtId="0" fontId="59" fillId="43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36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0" fontId="59" fillId="44" borderId="0" applyNumberFormat="0" applyBorder="0" applyAlignment="0" applyProtection="0"/>
    <xf numFmtId="1" fontId="5" fillId="45" borderId="62">
      <alignment horizontal="left" vertical="center"/>
    </xf>
    <xf numFmtId="196" fontId="5" fillId="45" borderId="63">
      <alignment horizontal="left" vertical="center"/>
    </xf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0" fillId="23" borderId="0" applyNumberFormat="0" applyBorder="0" applyAlignment="0" applyProtection="0"/>
    <xf numFmtId="0" fontId="61" fillId="23" borderId="0" applyNumberFormat="0" applyBorder="0" applyAlignment="0" applyProtection="0"/>
    <xf numFmtId="0" fontId="61" fillId="23" borderId="0" applyNumberFormat="0" applyBorder="0" applyAlignment="0" applyProtection="0"/>
    <xf numFmtId="197" fontId="54" fillId="0" borderId="0" applyFill="0" applyBorder="0" applyAlignment="0"/>
    <xf numFmtId="0" fontId="62" fillId="30" borderId="1" applyNumberFormat="0" applyAlignment="0" applyProtection="0"/>
    <xf numFmtId="0" fontId="62" fillId="30" borderId="1" applyNumberFormat="0" applyAlignment="0" applyProtection="0"/>
    <xf numFmtId="0" fontId="62" fillId="30" borderId="1" applyNumberFormat="0" applyAlignment="0" applyProtection="0"/>
    <xf numFmtId="0" fontId="62" fillId="30" borderId="1" applyNumberFormat="0" applyAlignment="0" applyProtection="0"/>
    <xf numFmtId="0" fontId="62" fillId="30" borderId="1" applyNumberFormat="0" applyAlignment="0" applyProtection="0"/>
    <xf numFmtId="0" fontId="62" fillId="30" borderId="1" applyNumberFormat="0" applyAlignment="0" applyProtection="0"/>
    <xf numFmtId="0" fontId="62" fillId="22" borderId="1" applyNumberFormat="0" applyAlignment="0" applyProtection="0"/>
    <xf numFmtId="0" fontId="62" fillId="22" borderId="1" applyNumberFormat="0" applyAlignment="0" applyProtection="0"/>
    <xf numFmtId="0" fontId="63" fillId="0" borderId="0"/>
    <xf numFmtId="0" fontId="64" fillId="46" borderId="64" applyNumberFormat="0" applyAlignment="0" applyProtection="0"/>
    <xf numFmtId="0" fontId="64" fillId="46" borderId="64" applyNumberFormat="0" applyAlignment="0" applyProtection="0"/>
    <xf numFmtId="0" fontId="64" fillId="46" borderId="64" applyNumberFormat="0" applyAlignment="0" applyProtection="0"/>
    <xf numFmtId="0" fontId="64" fillId="46" borderId="64" applyNumberFormat="0" applyAlignment="0" applyProtection="0"/>
    <xf numFmtId="0" fontId="64" fillId="46" borderId="64" applyNumberFormat="0" applyAlignment="0" applyProtection="0"/>
    <xf numFmtId="0" fontId="64" fillId="46" borderId="64" applyNumberFormat="0" applyAlignment="0" applyProtection="0"/>
    <xf numFmtId="0" fontId="64" fillId="46" borderId="64" applyNumberFormat="0" applyAlignment="0" applyProtection="0"/>
    <xf numFmtId="0" fontId="64" fillId="46" borderId="64" applyNumberFormat="0" applyAlignment="0" applyProtection="0"/>
    <xf numFmtId="198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5" fillId="0" borderId="0" applyNumberFormat="0" applyAlignment="0">
      <alignment horizontal="left"/>
    </xf>
    <xf numFmtId="199" fontId="66" fillId="47" borderId="0" applyFill="0">
      <alignment horizontal="left" vertical="top"/>
      <protection locked="0"/>
    </xf>
    <xf numFmtId="200" fontId="4" fillId="0" borderId="0" applyFill="0" applyBorder="0" applyAlignment="0" applyProtection="0"/>
    <xf numFmtId="201" fontId="4" fillId="0" borderId="0">
      <alignment horizontal="center"/>
    </xf>
    <xf numFmtId="200" fontId="4" fillId="0" borderId="0" applyFill="0" applyBorder="0" applyAlignment="0" applyProtection="0"/>
    <xf numFmtId="202" fontId="67" fillId="0" borderId="0" applyFont="0" applyFill="0" applyBorder="0">
      <alignment horizontal="left" vertical="top" wrapText="1"/>
      <protection locked="0"/>
    </xf>
    <xf numFmtId="203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205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207" fontId="4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0" fontId="68" fillId="0" borderId="0" applyNumberFormat="0" applyAlignment="0">
      <alignment horizontal="left"/>
    </xf>
    <xf numFmtId="211" fontId="4" fillId="0" borderId="0" applyFont="0" applyFill="0" applyBorder="0" applyAlignment="0" applyProtection="0"/>
    <xf numFmtId="211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22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13" fontId="4" fillId="0" borderId="0">
      <protection locked="0"/>
    </xf>
    <xf numFmtId="213" fontId="4" fillId="0" borderId="0">
      <protection locked="0"/>
    </xf>
    <xf numFmtId="213" fontId="4" fillId="0" borderId="0">
      <protection locked="0"/>
    </xf>
    <xf numFmtId="213" fontId="4" fillId="0" borderId="0">
      <protection locked="0"/>
    </xf>
    <xf numFmtId="213" fontId="4" fillId="0" borderId="0">
      <protection locked="0"/>
    </xf>
    <xf numFmtId="213" fontId="4" fillId="0" borderId="0">
      <protection locked="0"/>
    </xf>
    <xf numFmtId="213" fontId="4" fillId="0" borderId="0">
      <protection locked="0"/>
    </xf>
    <xf numFmtId="214" fontId="67" fillId="0" borderId="0" applyFont="0">
      <alignment horizontal="left"/>
      <protection locked="0"/>
    </xf>
    <xf numFmtId="215" fontId="4" fillId="0" borderId="0" applyFont="0" applyFill="0" applyBorder="0" applyAlignment="0" applyProtection="0"/>
    <xf numFmtId="216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5" fillId="45" borderId="63">
      <alignment horizontal="left" vertical="center"/>
    </xf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0" fontId="70" fillId="25" borderId="0" applyNumberFormat="0" applyBorder="0" applyAlignment="0" applyProtection="0"/>
    <xf numFmtId="199" fontId="71" fillId="0" borderId="0">
      <alignment horizontal="left"/>
    </xf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2" fillId="0" borderId="65" applyNumberFormat="0" applyFill="0" applyAlignment="0" applyProtection="0"/>
    <xf numFmtId="0" fontId="73" fillId="0" borderId="66" applyNumberFormat="0" applyFill="0" applyAlignment="0" applyProtection="0"/>
    <xf numFmtId="0" fontId="73" fillId="0" borderId="66" applyNumberFormat="0" applyFill="0" applyAlignment="0" applyProtection="0"/>
    <xf numFmtId="0" fontId="74" fillId="0" borderId="67" applyNumberFormat="0" applyFill="0" applyAlignment="0" applyProtection="0"/>
    <xf numFmtId="0" fontId="74" fillId="0" borderId="67" applyNumberFormat="0" applyFill="0" applyAlignment="0" applyProtection="0"/>
    <xf numFmtId="0" fontId="74" fillId="0" borderId="67" applyNumberFormat="0" applyFill="0" applyAlignment="0" applyProtection="0"/>
    <xf numFmtId="0" fontId="74" fillId="0" borderId="67" applyNumberFormat="0" applyFill="0" applyAlignment="0" applyProtection="0"/>
    <xf numFmtId="0" fontId="74" fillId="0" borderId="67" applyNumberFormat="0" applyFill="0" applyAlignment="0" applyProtection="0"/>
    <xf numFmtId="0" fontId="74" fillId="0" borderId="67" applyNumberFormat="0" applyFill="0" applyAlignment="0" applyProtection="0"/>
    <xf numFmtId="0" fontId="75" fillId="0" borderId="67" applyNumberFormat="0" applyFill="0" applyAlignment="0" applyProtection="0"/>
    <xf numFmtId="0" fontId="75" fillId="0" borderId="67" applyNumberFormat="0" applyFill="0" applyAlignment="0" applyProtection="0"/>
    <xf numFmtId="0" fontId="76" fillId="0" borderId="68" applyNumberFormat="0" applyFill="0" applyAlignment="0" applyProtection="0"/>
    <xf numFmtId="0" fontId="76" fillId="0" borderId="68" applyNumberFormat="0" applyFill="0" applyAlignment="0" applyProtection="0"/>
    <xf numFmtId="0" fontId="76" fillId="0" borderId="68" applyNumberFormat="0" applyFill="0" applyAlignment="0" applyProtection="0"/>
    <xf numFmtId="0" fontId="76" fillId="0" borderId="68" applyNumberFormat="0" applyFill="0" applyAlignment="0" applyProtection="0"/>
    <xf numFmtId="0" fontId="76" fillId="0" borderId="68" applyNumberFormat="0" applyFill="0" applyAlignment="0" applyProtection="0"/>
    <xf numFmtId="0" fontId="76" fillId="0" borderId="68" applyNumberFormat="0" applyFill="0" applyAlignment="0" applyProtection="0"/>
    <xf numFmtId="0" fontId="77" fillId="0" borderId="69" applyNumberFormat="0" applyFill="0" applyAlignment="0" applyProtection="0"/>
    <xf numFmtId="0" fontId="77" fillId="0" borderId="69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24" borderId="1" applyNumberFormat="0" applyAlignment="0" applyProtection="0"/>
    <xf numFmtId="0" fontId="78" fillId="24" borderId="1" applyNumberFormat="0" applyAlignment="0" applyProtection="0"/>
    <xf numFmtId="0" fontId="78" fillId="24" borderId="1" applyNumberFormat="0" applyAlignment="0" applyProtection="0"/>
    <xf numFmtId="0" fontId="78" fillId="24" borderId="1" applyNumberFormat="0" applyAlignment="0" applyProtection="0"/>
    <xf numFmtId="0" fontId="78" fillId="24" borderId="1" applyNumberFormat="0" applyAlignment="0" applyProtection="0"/>
    <xf numFmtId="0" fontId="78" fillId="24" borderId="1" applyNumberFormat="0" applyAlignment="0" applyProtection="0"/>
    <xf numFmtId="0" fontId="78" fillId="24" borderId="1" applyNumberFormat="0" applyAlignment="0" applyProtection="0"/>
    <xf numFmtId="0" fontId="78" fillId="24" borderId="1" applyNumberFormat="0" applyAlignment="0" applyProtection="0"/>
    <xf numFmtId="199" fontId="67" fillId="0" borderId="0" applyFont="0">
      <alignment horizontal="left"/>
    </xf>
    <xf numFmtId="199" fontId="67" fillId="0" borderId="0" applyFont="0" applyFill="0" applyBorder="0">
      <alignment horizontal="left"/>
    </xf>
    <xf numFmtId="40" fontId="5" fillId="0" borderId="0" applyFont="0">
      <protection locked="0"/>
    </xf>
    <xf numFmtId="0" fontId="79" fillId="0" borderId="70" applyNumberFormat="0" applyFill="0" applyAlignment="0" applyProtection="0"/>
    <xf numFmtId="0" fontId="79" fillId="0" borderId="70" applyNumberFormat="0" applyFill="0" applyAlignment="0" applyProtection="0"/>
    <xf numFmtId="0" fontId="79" fillId="0" borderId="70" applyNumberFormat="0" applyFill="0" applyAlignment="0" applyProtection="0"/>
    <xf numFmtId="0" fontId="79" fillId="0" borderId="70" applyNumberFormat="0" applyFill="0" applyAlignment="0" applyProtection="0"/>
    <xf numFmtId="0" fontId="79" fillId="0" borderId="70" applyNumberFormat="0" applyFill="0" applyAlignment="0" applyProtection="0"/>
    <xf numFmtId="0" fontId="79" fillId="0" borderId="70" applyNumberFormat="0" applyFill="0" applyAlignment="0" applyProtection="0"/>
    <xf numFmtId="0" fontId="79" fillId="0" borderId="70" applyNumberFormat="0" applyFill="0" applyAlignment="0" applyProtection="0"/>
    <xf numFmtId="0" fontId="79" fillId="0" borderId="70" applyNumberFormat="0" applyFill="0" applyAlignment="0" applyProtection="0"/>
    <xf numFmtId="199" fontId="67" fillId="0" borderId="0" applyFont="0" applyFill="0" applyBorder="0">
      <alignment horizontal="left"/>
    </xf>
    <xf numFmtId="199" fontId="67" fillId="0" borderId="0" applyFont="0" applyFill="0" applyBorder="0">
      <alignment horizontal="left"/>
    </xf>
    <xf numFmtId="202" fontId="80" fillId="0" borderId="0">
      <alignment horizontal="left" vertical="top"/>
      <protection locked="0"/>
    </xf>
    <xf numFmtId="202" fontId="5" fillId="0" borderId="0" applyFont="0"/>
    <xf numFmtId="41" fontId="54" fillId="0" borderId="0" applyFont="0" applyFill="0" applyBorder="0" applyAlignment="0" applyProtection="0"/>
    <xf numFmtId="219" fontId="4" fillId="0" borderId="0" applyFont="0" applyFill="0" applyBorder="0" applyAlignment="0" applyProtection="0"/>
    <xf numFmtId="4" fontId="18" fillId="0" borderId="0" applyFont="0" applyFill="0" applyBorder="0" applyAlignment="0" applyProtection="0"/>
    <xf numFmtId="199" fontId="67" fillId="0" borderId="0" applyFont="0" applyFill="0" applyBorder="0">
      <alignment horizontal="left"/>
    </xf>
    <xf numFmtId="0" fontId="81" fillId="0" borderId="26"/>
    <xf numFmtId="0" fontId="4" fillId="0" borderId="0" applyFont="0" applyFill="0" applyBorder="0" applyAlignment="0" applyProtection="0"/>
    <xf numFmtId="220" fontId="18" fillId="0" borderId="0" applyFont="0" applyFill="0" applyBorder="0" applyAlignment="0" applyProtection="0"/>
    <xf numFmtId="199" fontId="67" fillId="0" borderId="0" applyFont="0">
      <alignment horizontal="left"/>
    </xf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0" fontId="82" fillId="33" borderId="0" applyNumberFormat="0" applyBorder="0" applyAlignment="0" applyProtection="0"/>
    <xf numFmtId="221" fontId="83" fillId="0" borderId="0"/>
    <xf numFmtId="221" fontId="83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84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4" fillId="0" borderId="0"/>
    <xf numFmtId="0" fontId="25" fillId="26" borderId="71" applyNumberFormat="0" applyAlignment="0" applyProtection="0"/>
    <xf numFmtId="0" fontId="25" fillId="26" borderId="71" applyNumberFormat="0" applyAlignment="0" applyProtection="0"/>
    <xf numFmtId="0" fontId="25" fillId="26" borderId="71" applyNumberFormat="0" applyAlignment="0" applyProtection="0"/>
    <xf numFmtId="0" fontId="25" fillId="26" borderId="71" applyNumberFormat="0" applyAlignment="0" applyProtection="0"/>
    <xf numFmtId="0" fontId="25" fillId="26" borderId="71" applyNumberFormat="0" applyAlignment="0" applyProtection="0"/>
    <xf numFmtId="0" fontId="25" fillId="26" borderId="71" applyNumberFormat="0" applyAlignment="0" applyProtection="0"/>
    <xf numFmtId="0" fontId="22" fillId="26" borderId="71" applyNumberFormat="0" applyAlignment="0" applyProtection="0"/>
    <xf numFmtId="0" fontId="22" fillId="26" borderId="71" applyNumberFormat="0" applyAlignment="0" applyProtection="0"/>
    <xf numFmtId="214" fontId="5" fillId="0" borderId="0" applyFont="0">
      <protection locked="0"/>
    </xf>
    <xf numFmtId="2" fontId="4" fillId="0" borderId="8" applyFont="0" applyBorder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" fontId="4" fillId="0" borderId="0" applyFont="0" applyFill="0" applyBorder="0" applyAlignment="0" applyProtection="0"/>
    <xf numFmtId="1" fontId="4" fillId="0" borderId="0" applyFont="0" applyFill="0" applyBorder="0" applyAlignment="0" applyProtection="0"/>
    <xf numFmtId="0" fontId="86" fillId="30" borderId="72" applyNumberFormat="0" applyAlignment="0" applyProtection="0"/>
    <xf numFmtId="0" fontId="86" fillId="30" borderId="72" applyNumberFormat="0" applyAlignment="0" applyProtection="0"/>
    <xf numFmtId="0" fontId="86" fillId="30" borderId="72" applyNumberFormat="0" applyAlignment="0" applyProtection="0"/>
    <xf numFmtId="0" fontId="86" fillId="30" borderId="72" applyNumberFormat="0" applyAlignment="0" applyProtection="0"/>
    <xf numFmtId="0" fontId="86" fillId="30" borderId="72" applyNumberFormat="0" applyAlignment="0" applyProtection="0"/>
    <xf numFmtId="0" fontId="86" fillId="30" borderId="72" applyNumberFormat="0" applyAlignment="0" applyProtection="0"/>
    <xf numFmtId="0" fontId="86" fillId="22" borderId="72" applyNumberFormat="0" applyAlignment="0" applyProtection="0"/>
    <xf numFmtId="0" fontId="86" fillId="22" borderId="72" applyNumberFormat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222" fontId="5" fillId="45" borderId="63">
      <alignment horizontal="left" vertical="center"/>
    </xf>
    <xf numFmtId="223" fontId="5" fillId="45" borderId="73">
      <alignment horizontal="center" vertical="center"/>
    </xf>
    <xf numFmtId="40" fontId="67" fillId="0" borderId="0" applyFont="0">
      <protection locked="0"/>
    </xf>
    <xf numFmtId="40" fontId="71" fillId="0" borderId="0" applyFont="0">
      <protection locked="0"/>
    </xf>
    <xf numFmtId="224" fontId="87" fillId="0" borderId="0" applyNumberFormat="0" applyFill="0" applyBorder="0" applyAlignment="0" applyProtection="0">
      <alignment horizontal="left"/>
    </xf>
    <xf numFmtId="202" fontId="88" fillId="0" borderId="0" applyFont="0">
      <alignment horizontal="left"/>
    </xf>
    <xf numFmtId="0" fontId="4" fillId="0" borderId="0"/>
    <xf numFmtId="202" fontId="10" fillId="0" borderId="0">
      <alignment horizontal="right" vertical="top"/>
      <protection locked="0"/>
    </xf>
    <xf numFmtId="0" fontId="81" fillId="0" borderId="0"/>
    <xf numFmtId="0" fontId="89" fillId="0" borderId="0" applyNumberFormat="0" applyProtection="0">
      <alignment wrapText="1"/>
      <protection locked="0"/>
    </xf>
    <xf numFmtId="40" fontId="90" fillId="0" borderId="0" applyBorder="0">
      <alignment horizontal="right"/>
    </xf>
    <xf numFmtId="202" fontId="67" fillId="0" borderId="0" applyFont="0">
      <protection locked="0"/>
    </xf>
    <xf numFmtId="202" fontId="67" fillId="0" borderId="0" applyFill="0" applyProtection="0">
      <protection locked="0"/>
    </xf>
    <xf numFmtId="199" fontId="10" fillId="48" borderId="0" applyNumberFormat="0" applyAlignment="0">
      <alignment horizontal="left" vertical="top"/>
    </xf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28" fontId="5" fillId="45" borderId="63">
      <alignment horizontal="left" vertical="center"/>
    </xf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99" fontId="93" fillId="0" borderId="41" applyNumberFormat="0" applyFill="0" applyProtection="0">
      <alignment horizontal="center"/>
    </xf>
    <xf numFmtId="0" fontId="94" fillId="0" borderId="74" applyNumberFormat="0" applyFill="0" applyAlignment="0" applyProtection="0"/>
    <xf numFmtId="0" fontId="94" fillId="0" borderId="74" applyNumberFormat="0" applyFill="0" applyAlignment="0" applyProtection="0"/>
    <xf numFmtId="0" fontId="94" fillId="0" borderId="74" applyNumberFormat="0" applyFill="0" applyAlignment="0" applyProtection="0"/>
    <xf numFmtId="0" fontId="94" fillId="0" borderId="74" applyNumberFormat="0" applyFill="0" applyAlignment="0" applyProtection="0"/>
    <xf numFmtId="0" fontId="94" fillId="0" borderId="74" applyNumberFormat="0" applyFill="0" applyAlignment="0" applyProtection="0"/>
    <xf numFmtId="0" fontId="94" fillId="0" borderId="74" applyNumberFormat="0" applyFill="0" applyAlignment="0" applyProtection="0"/>
    <xf numFmtId="0" fontId="94" fillId="0" borderId="75" applyNumberFormat="0" applyFill="0" applyAlignment="0" applyProtection="0"/>
    <xf numFmtId="0" fontId="94" fillId="0" borderId="75" applyNumberFormat="0" applyFill="0" applyAlignment="0" applyProtection="0"/>
    <xf numFmtId="202" fontId="71" fillId="0" borderId="0"/>
    <xf numFmtId="218" fontId="5" fillId="45" borderId="63">
      <alignment horizontal="left" vertical="center"/>
    </xf>
    <xf numFmtId="229" fontId="4" fillId="0" borderId="0" applyFont="0" applyFill="0" applyBorder="0" applyAlignment="0" applyProtection="0"/>
    <xf numFmtId="230" fontId="67" fillId="0" borderId="0" applyFill="0">
      <alignment horizontal="center"/>
    </xf>
    <xf numFmtId="202" fontId="67" fillId="0" borderId="0" applyFont="0">
      <alignment horizontal="center"/>
      <protection locked="0"/>
    </xf>
    <xf numFmtId="187" fontId="80" fillId="0" borderId="8">
      <alignment horizontal="center" vertical="center"/>
    </xf>
    <xf numFmtId="187" fontId="80" fillId="0" borderId="8">
      <alignment horizontal="center" vertical="center"/>
    </xf>
    <xf numFmtId="42" fontId="54" fillId="0" borderId="0" applyFont="0" applyFill="0" applyBorder="0" applyAlignment="0" applyProtection="0"/>
    <xf numFmtId="1" fontId="5" fillId="0" borderId="35" applyBorder="0">
      <alignment horizontal="centerContinuous" vertical="center"/>
    </xf>
    <xf numFmtId="231" fontId="5" fillId="45" borderId="63">
      <alignment horizontal="left"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1" fontId="5" fillId="0" borderId="0">
      <alignment wrapText="1"/>
    </xf>
    <xf numFmtId="232" fontId="6" fillId="0" borderId="48" applyBorder="0">
      <alignment horizontal="center" vertical="center" wrapText="1"/>
    </xf>
    <xf numFmtId="40" fontId="4" fillId="0" borderId="0" applyFill="0" applyBorder="0" applyAlignment="0" applyProtection="0"/>
    <xf numFmtId="38" fontId="4" fillId="0" borderId="0" applyFill="0" applyBorder="0" applyAlignment="0" applyProtection="0"/>
    <xf numFmtId="0" fontId="96" fillId="0" borderId="0"/>
    <xf numFmtId="194" fontId="4" fillId="0" borderId="0" applyFill="0" applyBorder="0" applyAlignment="0" applyProtection="0"/>
    <xf numFmtId="193" fontId="4" fillId="0" borderId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2" fillId="0" borderId="0"/>
    <xf numFmtId="175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720">
    <xf numFmtId="0" fontId="0" fillId="0" borderId="0" xfId="0"/>
    <xf numFmtId="0" fontId="5" fillId="0" borderId="0" xfId="0" applyFont="1"/>
    <xf numFmtId="3" fontId="5" fillId="0" borderId="0" xfId="0" applyNumberFormat="1" applyFont="1"/>
    <xf numFmtId="0" fontId="7" fillId="0" borderId="8" xfId="0" applyFont="1" applyBorder="1"/>
    <xf numFmtId="0" fontId="5" fillId="0" borderId="8" xfId="0" applyFont="1" applyBorder="1"/>
    <xf numFmtId="167" fontId="5" fillId="0" borderId="8" xfId="21" applyNumberFormat="1" applyFont="1" applyBorder="1"/>
    <xf numFmtId="167" fontId="6" fillId="0" borderId="6" xfId="21" applyNumberFormat="1" applyFont="1" applyFill="1" applyBorder="1" applyAlignment="1">
      <alignment horizontal="center" vertical="center" wrapText="1"/>
    </xf>
    <xf numFmtId="167" fontId="5" fillId="0" borderId="11" xfId="21" applyNumberFormat="1" applyFont="1" applyBorder="1" applyAlignment="1">
      <alignment horizontal="left"/>
    </xf>
    <xf numFmtId="43" fontId="5" fillId="11" borderId="8" xfId="21" applyFont="1" applyFill="1" applyBorder="1" applyAlignment="1">
      <alignment horizontal="right"/>
    </xf>
    <xf numFmtId="167" fontId="5" fillId="0" borderId="8" xfId="21" applyNumberFormat="1" applyFont="1" applyBorder="1" applyAlignment="1">
      <alignment horizontal="right"/>
    </xf>
    <xf numFmtId="3" fontId="5" fillId="0" borderId="8" xfId="0" applyNumberFormat="1" applyFont="1" applyBorder="1"/>
    <xf numFmtId="0" fontId="5" fillId="0" borderId="9" xfId="0" applyFont="1" applyBorder="1"/>
    <xf numFmtId="0" fontId="5" fillId="0" borderId="12" xfId="0" applyFont="1" applyBorder="1"/>
    <xf numFmtId="3" fontId="7" fillId="0" borderId="8" xfId="0" applyNumberFormat="1" applyFont="1" applyBorder="1" applyAlignment="1">
      <alignment horizontal="center"/>
    </xf>
    <xf numFmtId="3" fontId="7" fillId="0" borderId="12" xfId="0" applyNumberFormat="1" applyFont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167" fontId="5" fillId="0" borderId="8" xfId="0" applyNumberFormat="1" applyFont="1" applyBorder="1"/>
    <xf numFmtId="3" fontId="5" fillId="0" borderId="12" xfId="0" applyNumberFormat="1" applyFont="1" applyBorder="1"/>
    <xf numFmtId="3" fontId="7" fillId="0" borderId="8" xfId="0" applyNumberFormat="1" applyFont="1" applyBorder="1"/>
    <xf numFmtId="3" fontId="7" fillId="12" borderId="8" xfId="0" applyNumberFormat="1" applyFont="1" applyFill="1" applyBorder="1"/>
    <xf numFmtId="167" fontId="5" fillId="13" borderId="8" xfId="21" applyNumberFormat="1" applyFont="1" applyFill="1" applyBorder="1" applyAlignment="1">
      <alignment horizontal="right"/>
    </xf>
    <xf numFmtId="3" fontId="5" fillId="12" borderId="8" xfId="0" applyNumberFormat="1" applyFont="1" applyFill="1" applyBorder="1"/>
    <xf numFmtId="3" fontId="5" fillId="0" borderId="4" xfId="0" applyNumberFormat="1" applyFont="1" applyBorder="1"/>
    <xf numFmtId="0" fontId="5" fillId="0" borderId="11" xfId="0" applyFont="1" applyBorder="1"/>
    <xf numFmtId="0" fontId="7" fillId="0" borderId="12" xfId="0" applyFont="1" applyBorder="1" applyAlignment="1">
      <alignment horizontal="center"/>
    </xf>
    <xf numFmtId="3" fontId="7" fillId="0" borderId="12" xfId="0" applyNumberFormat="1" applyFont="1" applyBorder="1"/>
    <xf numFmtId="167" fontId="5" fillId="0" borderId="8" xfId="21" applyNumberFormat="1" applyFont="1" applyFill="1" applyBorder="1" applyAlignment="1">
      <alignment horizontal="right"/>
    </xf>
    <xf numFmtId="3" fontId="5" fillId="0" borderId="13" xfId="0" applyNumberFormat="1" applyFont="1" applyBorder="1"/>
    <xf numFmtId="3" fontId="7" fillId="0" borderId="14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5" fillId="0" borderId="11" xfId="0" applyNumberFormat="1" applyFont="1" applyBorder="1"/>
    <xf numFmtId="3" fontId="7" fillId="0" borderId="16" xfId="0" applyNumberFormat="1" applyFont="1" applyBorder="1"/>
    <xf numFmtId="3" fontId="7" fillId="0" borderId="17" xfId="0" applyNumberFormat="1" applyFont="1" applyBorder="1"/>
    <xf numFmtId="3" fontId="7" fillId="0" borderId="18" xfId="0" applyNumberFormat="1" applyFont="1" applyBorder="1"/>
    <xf numFmtId="0" fontId="7" fillId="0" borderId="11" xfId="0" applyFont="1" applyBorder="1"/>
    <xf numFmtId="43" fontId="7" fillId="0" borderId="8" xfId="21" applyFont="1" applyBorder="1"/>
    <xf numFmtId="0" fontId="5" fillId="0" borderId="3" xfId="0" applyFont="1" applyBorder="1"/>
    <xf numFmtId="0" fontId="5" fillId="0" borderId="19" xfId="0" applyFont="1" applyBorder="1"/>
    <xf numFmtId="3" fontId="7" fillId="0" borderId="20" xfId="0" applyNumberFormat="1" applyFont="1" applyBorder="1" applyAlignment="1">
      <alignment horizontal="center"/>
    </xf>
    <xf numFmtId="3" fontId="7" fillId="0" borderId="21" xfId="0" applyNumberFormat="1" applyFont="1" applyBorder="1" applyAlignment="1">
      <alignment horizontal="center"/>
    </xf>
    <xf numFmtId="3" fontId="5" fillId="0" borderId="22" xfId="0" applyNumberFormat="1" applyFont="1" applyBorder="1"/>
    <xf numFmtId="3" fontId="7" fillId="0" borderId="22" xfId="0" applyNumberFormat="1" applyFont="1" applyBorder="1"/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167" fontId="6" fillId="0" borderId="8" xfId="21" applyNumberFormat="1" applyFont="1" applyFill="1" applyBorder="1" applyAlignment="1">
      <alignment horizontal="center" vertical="center" wrapText="1"/>
    </xf>
    <xf numFmtId="167" fontId="6" fillId="0" borderId="12" xfId="21" applyNumberFormat="1" applyFont="1" applyFill="1" applyBorder="1" applyAlignment="1">
      <alignment horizontal="center" vertical="center" wrapText="1"/>
    </xf>
    <xf numFmtId="167" fontId="4" fillId="0" borderId="8" xfId="21" applyNumberFormat="1" applyFont="1" applyFill="1" applyBorder="1" applyAlignment="1">
      <alignment horizontal="center" vertical="center" wrapText="1"/>
    </xf>
    <xf numFmtId="167" fontId="4" fillId="0" borderId="12" xfId="21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0" fontId="4" fillId="0" borderId="8" xfId="207" applyNumberFormat="1" applyFont="1" applyFill="1" applyBorder="1" applyAlignment="1">
      <alignment horizontal="center" vertical="center" wrapText="1"/>
    </xf>
    <xf numFmtId="9" fontId="4" fillId="0" borderId="8" xfId="207" applyFont="1" applyFill="1" applyBorder="1" applyAlignment="1">
      <alignment horizontal="center" vertical="center" wrapText="1"/>
    </xf>
    <xf numFmtId="9" fontId="4" fillId="0" borderId="12" xfId="207" applyFont="1" applyFill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169" fontId="4" fillId="0" borderId="8" xfId="207" applyNumberFormat="1" applyFont="1" applyFill="1" applyBorder="1" applyAlignment="1">
      <alignment horizontal="center" vertical="center" wrapText="1"/>
    </xf>
    <xf numFmtId="169" fontId="4" fillId="0" borderId="12" xfId="207" applyNumberFormat="1" applyFont="1" applyFill="1" applyBorder="1" applyAlignment="1">
      <alignment horizontal="center" vertical="center" wrapText="1"/>
    </xf>
    <xf numFmtId="171" fontId="4" fillId="0" borderId="8" xfId="21" applyNumberFormat="1" applyFont="1" applyFill="1" applyBorder="1" applyAlignment="1">
      <alignment horizontal="center" vertical="center" wrapText="1"/>
    </xf>
    <xf numFmtId="171" fontId="4" fillId="0" borderId="12" xfId="21" applyNumberFormat="1" applyFont="1" applyFill="1" applyBorder="1" applyAlignment="1">
      <alignment horizontal="center" vertical="center" wrapText="1"/>
    </xf>
    <xf numFmtId="167" fontId="4" fillId="0" borderId="8" xfId="21" applyNumberFormat="1" applyFont="1" applyFill="1" applyBorder="1" applyAlignment="1">
      <alignment horizontal="right" vertical="center" wrapText="1"/>
    </xf>
    <xf numFmtId="167" fontId="4" fillId="0" borderId="12" xfId="21" applyNumberFormat="1" applyFont="1" applyFill="1" applyBorder="1" applyAlignment="1">
      <alignment horizontal="right" vertical="center" wrapText="1"/>
    </xf>
    <xf numFmtId="43" fontId="4" fillId="0" borderId="8" xfId="21" applyFont="1" applyFill="1" applyBorder="1" applyAlignment="1">
      <alignment horizontal="center" vertical="center" wrapText="1"/>
    </xf>
    <xf numFmtId="172" fontId="4" fillId="0" borderId="8" xfId="0" applyNumberFormat="1" applyFont="1" applyBorder="1" applyAlignment="1">
      <alignment horizontal="center" vertical="center" wrapText="1"/>
    </xf>
    <xf numFmtId="43" fontId="4" fillId="0" borderId="12" xfId="21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1" fontId="6" fillId="0" borderId="8" xfId="0" applyNumberFormat="1" applyFont="1" applyBorder="1" applyAlignment="1">
      <alignment horizontal="center" vertical="center" wrapText="1"/>
    </xf>
    <xf numFmtId="43" fontId="6" fillId="0" borderId="8" xfId="2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72" fontId="6" fillId="0" borderId="8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43" fontId="6" fillId="0" borderId="12" xfId="2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172" fontId="6" fillId="0" borderId="7" xfId="0" applyNumberFormat="1" applyFont="1" applyBorder="1" applyAlignment="1">
      <alignment horizontal="center" vertical="center" wrapText="1"/>
    </xf>
    <xf numFmtId="43" fontId="6" fillId="0" borderId="7" xfId="21" applyFont="1" applyFill="1" applyBorder="1" applyAlignment="1">
      <alignment horizontal="center" vertical="center" wrapText="1"/>
    </xf>
    <xf numFmtId="43" fontId="6" fillId="0" borderId="29" xfId="21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vertical="center" wrapText="1"/>
    </xf>
    <xf numFmtId="40" fontId="4" fillId="0" borderId="8" xfId="0" applyNumberFormat="1" applyFont="1" applyBorder="1" applyAlignment="1">
      <alignment horizontal="center" vertical="center" wrapText="1"/>
    </xf>
    <xf numFmtId="0" fontId="6" fillId="8" borderId="7" xfId="0" applyFont="1" applyFill="1" applyBorder="1" applyAlignment="1">
      <alignment horizontal="left" vertical="center" wrapText="1"/>
    </xf>
    <xf numFmtId="167" fontId="4" fillId="14" borderId="8" xfId="21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2" fontId="4" fillId="0" borderId="23" xfId="0" applyNumberFormat="1" applyFont="1" applyBorder="1" applyAlignment="1">
      <alignment horizontal="center" vertical="center" wrapText="1"/>
    </xf>
    <xf numFmtId="167" fontId="4" fillId="0" borderId="23" xfId="2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2" fontId="4" fillId="0" borderId="0" xfId="0" applyNumberFormat="1" applyFont="1" applyAlignment="1">
      <alignment horizontal="center" vertical="center" wrapText="1"/>
    </xf>
    <xf numFmtId="167" fontId="4" fillId="0" borderId="0" xfId="21" applyNumberFormat="1" applyFont="1" applyFill="1" applyBorder="1" applyAlignment="1">
      <alignment horizontal="center" vertical="center" wrapText="1"/>
    </xf>
    <xf numFmtId="167" fontId="4" fillId="0" borderId="4" xfId="21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justify" vertical="center" wrapText="1"/>
    </xf>
    <xf numFmtId="167" fontId="4" fillId="0" borderId="8" xfId="21" applyNumberFormat="1" applyFont="1" applyFill="1" applyBorder="1" applyAlignment="1">
      <alignment vertical="center" wrapText="1"/>
    </xf>
    <xf numFmtId="167" fontId="4" fillId="0" borderId="12" xfId="21" applyNumberFormat="1" applyFont="1" applyFill="1" applyBorder="1" applyAlignment="1">
      <alignment vertical="center" wrapText="1"/>
    </xf>
    <xf numFmtId="0" fontId="11" fillId="0" borderId="23" xfId="0" applyFont="1" applyBorder="1" applyAlignment="1">
      <alignment horizontal="justify" vertical="center" wrapText="1"/>
    </xf>
    <xf numFmtId="167" fontId="4" fillId="0" borderId="23" xfId="21" applyNumberFormat="1" applyFont="1" applyFill="1" applyBorder="1" applyAlignment="1">
      <alignment vertical="center" wrapText="1"/>
    </xf>
    <xf numFmtId="0" fontId="12" fillId="0" borderId="8" xfId="0" applyFont="1" applyBorder="1" applyAlignment="1">
      <alignment horizontal="justify" vertical="center" wrapText="1"/>
    </xf>
    <xf numFmtId="167" fontId="4" fillId="0" borderId="0" xfId="21" applyNumberFormat="1" applyFont="1" applyFill="1" applyAlignment="1">
      <alignment vertical="center" wrapText="1"/>
    </xf>
    <xf numFmtId="167" fontId="4" fillId="0" borderId="0" xfId="21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justify" vertical="center" wrapText="1"/>
    </xf>
    <xf numFmtId="167" fontId="4" fillId="0" borderId="0" xfId="21" applyNumberFormat="1" applyFont="1" applyFill="1" applyBorder="1" applyAlignment="1">
      <alignment vertical="center" wrapText="1"/>
    </xf>
    <xf numFmtId="167" fontId="6" fillId="0" borderId="12" xfId="21" applyNumberFormat="1" applyFont="1" applyFill="1" applyBorder="1" applyAlignment="1">
      <alignment vertical="center" wrapText="1"/>
    </xf>
    <xf numFmtId="43" fontId="4" fillId="0" borderId="12" xfId="21" applyFont="1" applyFill="1" applyBorder="1" applyAlignment="1">
      <alignment vertical="center" wrapText="1"/>
    </xf>
    <xf numFmtId="0" fontId="6" fillId="8" borderId="28" xfId="0" applyFont="1" applyFill="1" applyBorder="1" applyAlignment="1">
      <alignment vertical="center" wrapText="1"/>
    </xf>
    <xf numFmtId="43" fontId="4" fillId="0" borderId="8" xfId="0" applyNumberFormat="1" applyFont="1" applyBorder="1" applyAlignment="1">
      <alignment vertical="center" wrapText="1"/>
    </xf>
    <xf numFmtId="43" fontId="4" fillId="0" borderId="8" xfId="21" applyFont="1" applyFill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43" fontId="4" fillId="0" borderId="23" xfId="0" applyNumberFormat="1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 wrapText="1"/>
    </xf>
    <xf numFmtId="167" fontId="4" fillId="0" borderId="7" xfId="0" applyNumberFormat="1" applyFont="1" applyBorder="1" applyAlignment="1">
      <alignment vertical="center" wrapText="1"/>
    </xf>
    <xf numFmtId="0" fontId="4" fillId="0" borderId="0" xfId="184"/>
    <xf numFmtId="167" fontId="0" fillId="0" borderId="0" xfId="57" applyNumberFormat="1" applyFont="1"/>
    <xf numFmtId="0" fontId="4" fillId="0" borderId="8" xfId="184" applyBorder="1"/>
    <xf numFmtId="167" fontId="0" fillId="7" borderId="8" xfId="57" applyNumberFormat="1" applyFont="1" applyFill="1" applyBorder="1"/>
    <xf numFmtId="0" fontId="4" fillId="7" borderId="8" xfId="184" applyFill="1" applyBorder="1"/>
    <xf numFmtId="167" fontId="0" fillId="0" borderId="8" xfId="57" applyNumberFormat="1" applyFont="1" applyBorder="1"/>
    <xf numFmtId="167" fontId="4" fillId="0" borderId="8" xfId="184" applyNumberFormat="1" applyBorder="1"/>
    <xf numFmtId="167" fontId="4" fillId="0" borderId="8" xfId="21" applyNumberFormat="1" applyBorder="1"/>
    <xf numFmtId="2" fontId="4" fillId="0" borderId="8" xfId="184" applyNumberFormat="1" applyBorder="1"/>
    <xf numFmtId="43" fontId="4" fillId="0" borderId="24" xfId="21" applyFont="1" applyFill="1" applyBorder="1" applyAlignment="1">
      <alignment horizontal="center" vertical="center" wrapText="1"/>
    </xf>
    <xf numFmtId="43" fontId="4" fillId="14" borderId="12" xfId="21" applyFont="1" applyFill="1" applyBorder="1" applyAlignment="1">
      <alignment horizontal="center" vertical="center" wrapText="1"/>
    </xf>
    <xf numFmtId="167" fontId="6" fillId="0" borderId="11" xfId="21" applyNumberFormat="1" applyFont="1" applyFill="1" applyBorder="1" applyAlignment="1">
      <alignment horizontal="center" vertical="center" wrapText="1"/>
    </xf>
    <xf numFmtId="167" fontId="4" fillId="0" borderId="11" xfId="21" applyNumberFormat="1" applyFont="1" applyFill="1" applyBorder="1" applyAlignment="1">
      <alignment horizontal="center" vertical="center" wrapText="1"/>
    </xf>
    <xf numFmtId="9" fontId="4" fillId="0" borderId="11" xfId="207" applyFont="1" applyFill="1" applyBorder="1" applyAlignment="1">
      <alignment horizontal="center" vertical="center" wrapText="1"/>
    </xf>
    <xf numFmtId="169" fontId="4" fillId="0" borderId="11" xfId="207" applyNumberFormat="1" applyFont="1" applyFill="1" applyBorder="1" applyAlignment="1">
      <alignment horizontal="center" vertical="center" wrapText="1"/>
    </xf>
    <xf numFmtId="171" fontId="4" fillId="0" borderId="11" xfId="21" applyNumberFormat="1" applyFont="1" applyFill="1" applyBorder="1" applyAlignment="1">
      <alignment horizontal="center" vertical="center" wrapText="1"/>
    </xf>
    <xf numFmtId="167" fontId="4" fillId="0" borderId="11" xfId="21" applyNumberFormat="1" applyFont="1" applyFill="1" applyBorder="1" applyAlignment="1">
      <alignment horizontal="right" vertical="center" wrapText="1"/>
    </xf>
    <xf numFmtId="43" fontId="4" fillId="0" borderId="11" xfId="21" applyFont="1" applyFill="1" applyBorder="1" applyAlignment="1">
      <alignment horizontal="center" vertical="center" wrapText="1"/>
    </xf>
    <xf numFmtId="43" fontId="6" fillId="0" borderId="11" xfId="21" applyFont="1" applyFill="1" applyBorder="1" applyAlignment="1">
      <alignment horizontal="center" vertical="center" wrapText="1"/>
    </xf>
    <xf numFmtId="43" fontId="6" fillId="0" borderId="33" xfId="21" applyFont="1" applyFill="1" applyBorder="1" applyAlignment="1">
      <alignment horizontal="center" vertical="center" wrapText="1"/>
    </xf>
    <xf numFmtId="167" fontId="4" fillId="0" borderId="22" xfId="21" applyNumberFormat="1" applyFont="1" applyFill="1" applyBorder="1" applyAlignment="1">
      <alignment horizontal="center" vertical="center" wrapText="1"/>
    </xf>
    <xf numFmtId="167" fontId="4" fillId="0" borderId="3" xfId="21" applyNumberFormat="1" applyFont="1" applyFill="1" applyBorder="1" applyAlignment="1">
      <alignment horizontal="center" vertical="center" wrapText="1"/>
    </xf>
    <xf numFmtId="167" fontId="4" fillId="0" borderId="11" xfId="21" applyNumberFormat="1" applyFont="1" applyFill="1" applyBorder="1" applyAlignment="1">
      <alignment vertical="center" wrapText="1"/>
    </xf>
    <xf numFmtId="167" fontId="4" fillId="0" borderId="3" xfId="21" applyNumberFormat="1" applyFont="1" applyFill="1" applyBorder="1" applyAlignment="1">
      <alignment vertical="center" wrapText="1"/>
    </xf>
    <xf numFmtId="43" fontId="6" fillId="0" borderId="9" xfId="0" applyNumberFormat="1" applyFont="1" applyBorder="1" applyAlignment="1">
      <alignment horizontal="left" vertical="center" wrapText="1"/>
    </xf>
    <xf numFmtId="43" fontId="6" fillId="0" borderId="28" xfId="0" applyNumberFormat="1" applyFont="1" applyBorder="1" applyAlignment="1">
      <alignment horizontal="left" vertical="center" wrapText="1"/>
    </xf>
    <xf numFmtId="0" fontId="6" fillId="15" borderId="11" xfId="0" applyFont="1" applyFill="1" applyBorder="1" applyAlignment="1">
      <alignment horizontal="center" vertical="center" wrapText="1"/>
    </xf>
    <xf numFmtId="1" fontId="6" fillId="15" borderId="8" xfId="0" applyNumberFormat="1" applyFont="1" applyFill="1" applyBorder="1" applyAlignment="1">
      <alignment horizontal="center" vertical="center" wrapText="1"/>
    </xf>
    <xf numFmtId="167" fontId="6" fillId="15" borderId="8" xfId="21" applyNumberFormat="1" applyFont="1" applyFill="1" applyBorder="1" applyAlignment="1">
      <alignment horizontal="center" vertical="center" wrapText="1"/>
    </xf>
    <xf numFmtId="0" fontId="4" fillId="15" borderId="11" xfId="0" applyFont="1" applyFill="1" applyBorder="1" applyAlignment="1">
      <alignment horizontal="center" vertical="center" wrapText="1"/>
    </xf>
    <xf numFmtId="1" fontId="6" fillId="15" borderId="8" xfId="0" applyNumberFormat="1" applyFont="1" applyFill="1" applyBorder="1" applyAlignment="1">
      <alignment horizontal="left" vertical="center" wrapText="1"/>
    </xf>
    <xf numFmtId="167" fontId="6" fillId="15" borderId="8" xfId="21" applyNumberFormat="1" applyFont="1" applyFill="1" applyBorder="1" applyAlignment="1">
      <alignment horizontal="left" vertical="center" wrapText="1"/>
    </xf>
    <xf numFmtId="43" fontId="6" fillId="15" borderId="11" xfId="21" applyFont="1" applyFill="1" applyBorder="1" applyAlignment="1">
      <alignment horizontal="left" vertical="center" wrapText="1"/>
    </xf>
    <xf numFmtId="1" fontId="4" fillId="15" borderId="8" xfId="0" applyNumberFormat="1" applyFont="1" applyFill="1" applyBorder="1" applyAlignment="1">
      <alignment horizontal="center" vertical="center" wrapText="1"/>
    </xf>
    <xf numFmtId="167" fontId="0" fillId="0" borderId="8" xfId="21" applyNumberFormat="1" applyFont="1" applyBorder="1"/>
    <xf numFmtId="43" fontId="4" fillId="14" borderId="11" xfId="21" applyFont="1" applyFill="1" applyBorder="1" applyAlignment="1">
      <alignment horizontal="center" vertical="center" wrapText="1"/>
    </xf>
    <xf numFmtId="171" fontId="7" fillId="0" borderId="8" xfId="21" applyNumberFormat="1" applyFont="1" applyBorder="1"/>
    <xf numFmtId="43" fontId="5" fillId="0" borderId="8" xfId="0" applyNumberFormat="1" applyFont="1" applyBorder="1"/>
    <xf numFmtId="171" fontId="5" fillId="0" borderId="8" xfId="0" applyNumberFormat="1" applyFont="1" applyBorder="1"/>
    <xf numFmtId="171" fontId="7" fillId="0" borderId="8" xfId="0" applyNumberFormat="1" applyFont="1" applyBorder="1"/>
    <xf numFmtId="0" fontId="6" fillId="8" borderId="9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171" fontId="4" fillId="0" borderId="0" xfId="21" applyNumberFormat="1" applyFont="1" applyFill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172" fontId="6" fillId="0" borderId="9" xfId="0" applyNumberFormat="1" applyFont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 wrapText="1"/>
    </xf>
    <xf numFmtId="0" fontId="4" fillId="0" borderId="28" xfId="184" applyBorder="1"/>
    <xf numFmtId="0" fontId="4" fillId="0" borderId="11" xfId="184" applyBorder="1"/>
    <xf numFmtId="0" fontId="4" fillId="0" borderId="12" xfId="184" applyBorder="1"/>
    <xf numFmtId="0" fontId="4" fillId="0" borderId="16" xfId="184" applyBorder="1"/>
    <xf numFmtId="0" fontId="4" fillId="0" borderId="17" xfId="184" applyBorder="1"/>
    <xf numFmtId="167" fontId="0" fillId="0" borderId="17" xfId="57" applyNumberFormat="1" applyFont="1" applyBorder="1"/>
    <xf numFmtId="0" fontId="4" fillId="0" borderId="19" xfId="184" applyBorder="1"/>
    <xf numFmtId="0" fontId="4" fillId="0" borderId="20" xfId="184" applyBorder="1"/>
    <xf numFmtId="49" fontId="0" fillId="0" borderId="20" xfId="57" applyNumberFormat="1" applyFont="1" applyBorder="1" applyAlignment="1">
      <alignment horizontal="center"/>
    </xf>
    <xf numFmtId="49" fontId="4" fillId="0" borderId="20" xfId="184" applyNumberFormat="1" applyBorder="1" applyAlignment="1">
      <alignment horizontal="center"/>
    </xf>
    <xf numFmtId="43" fontId="5" fillId="0" borderId="0" xfId="0" applyNumberFormat="1" applyFont="1"/>
    <xf numFmtId="10" fontId="4" fillId="0" borderId="12" xfId="207" applyNumberFormat="1" applyFont="1" applyFill="1" applyBorder="1" applyAlignment="1">
      <alignment horizontal="center" vertical="center" wrapText="1"/>
    </xf>
    <xf numFmtId="10" fontId="4" fillId="0" borderId="11" xfId="207" applyNumberFormat="1" applyFont="1" applyFill="1" applyBorder="1" applyAlignment="1">
      <alignment horizontal="center" vertical="center" wrapText="1"/>
    </xf>
    <xf numFmtId="0" fontId="14" fillId="0" borderId="0" xfId="190"/>
    <xf numFmtId="43" fontId="0" fillId="0" borderId="0" xfId="21" applyFont="1"/>
    <xf numFmtId="0" fontId="6" fillId="0" borderId="0" xfId="190" applyFont="1"/>
    <xf numFmtId="167" fontId="6" fillId="0" borderId="8" xfId="21" applyNumberFormat="1" applyFont="1" applyBorder="1"/>
    <xf numFmtId="10" fontId="14" fillId="0" borderId="0" xfId="190" applyNumberFormat="1"/>
    <xf numFmtId="167" fontId="5" fillId="0" borderId="9" xfId="0" applyNumberFormat="1" applyFont="1" applyBorder="1"/>
    <xf numFmtId="171" fontId="6" fillId="0" borderId="11" xfId="21" applyNumberFormat="1" applyFont="1" applyFill="1" applyBorder="1" applyAlignment="1">
      <alignment horizontal="center" vertical="center" wrapText="1"/>
    </xf>
    <xf numFmtId="171" fontId="6" fillId="0" borderId="12" xfId="21" applyNumberFormat="1" applyFont="1" applyFill="1" applyBorder="1" applyAlignment="1">
      <alignment horizontal="center" vertical="center" wrapText="1"/>
    </xf>
    <xf numFmtId="3" fontId="5" fillId="0" borderId="23" xfId="0" applyNumberFormat="1" applyFont="1" applyBorder="1"/>
    <xf numFmtId="3" fontId="5" fillId="0" borderId="34" xfId="0" applyNumberFormat="1" applyFont="1" applyBorder="1"/>
    <xf numFmtId="165" fontId="5" fillId="0" borderId="0" xfId="0" applyNumberFormat="1" applyFont="1"/>
    <xf numFmtId="0" fontId="14" fillId="0" borderId="8" xfId="190" applyBorder="1"/>
    <xf numFmtId="171" fontId="4" fillId="14" borderId="12" xfId="21" applyNumberFormat="1" applyFont="1" applyFill="1" applyBorder="1" applyAlignment="1">
      <alignment horizontal="center" vertical="center" wrapText="1"/>
    </xf>
    <xf numFmtId="9" fontId="4" fillId="0" borderId="9" xfId="207" applyFont="1" applyFill="1" applyBorder="1" applyAlignment="1">
      <alignment horizontal="center" vertical="center" wrapText="1"/>
    </xf>
    <xf numFmtId="169" fontId="4" fillId="0" borderId="9" xfId="207" applyNumberFormat="1" applyFont="1" applyFill="1" applyBorder="1" applyAlignment="1">
      <alignment horizontal="center" vertical="center" wrapText="1"/>
    </xf>
    <xf numFmtId="10" fontId="4" fillId="0" borderId="9" xfId="207" applyNumberFormat="1" applyFont="1" applyFill="1" applyBorder="1" applyAlignment="1">
      <alignment horizontal="center" vertical="center" wrapText="1"/>
    </xf>
    <xf numFmtId="171" fontId="4" fillId="0" borderId="9" xfId="21" applyNumberFormat="1" applyFont="1" applyFill="1" applyBorder="1" applyAlignment="1">
      <alignment horizontal="center" vertical="center" wrapText="1"/>
    </xf>
    <xf numFmtId="167" fontId="4" fillId="0" borderId="9" xfId="21" applyNumberFormat="1" applyFont="1" applyFill="1" applyBorder="1" applyAlignment="1">
      <alignment horizontal="right" vertical="center" wrapText="1"/>
    </xf>
    <xf numFmtId="43" fontId="4" fillId="0" borderId="9" xfId="21" applyFont="1" applyFill="1" applyBorder="1" applyAlignment="1">
      <alignment horizontal="center" vertical="center" wrapText="1"/>
    </xf>
    <xf numFmtId="167" fontId="6" fillId="0" borderId="9" xfId="21" applyNumberFormat="1" applyFont="1" applyFill="1" applyBorder="1" applyAlignment="1">
      <alignment horizontal="right" vertical="center" wrapText="1"/>
    </xf>
    <xf numFmtId="43" fontId="6" fillId="0" borderId="9" xfId="21" applyFont="1" applyFill="1" applyBorder="1" applyAlignment="1">
      <alignment horizontal="center" vertical="center" wrapText="1"/>
    </xf>
    <xf numFmtId="167" fontId="4" fillId="14" borderId="9" xfId="21" applyNumberFormat="1" applyFont="1" applyFill="1" applyBorder="1" applyAlignment="1">
      <alignment horizontal="center" vertical="center" wrapText="1"/>
    </xf>
    <xf numFmtId="167" fontId="4" fillId="0" borderId="35" xfId="21" applyNumberFormat="1" applyFont="1" applyFill="1" applyBorder="1" applyAlignment="1">
      <alignment horizontal="center" vertical="center" wrapText="1"/>
    </xf>
    <xf numFmtId="167" fontId="4" fillId="0" borderId="9" xfId="21" applyNumberFormat="1" applyFont="1" applyFill="1" applyBorder="1" applyAlignment="1">
      <alignment vertical="center" wrapText="1"/>
    </xf>
    <xf numFmtId="167" fontId="4" fillId="0" borderId="35" xfId="21" applyNumberFormat="1" applyFont="1" applyFill="1" applyBorder="1" applyAlignment="1">
      <alignment vertical="center" wrapText="1"/>
    </xf>
    <xf numFmtId="167" fontId="6" fillId="15" borderId="9" xfId="21" applyNumberFormat="1" applyFont="1" applyFill="1" applyBorder="1" applyAlignment="1">
      <alignment horizontal="center" vertical="center" wrapText="1"/>
    </xf>
    <xf numFmtId="167" fontId="6" fillId="15" borderId="40" xfId="21" applyNumberFormat="1" applyFont="1" applyFill="1" applyBorder="1" applyAlignment="1">
      <alignment horizontal="center" vertical="center" wrapText="1"/>
    </xf>
    <xf numFmtId="171" fontId="6" fillId="0" borderId="8" xfId="21" applyNumberFormat="1" applyFont="1" applyFill="1" applyBorder="1" applyAlignment="1">
      <alignment horizontal="center" vertical="center" wrapText="1"/>
    </xf>
    <xf numFmtId="171" fontId="6" fillId="15" borderId="12" xfId="2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8" fillId="9" borderId="13" xfId="0" applyFont="1" applyFill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3" fontId="7" fillId="0" borderId="14" xfId="0" applyNumberFormat="1" applyFont="1" applyBorder="1" applyAlignment="1">
      <alignment horizontal="center" vertical="center" wrapText="1"/>
    </xf>
    <xf numFmtId="3" fontId="9" fillId="0" borderId="41" xfId="0" applyNumberFormat="1" applyFont="1" applyBorder="1" applyAlignment="1">
      <alignment vertical="center" wrapText="1"/>
    </xf>
    <xf numFmtId="3" fontId="8" fillId="0" borderId="14" xfId="0" applyNumberFormat="1" applyFont="1" applyBorder="1" applyAlignment="1">
      <alignment horizontal="center" vertical="center"/>
    </xf>
    <xf numFmtId="10" fontId="8" fillId="0" borderId="14" xfId="0" applyNumberFormat="1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43" fontId="7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3" fontId="7" fillId="12" borderId="12" xfId="0" applyNumberFormat="1" applyFont="1" applyFill="1" applyBorder="1"/>
    <xf numFmtId="167" fontId="5" fillId="0" borderId="0" xfId="0" applyNumberFormat="1" applyFont="1"/>
    <xf numFmtId="0" fontId="6" fillId="8" borderId="13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43" fontId="4" fillId="0" borderId="22" xfId="0" applyNumberFormat="1" applyFont="1" applyBorder="1" applyAlignment="1">
      <alignment vertical="center" wrapText="1"/>
    </xf>
    <xf numFmtId="43" fontId="4" fillId="0" borderId="24" xfId="0" applyNumberFormat="1" applyFont="1" applyBorder="1" applyAlignment="1">
      <alignment vertical="center" wrapText="1"/>
    </xf>
    <xf numFmtId="167" fontId="4" fillId="0" borderId="40" xfId="21" applyNumberFormat="1" applyFont="1" applyFill="1" applyBorder="1" applyAlignment="1">
      <alignment vertical="center" wrapText="1"/>
    </xf>
    <xf numFmtId="171" fontId="6" fillId="15" borderId="11" xfId="21" applyNumberFormat="1" applyFont="1" applyFill="1" applyBorder="1" applyAlignment="1">
      <alignment horizontal="center" vertical="center" wrapText="1"/>
    </xf>
    <xf numFmtId="167" fontId="4" fillId="0" borderId="25" xfId="21" applyNumberFormat="1" applyFont="1" applyFill="1" applyBorder="1" applyAlignment="1">
      <alignment vertical="center" wrapText="1"/>
    </xf>
    <xf numFmtId="167" fontId="4" fillId="0" borderId="27" xfId="21" applyNumberFormat="1" applyFont="1" applyFill="1" applyBorder="1" applyAlignment="1">
      <alignment vertical="center" wrapText="1"/>
    </xf>
    <xf numFmtId="167" fontId="6" fillId="0" borderId="8" xfId="21" applyNumberFormat="1" applyFont="1" applyFill="1" applyBorder="1" applyAlignment="1">
      <alignment vertical="center" wrapText="1"/>
    </xf>
    <xf numFmtId="167" fontId="6" fillId="0" borderId="38" xfId="21" applyNumberFormat="1" applyFont="1" applyFill="1" applyBorder="1" applyAlignment="1">
      <alignment vertical="center" wrapText="1"/>
    </xf>
    <xf numFmtId="167" fontId="6" fillId="0" borderId="11" xfId="21" applyNumberFormat="1" applyFont="1" applyFill="1" applyBorder="1" applyAlignment="1">
      <alignment vertical="center" wrapText="1"/>
    </xf>
    <xf numFmtId="167" fontId="0" fillId="0" borderId="8" xfId="0" applyNumberFormat="1" applyBorder="1"/>
    <xf numFmtId="167" fontId="4" fillId="13" borderId="11" xfId="21" applyNumberFormat="1" applyFont="1" applyFill="1" applyBorder="1" applyAlignment="1">
      <alignment horizontal="center" vertical="center" wrapText="1"/>
    </xf>
    <xf numFmtId="167" fontId="4" fillId="13" borderId="12" xfId="21" applyNumberFormat="1" applyFont="1" applyFill="1" applyBorder="1" applyAlignment="1">
      <alignment horizontal="center" vertical="center" wrapText="1"/>
    </xf>
    <xf numFmtId="167" fontId="4" fillId="13" borderId="8" xfId="21" applyNumberFormat="1" applyFont="1" applyFill="1" applyBorder="1" applyAlignment="1">
      <alignment horizontal="center" vertical="center" wrapText="1"/>
    </xf>
    <xf numFmtId="167" fontId="4" fillId="13" borderId="9" xfId="21" applyNumberFormat="1" applyFont="1" applyFill="1" applyBorder="1" applyAlignment="1">
      <alignment horizontal="center" vertical="center" wrapText="1"/>
    </xf>
    <xf numFmtId="167" fontId="6" fillId="13" borderId="8" xfId="21" applyNumberFormat="1" applyFont="1" applyFill="1" applyBorder="1" applyAlignment="1">
      <alignment horizontal="center" vertical="center" wrapText="1"/>
    </xf>
    <xf numFmtId="167" fontId="6" fillId="13" borderId="9" xfId="21" applyNumberFormat="1" applyFont="1" applyFill="1" applyBorder="1" applyAlignment="1">
      <alignment horizontal="center" vertical="center" wrapText="1"/>
    </xf>
    <xf numFmtId="171" fontId="6" fillId="15" borderId="12" xfId="21" applyNumberFormat="1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 wrapText="1"/>
    </xf>
    <xf numFmtId="172" fontId="6" fillId="0" borderId="28" xfId="0" applyNumberFormat="1" applyFont="1" applyBorder="1" applyAlignment="1">
      <alignment horizontal="center" vertical="center" wrapText="1"/>
    </xf>
    <xf numFmtId="0" fontId="4" fillId="0" borderId="21" xfId="184" applyBorder="1"/>
    <xf numFmtId="0" fontId="4" fillId="0" borderId="43" xfId="184" applyBorder="1" applyAlignment="1">
      <alignment horizontal="center"/>
    </xf>
    <xf numFmtId="167" fontId="0" fillId="7" borderId="9" xfId="57" applyNumberFormat="1" applyFont="1" applyFill="1" applyBorder="1"/>
    <xf numFmtId="0" fontId="4" fillId="0" borderId="9" xfId="184" applyBorder="1"/>
    <xf numFmtId="167" fontId="0" fillId="0" borderId="9" xfId="21" applyNumberFormat="1" applyFont="1" applyBorder="1"/>
    <xf numFmtId="167" fontId="0" fillId="7" borderId="9" xfId="21" applyNumberFormat="1" applyFont="1" applyFill="1" applyBorder="1"/>
    <xf numFmtId="167" fontId="0" fillId="0" borderId="9" xfId="57" applyNumberFormat="1" applyFont="1" applyFill="1" applyBorder="1"/>
    <xf numFmtId="2" fontId="4" fillId="0" borderId="9" xfId="184" applyNumberFormat="1" applyBorder="1"/>
    <xf numFmtId="0" fontId="4" fillId="0" borderId="32" xfId="184" applyBorder="1"/>
    <xf numFmtId="0" fontId="4" fillId="0" borderId="45" xfId="184" applyBorder="1"/>
    <xf numFmtId="0" fontId="4" fillId="0" borderId="40" xfId="184" applyBorder="1"/>
    <xf numFmtId="10" fontId="4" fillId="7" borderId="9" xfId="184" applyNumberFormat="1" applyFill="1" applyBorder="1"/>
    <xf numFmtId="0" fontId="0" fillId="0" borderId="0" xfId="184" applyFont="1"/>
    <xf numFmtId="0" fontId="0" fillId="0" borderId="8" xfId="184" applyFont="1" applyBorder="1"/>
    <xf numFmtId="167" fontId="4" fillId="0" borderId="8" xfId="181" applyNumberFormat="1" applyBorder="1"/>
    <xf numFmtId="43" fontId="0" fillId="0" borderId="17" xfId="57" applyFont="1" applyFill="1" applyBorder="1"/>
    <xf numFmtId="2" fontId="4" fillId="0" borderId="17" xfId="184" applyNumberFormat="1" applyBorder="1"/>
    <xf numFmtId="1" fontId="0" fillId="0" borderId="20" xfId="57" applyNumberFormat="1" applyFont="1" applyBorder="1" applyAlignment="1">
      <alignment horizontal="center"/>
    </xf>
    <xf numFmtId="167" fontId="0" fillId="0" borderId="18" xfId="57" applyNumberFormat="1" applyFont="1" applyBorder="1"/>
    <xf numFmtId="0" fontId="0" fillId="0" borderId="20" xfId="184" applyFont="1" applyBorder="1" applyAlignment="1">
      <alignment horizontal="center"/>
    </xf>
    <xf numFmtId="1" fontId="6" fillId="0" borderId="8" xfId="0" applyNumberFormat="1" applyFont="1" applyBorder="1" applyAlignment="1">
      <alignment horizontal="left" vertical="center" wrapText="1"/>
    </xf>
    <xf numFmtId="167" fontId="6" fillId="0" borderId="8" xfId="21" applyNumberFormat="1" applyFont="1" applyFill="1" applyBorder="1" applyAlignment="1">
      <alignment horizontal="left" vertical="center" wrapText="1"/>
    </xf>
    <xf numFmtId="43" fontId="6" fillId="0" borderId="11" xfId="21" applyFont="1" applyFill="1" applyBorder="1" applyAlignment="1">
      <alignment horizontal="left" vertical="center" wrapText="1"/>
    </xf>
    <xf numFmtId="171" fontId="6" fillId="0" borderId="12" xfId="21" applyNumberFormat="1" applyFont="1" applyFill="1" applyBorder="1" applyAlignment="1">
      <alignment horizontal="left" vertical="center" wrapText="1"/>
    </xf>
    <xf numFmtId="167" fontId="6" fillId="15" borderId="9" xfId="21" applyNumberFormat="1" applyFont="1" applyFill="1" applyBorder="1" applyAlignment="1">
      <alignment horizontal="left" vertical="center" wrapText="1"/>
    </xf>
    <xf numFmtId="167" fontId="6" fillId="0" borderId="38" xfId="21" applyNumberFormat="1" applyFont="1" applyFill="1" applyBorder="1" applyAlignment="1">
      <alignment horizontal="center" vertical="center" wrapText="1"/>
    </xf>
    <xf numFmtId="167" fontId="6" fillId="0" borderId="9" xfId="21" applyNumberFormat="1" applyFont="1" applyFill="1" applyBorder="1" applyAlignment="1">
      <alignment horizontal="left" vertical="center" wrapText="1"/>
    </xf>
    <xf numFmtId="167" fontId="4" fillId="0" borderId="11" xfId="0" applyNumberFormat="1" applyFont="1" applyBorder="1" applyAlignment="1">
      <alignment vertical="center" wrapText="1"/>
    </xf>
    <xf numFmtId="167" fontId="4" fillId="0" borderId="22" xfId="0" applyNumberFormat="1" applyFont="1" applyBorder="1" applyAlignment="1">
      <alignment vertical="center" wrapText="1"/>
    </xf>
    <xf numFmtId="167" fontId="6" fillId="0" borderId="17" xfId="0" applyNumberFormat="1" applyFont="1" applyBorder="1" applyAlignment="1">
      <alignment vertical="center" wrapText="1"/>
    </xf>
    <xf numFmtId="167" fontId="4" fillId="0" borderId="12" xfId="0" applyNumberFormat="1" applyFont="1" applyBorder="1" applyAlignment="1">
      <alignment vertical="center" wrapText="1"/>
    </xf>
    <xf numFmtId="167" fontId="4" fillId="0" borderId="24" xfId="0" applyNumberFormat="1" applyFont="1" applyBorder="1" applyAlignment="1">
      <alignment vertical="center" wrapText="1"/>
    </xf>
    <xf numFmtId="0" fontId="0" fillId="0" borderId="8" xfId="190" applyFont="1" applyBorder="1"/>
    <xf numFmtId="0" fontId="6" fillId="0" borderId="8" xfId="190" applyFont="1" applyBorder="1"/>
    <xf numFmtId="0" fontId="0" fillId="0" borderId="8" xfId="190" applyFont="1" applyBorder="1" applyAlignment="1">
      <alignment horizontal="center"/>
    </xf>
    <xf numFmtId="0" fontId="14" fillId="0" borderId="8" xfId="190" applyBorder="1" applyAlignment="1">
      <alignment horizontal="center"/>
    </xf>
    <xf numFmtId="167" fontId="6" fillId="0" borderId="8" xfId="190" applyNumberFormat="1" applyFont="1" applyBorder="1"/>
    <xf numFmtId="43" fontId="6" fillId="0" borderId="8" xfId="21" applyFont="1" applyBorder="1"/>
    <xf numFmtId="165" fontId="4" fillId="0" borderId="0" xfId="184" applyNumberFormat="1"/>
    <xf numFmtId="191" fontId="4" fillId="0" borderId="8" xfId="21" applyNumberFormat="1" applyFont="1" applyFill="1" applyBorder="1" applyAlignment="1">
      <alignment horizontal="center" vertical="center" wrapText="1"/>
    </xf>
    <xf numFmtId="43" fontId="14" fillId="0" borderId="0" xfId="190" applyNumberFormat="1"/>
    <xf numFmtId="167" fontId="6" fillId="0" borderId="8" xfId="21" applyNumberFormat="1" applyFont="1" applyBorder="1" applyAlignment="1">
      <alignment horizontal="center"/>
    </xf>
    <xf numFmtId="43" fontId="4" fillId="0" borderId="0" xfId="184" applyNumberFormat="1"/>
    <xf numFmtId="43" fontId="4" fillId="0" borderId="8" xfId="184" applyNumberFormat="1" applyBorder="1"/>
    <xf numFmtId="3" fontId="5" fillId="16" borderId="8" xfId="0" applyNumberFormat="1" applyFont="1" applyFill="1" applyBorder="1"/>
    <xf numFmtId="43" fontId="4" fillId="7" borderId="9" xfId="21" applyFill="1" applyBorder="1"/>
    <xf numFmtId="3" fontId="5" fillId="13" borderId="8" xfId="0" applyNumberFormat="1" applyFont="1" applyFill="1" applyBorder="1"/>
    <xf numFmtId="167" fontId="4" fillId="0" borderId="8" xfId="0" applyNumberFormat="1" applyFont="1" applyBorder="1" applyAlignment="1">
      <alignment vertical="center" wrapText="1"/>
    </xf>
    <xf numFmtId="167" fontId="0" fillId="0" borderId="8" xfId="21" applyNumberFormat="1" applyFont="1" applyFill="1" applyBorder="1" applyAlignment="1">
      <alignment horizontal="center" vertical="center" wrapText="1"/>
    </xf>
    <xf numFmtId="9" fontId="0" fillId="0" borderId="0" xfId="207" applyFont="1"/>
    <xf numFmtId="167" fontId="4" fillId="7" borderId="9" xfId="184" applyNumberFormat="1" applyFill="1" applyBorder="1"/>
    <xf numFmtId="43" fontId="0" fillId="0" borderId="0" xfId="57" applyFont="1"/>
    <xf numFmtId="0" fontId="4" fillId="0" borderId="19" xfId="187" applyBorder="1"/>
    <xf numFmtId="0" fontId="0" fillId="0" borderId="43" xfId="187" applyFont="1" applyBorder="1" applyAlignment="1">
      <alignment horizontal="center"/>
    </xf>
    <xf numFmtId="0" fontId="4" fillId="0" borderId="32" xfId="187" applyBorder="1"/>
    <xf numFmtId="0" fontId="4" fillId="0" borderId="20" xfId="187" applyBorder="1"/>
    <xf numFmtId="49" fontId="4" fillId="0" borderId="20" xfId="187" applyNumberFormat="1" applyBorder="1" applyAlignment="1">
      <alignment horizontal="center"/>
    </xf>
    <xf numFmtId="0" fontId="4" fillId="0" borderId="21" xfId="187" applyBorder="1"/>
    <xf numFmtId="0" fontId="4" fillId="0" borderId="11" xfId="187" applyBorder="1"/>
    <xf numFmtId="0" fontId="4" fillId="0" borderId="40" xfId="187" applyBorder="1"/>
    <xf numFmtId="0" fontId="4" fillId="0" borderId="28" xfId="187" applyBorder="1"/>
    <xf numFmtId="0" fontId="4" fillId="0" borderId="8" xfId="187" applyBorder="1"/>
    <xf numFmtId="0" fontId="4" fillId="0" borderId="12" xfId="187" applyBorder="1"/>
    <xf numFmtId="10" fontId="4" fillId="7" borderId="9" xfId="187" applyNumberFormat="1" applyFill="1" applyBorder="1"/>
    <xf numFmtId="0" fontId="0" fillId="0" borderId="28" xfId="187" applyFont="1" applyBorder="1"/>
    <xf numFmtId="0" fontId="4" fillId="0" borderId="9" xfId="187" applyBorder="1"/>
    <xf numFmtId="167" fontId="0" fillId="0" borderId="9" xfId="57" applyNumberFormat="1" applyFont="1" applyBorder="1"/>
    <xf numFmtId="0" fontId="4" fillId="7" borderId="8" xfId="187" applyFill="1" applyBorder="1"/>
    <xf numFmtId="0" fontId="4" fillId="7" borderId="12" xfId="187" applyFill="1" applyBorder="1"/>
    <xf numFmtId="0" fontId="4" fillId="7" borderId="9" xfId="187" applyFill="1" applyBorder="1"/>
    <xf numFmtId="167" fontId="4" fillId="0" borderId="8" xfId="187" applyNumberFormat="1" applyBorder="1"/>
    <xf numFmtId="167" fontId="0" fillId="0" borderId="12" xfId="57" applyNumberFormat="1" applyFont="1" applyBorder="1"/>
    <xf numFmtId="167" fontId="4" fillId="0" borderId="8" xfId="57" applyNumberFormat="1" applyBorder="1"/>
    <xf numFmtId="167" fontId="4" fillId="0" borderId="12" xfId="57" applyNumberFormat="1" applyBorder="1"/>
    <xf numFmtId="167" fontId="4" fillId="7" borderId="9" xfId="57" applyNumberFormat="1" applyFill="1" applyBorder="1"/>
    <xf numFmtId="43" fontId="4" fillId="0" borderId="9" xfId="57" applyBorder="1"/>
    <xf numFmtId="0" fontId="4" fillId="0" borderId="16" xfId="187" applyBorder="1"/>
    <xf numFmtId="43" fontId="4" fillId="0" borderId="47" xfId="57" applyBorder="1"/>
    <xf numFmtId="0" fontId="4" fillId="0" borderId="46" xfId="187" applyBorder="1"/>
    <xf numFmtId="0" fontId="4" fillId="0" borderId="44" xfId="187" applyBorder="1"/>
    <xf numFmtId="0" fontId="4" fillId="0" borderId="17" xfId="187" applyBorder="1"/>
    <xf numFmtId="0" fontId="4" fillId="0" borderId="18" xfId="187" applyBorder="1"/>
    <xf numFmtId="43" fontId="4" fillId="7" borderId="9" xfId="187" applyNumberFormat="1" applyFill="1" applyBorder="1"/>
    <xf numFmtId="43" fontId="4" fillId="0" borderId="4" xfId="0" applyNumberFormat="1" applyFont="1" applyBorder="1" applyAlignment="1">
      <alignment vertical="center" wrapText="1"/>
    </xf>
    <xf numFmtId="0" fontId="52" fillId="0" borderId="0" xfId="0" applyFont="1"/>
    <xf numFmtId="0" fontId="53" fillId="0" borderId="0" xfId="0" applyFont="1"/>
    <xf numFmtId="0" fontId="53" fillId="0" borderId="0" xfId="0" applyFont="1" applyAlignment="1">
      <alignment horizontal="center"/>
    </xf>
    <xf numFmtId="0" fontId="53" fillId="17" borderId="0" xfId="0" applyFont="1" applyFill="1" applyAlignment="1">
      <alignment horizontal="center"/>
    </xf>
    <xf numFmtId="167" fontId="53" fillId="12" borderId="0" xfId="0" applyNumberFormat="1" applyFont="1" applyFill="1"/>
    <xf numFmtId="0" fontId="52" fillId="18" borderId="8" xfId="0" applyFont="1" applyFill="1" applyBorder="1" applyAlignment="1">
      <alignment horizontal="center" vertical="center"/>
    </xf>
    <xf numFmtId="0" fontId="52" fillId="18" borderId="8" xfId="0" applyFont="1" applyFill="1" applyBorder="1" applyAlignment="1">
      <alignment horizontal="center" vertical="center" wrapText="1"/>
    </xf>
    <xf numFmtId="192" fontId="53" fillId="15" borderId="0" xfId="21" applyNumberFormat="1" applyFont="1" applyFill="1" applyBorder="1" applyAlignment="1">
      <alignment vertical="center" wrapText="1"/>
    </xf>
    <xf numFmtId="192" fontId="53" fillId="15" borderId="0" xfId="0" applyNumberFormat="1" applyFont="1" applyFill="1"/>
    <xf numFmtId="43" fontId="53" fillId="15" borderId="0" xfId="21" applyFont="1" applyFill="1"/>
    <xf numFmtId="43" fontId="53" fillId="15" borderId="0" xfId="0" applyNumberFormat="1" applyFont="1" applyFill="1"/>
    <xf numFmtId="0" fontId="53" fillId="15" borderId="0" xfId="0" applyFont="1" applyFill="1"/>
    <xf numFmtId="9" fontId="53" fillId="15" borderId="0" xfId="0" applyNumberFormat="1" applyFont="1" applyFill="1"/>
    <xf numFmtId="167" fontId="53" fillId="0" borderId="0" xfId="21" applyNumberFormat="1" applyFont="1"/>
    <xf numFmtId="167" fontId="53" fillId="0" borderId="8" xfId="21" applyNumberFormat="1" applyFont="1" applyBorder="1" applyAlignment="1">
      <alignment wrapText="1"/>
    </xf>
    <xf numFmtId="167" fontId="53" fillId="0" borderId="0" xfId="0" applyNumberFormat="1" applyFont="1"/>
    <xf numFmtId="0" fontId="53" fillId="0" borderId="0" xfId="0" applyFont="1" applyAlignment="1">
      <alignment wrapText="1"/>
    </xf>
    <xf numFmtId="167" fontId="53" fillId="0" borderId="0" xfId="21" applyNumberFormat="1" applyFont="1" applyBorder="1" applyAlignment="1">
      <alignment wrapText="1"/>
    </xf>
    <xf numFmtId="167" fontId="50" fillId="0" borderId="8" xfId="21" applyNumberFormat="1" applyFont="1" applyFill="1" applyBorder="1" applyAlignment="1">
      <alignment horizontal="right" vertical="center" wrapText="1"/>
    </xf>
    <xf numFmtId="167" fontId="5" fillId="0" borderId="8" xfId="21" applyNumberFormat="1" applyFont="1" applyFill="1" applyBorder="1"/>
    <xf numFmtId="171" fontId="0" fillId="0" borderId="0" xfId="57" applyNumberFormat="1" applyFont="1"/>
    <xf numFmtId="167" fontId="4" fillId="0" borderId="0" xfId="184" applyNumberFormat="1"/>
    <xf numFmtId="167" fontId="50" fillId="14" borderId="8" xfId="21" applyNumberFormat="1" applyFont="1" applyFill="1" applyBorder="1" applyAlignment="1">
      <alignment horizontal="center" vertical="center" wrapText="1"/>
    </xf>
    <xf numFmtId="167" fontId="51" fillId="0" borderId="9" xfId="21" applyNumberFormat="1" applyFont="1" applyBorder="1"/>
    <xf numFmtId="0" fontId="6" fillId="0" borderId="0" xfId="0" applyFont="1"/>
    <xf numFmtId="167" fontId="97" fillId="0" borderId="0" xfId="21" applyNumberFormat="1" applyFont="1"/>
    <xf numFmtId="167" fontId="5" fillId="0" borderId="0" xfId="21" applyNumberFormat="1" applyFont="1"/>
    <xf numFmtId="167" fontId="4" fillId="0" borderId="8" xfId="21" applyNumberFormat="1" applyFont="1" applyBorder="1"/>
    <xf numFmtId="43" fontId="4" fillId="0" borderId="0" xfId="21"/>
    <xf numFmtId="167" fontId="4" fillId="0" borderId="0" xfId="21" applyNumberFormat="1" applyFont="1"/>
    <xf numFmtId="167" fontId="14" fillId="0" borderId="0" xfId="21" applyNumberFormat="1" applyFont="1"/>
    <xf numFmtId="167" fontId="4" fillId="0" borderId="0" xfId="21" applyNumberFormat="1"/>
    <xf numFmtId="0" fontId="5" fillId="13" borderId="8" xfId="0" applyFont="1" applyFill="1" applyBorder="1"/>
    <xf numFmtId="0" fontId="98" fillId="0" borderId="0" xfId="0" applyFont="1" applyAlignment="1">
      <alignment horizontal="center"/>
    </xf>
    <xf numFmtId="168" fontId="7" fillId="0" borderId="0" xfId="0" applyNumberFormat="1" applyFont="1"/>
    <xf numFmtId="171" fontId="7" fillId="0" borderId="0" xfId="21" applyNumberFormat="1" applyFont="1"/>
    <xf numFmtId="0" fontId="6" fillId="8" borderId="33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167" fontId="6" fillId="0" borderId="33" xfId="21" applyNumberFormat="1" applyFont="1" applyFill="1" applyBorder="1" applyAlignment="1">
      <alignment horizontal="center" vertical="center" wrapText="1"/>
    </xf>
    <xf numFmtId="167" fontId="6" fillId="0" borderId="29" xfId="21" applyNumberFormat="1" applyFont="1" applyFill="1" applyBorder="1" applyAlignment="1">
      <alignment horizontal="center" vertical="center" wrapText="1"/>
    </xf>
    <xf numFmtId="167" fontId="6" fillId="0" borderId="9" xfId="21" applyNumberFormat="1" applyFont="1" applyFill="1" applyBorder="1" applyAlignment="1">
      <alignment horizontal="center" vertical="center" wrapText="1"/>
    </xf>
    <xf numFmtId="167" fontId="6" fillId="0" borderId="7" xfId="21" applyNumberFormat="1" applyFont="1" applyFill="1" applyBorder="1" applyAlignment="1">
      <alignment horizontal="center" vertical="center" wrapText="1"/>
    </xf>
    <xf numFmtId="167" fontId="0" fillId="0" borderId="9" xfId="21" applyNumberFormat="1" applyFont="1" applyFill="1" applyBorder="1" applyAlignment="1">
      <alignment horizontal="center" vertical="center" wrapText="1"/>
    </xf>
    <xf numFmtId="167" fontId="4" fillId="0" borderId="9" xfId="21" applyNumberFormat="1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 wrapText="1"/>
    </xf>
    <xf numFmtId="10" fontId="4" fillId="0" borderId="8" xfId="190" applyNumberFormat="1" applyFont="1" applyBorder="1"/>
    <xf numFmtId="43" fontId="52" fillId="15" borderId="0" xfId="21" applyFont="1" applyFill="1"/>
    <xf numFmtId="43" fontId="52" fillId="15" borderId="0" xfId="0" applyNumberFormat="1" applyFont="1" applyFill="1"/>
    <xf numFmtId="0" fontId="52" fillId="15" borderId="0" xfId="0" applyFont="1" applyFill="1"/>
    <xf numFmtId="171" fontId="52" fillId="15" borderId="0" xfId="21" applyNumberFormat="1" applyFont="1" applyFill="1"/>
    <xf numFmtId="167" fontId="99" fillId="0" borderId="8" xfId="21" applyNumberFormat="1" applyFont="1" applyBorder="1" applyAlignment="1">
      <alignment wrapText="1"/>
    </xf>
    <xf numFmtId="167" fontId="52" fillId="0" borderId="8" xfId="21" applyNumberFormat="1" applyFont="1" applyBorder="1" applyAlignment="1">
      <alignment wrapText="1"/>
    </xf>
    <xf numFmtId="167" fontId="53" fillId="15" borderId="0" xfId="21" applyNumberFormat="1" applyFont="1" applyFill="1"/>
    <xf numFmtId="167" fontId="52" fillId="15" borderId="0" xfId="21" applyNumberFormat="1" applyFont="1" applyFill="1"/>
    <xf numFmtId="0" fontId="0" fillId="0" borderId="0" xfId="0" applyAlignment="1">
      <alignment vertical="center"/>
    </xf>
    <xf numFmtId="43" fontId="0" fillId="0" borderId="0" xfId="21" applyFont="1" applyAlignment="1">
      <alignment vertical="center"/>
    </xf>
    <xf numFmtId="0" fontId="0" fillId="0" borderId="37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43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7" fontId="0" fillId="0" borderId="0" xfId="21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71" fontId="0" fillId="0" borderId="38" xfId="0" applyNumberFormat="1" applyBorder="1" applyAlignment="1">
      <alignment vertical="center"/>
    </xf>
    <xf numFmtId="0" fontId="0" fillId="13" borderId="38" xfId="0" applyFill="1" applyBorder="1" applyAlignment="1">
      <alignment vertical="center"/>
    </xf>
    <xf numFmtId="172" fontId="0" fillId="0" borderId="0" xfId="0" applyNumberFormat="1" applyAlignment="1">
      <alignment vertical="center"/>
    </xf>
    <xf numFmtId="0" fontId="6" fillId="15" borderId="38" xfId="0" applyFont="1" applyFill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15" borderId="38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43" fontId="0" fillId="0" borderId="4" xfId="974" applyFont="1" applyFill="1" applyBorder="1"/>
    <xf numFmtId="0" fontId="4" fillId="0" borderId="0" xfId="192"/>
    <xf numFmtId="0" fontId="0" fillId="0" borderId="0" xfId="192" applyFont="1"/>
    <xf numFmtId="0" fontId="0" fillId="0" borderId="0" xfId="192" applyFont="1" applyAlignment="1">
      <alignment wrapText="1"/>
    </xf>
    <xf numFmtId="43" fontId="4" fillId="0" borderId="0" xfId="21" applyFont="1"/>
    <xf numFmtId="43" fontId="6" fillId="13" borderId="0" xfId="21" applyFont="1" applyFill="1"/>
    <xf numFmtId="43" fontId="4" fillId="0" borderId="0" xfId="192" applyNumberFormat="1"/>
    <xf numFmtId="167" fontId="53" fillId="15" borderId="0" xfId="0" applyNumberFormat="1" applyFont="1" applyFill="1"/>
    <xf numFmtId="49" fontId="4" fillId="7" borderId="9" xfId="184" applyNumberFormat="1" applyFill="1" applyBorder="1"/>
    <xf numFmtId="172" fontId="4" fillId="7" borderId="9" xfId="187" applyNumberFormat="1" applyFill="1" applyBorder="1"/>
    <xf numFmtId="49" fontId="4" fillId="7" borderId="9" xfId="187" applyNumberFormat="1" applyFill="1" applyBorder="1"/>
    <xf numFmtId="167" fontId="0" fillId="0" borderId="0" xfId="21" applyNumberFormat="1" applyFont="1"/>
    <xf numFmtId="167" fontId="0" fillId="0" borderId="0" xfId="21" applyNumberFormat="1" applyFont="1" applyFill="1" applyBorder="1"/>
    <xf numFmtId="167" fontId="0" fillId="0" borderId="0" xfId="0" applyNumberFormat="1"/>
    <xf numFmtId="166" fontId="0" fillId="0" borderId="0" xfId="0" applyNumberFormat="1"/>
    <xf numFmtId="14" fontId="0" fillId="0" borderId="0" xfId="0" applyNumberFormat="1"/>
    <xf numFmtId="2" fontId="0" fillId="0" borderId="0" xfId="0" applyNumberFormat="1"/>
    <xf numFmtId="43" fontId="0" fillId="0" borderId="0" xfId="0" applyNumberFormat="1"/>
    <xf numFmtId="0" fontId="0" fillId="0" borderId="52" xfId="0" applyBorder="1"/>
    <xf numFmtId="14" fontId="0" fillId="0" borderId="41" xfId="0" applyNumberFormat="1" applyBorder="1"/>
    <xf numFmtId="0" fontId="0" fillId="0" borderId="41" xfId="0" applyBorder="1"/>
    <xf numFmtId="167" fontId="0" fillId="0" borderId="41" xfId="21" applyNumberFormat="1" applyFont="1" applyBorder="1"/>
    <xf numFmtId="43" fontId="0" fillId="0" borderId="41" xfId="21" applyFont="1" applyBorder="1"/>
    <xf numFmtId="2" fontId="0" fillId="0" borderId="41" xfId="0" applyNumberFormat="1" applyBorder="1"/>
    <xf numFmtId="166" fontId="0" fillId="0" borderId="41" xfId="0" applyNumberFormat="1" applyBorder="1"/>
    <xf numFmtId="0" fontId="0" fillId="0" borderId="3" xfId="0" applyBorder="1"/>
    <xf numFmtId="167" fontId="0" fillId="0" borderId="0" xfId="21" applyNumberFormat="1" applyFont="1" applyBorder="1"/>
    <xf numFmtId="43" fontId="0" fillId="0" borderId="0" xfId="21" applyFont="1" applyBorder="1"/>
    <xf numFmtId="0" fontId="0" fillId="0" borderId="25" xfId="0" applyBorder="1"/>
    <xf numFmtId="14" fontId="0" fillId="0" borderId="26" xfId="0" applyNumberFormat="1" applyBorder="1"/>
    <xf numFmtId="0" fontId="0" fillId="0" borderId="26" xfId="0" applyBorder="1"/>
    <xf numFmtId="167" fontId="0" fillId="0" borderId="26" xfId="21" applyNumberFormat="1" applyFont="1" applyBorder="1"/>
    <xf numFmtId="43" fontId="0" fillId="0" borderId="26" xfId="21" applyFont="1" applyBorder="1"/>
    <xf numFmtId="2" fontId="0" fillId="0" borderId="26" xfId="0" applyNumberFormat="1" applyBorder="1"/>
    <xf numFmtId="166" fontId="0" fillId="0" borderId="26" xfId="0" applyNumberFormat="1" applyBorder="1"/>
    <xf numFmtId="167" fontId="52" fillId="18" borderId="8" xfId="21" applyNumberFormat="1" applyFont="1" applyFill="1" applyBorder="1" applyAlignment="1">
      <alignment horizontal="center" vertical="center"/>
    </xf>
    <xf numFmtId="167" fontId="53" fillId="0" borderId="0" xfId="21" applyNumberFormat="1" applyFont="1" applyAlignment="1">
      <alignment horizontal="center" vertical="center"/>
    </xf>
    <xf numFmtId="167" fontId="53" fillId="15" borderId="0" xfId="21" applyNumberFormat="1" applyFont="1" applyFill="1" applyAlignment="1">
      <alignment horizontal="center"/>
    </xf>
    <xf numFmtId="167" fontId="52" fillId="0" borderId="0" xfId="21" applyNumberFormat="1" applyFont="1"/>
    <xf numFmtId="167" fontId="52" fillId="15" borderId="0" xfId="21" applyNumberFormat="1" applyFont="1" applyFill="1" applyAlignment="1">
      <alignment horizontal="center"/>
    </xf>
    <xf numFmtId="167" fontId="0" fillId="0" borderId="41" xfId="21" applyNumberFormat="1" applyFont="1" applyFill="1" applyBorder="1"/>
    <xf numFmtId="167" fontId="0" fillId="0" borderId="4" xfId="21" applyNumberFormat="1" applyFont="1" applyBorder="1"/>
    <xf numFmtId="43" fontId="53" fillId="0" borderId="0" xfId="0" applyNumberFormat="1" applyFont="1"/>
    <xf numFmtId="167" fontId="50" fillId="0" borderId="9" xfId="21" applyNumberFormat="1" applyFont="1" applyFill="1" applyBorder="1" applyAlignment="1">
      <alignment horizontal="right" vertical="center" wrapText="1"/>
    </xf>
    <xf numFmtId="167" fontId="4" fillId="0" borderId="22" xfId="21" applyNumberFormat="1" applyFont="1" applyFill="1" applyBorder="1" applyAlignment="1">
      <alignment vertical="center" wrapText="1"/>
    </xf>
    <xf numFmtId="167" fontId="4" fillId="0" borderId="24" xfId="21" applyNumberFormat="1" applyFont="1" applyFill="1" applyBorder="1" applyAlignment="1">
      <alignment vertical="center" wrapText="1"/>
    </xf>
    <xf numFmtId="167" fontId="0" fillId="0" borderId="0" xfId="21" applyNumberFormat="1" applyFont="1" applyFill="1" applyAlignment="1">
      <alignment vertical="center"/>
    </xf>
    <xf numFmtId="9" fontId="0" fillId="0" borderId="0" xfId="207" applyFon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190" applyFont="1"/>
    <xf numFmtId="43" fontId="50" fillId="0" borderId="0" xfId="21" applyFont="1" applyAlignment="1">
      <alignment vertical="center"/>
    </xf>
    <xf numFmtId="167" fontId="4" fillId="7" borderId="9" xfId="187" applyNumberFormat="1" applyFill="1" applyBorder="1"/>
    <xf numFmtId="165" fontId="0" fillId="0" borderId="0" xfId="0" applyNumberFormat="1"/>
    <xf numFmtId="0" fontId="80" fillId="0" borderId="0" xfId="0" applyFont="1" applyAlignment="1">
      <alignment horizontal="center" vertical="center" wrapText="1"/>
    </xf>
    <xf numFmtId="167" fontId="53" fillId="0" borderId="0" xfId="21" applyNumberFormat="1" applyFont="1" applyFill="1" applyBorder="1"/>
    <xf numFmtId="43" fontId="53" fillId="0" borderId="0" xfId="21" applyFont="1" applyFill="1" applyBorder="1"/>
    <xf numFmtId="167" fontId="6" fillId="0" borderId="0" xfId="21" applyNumberFormat="1" applyFont="1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8" xfId="0" applyBorder="1"/>
    <xf numFmtId="14" fontId="6" fillId="0" borderId="0" xfId="0" applyNumberFormat="1" applyFont="1"/>
    <xf numFmtId="0" fontId="100" fillId="0" borderId="41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16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3" fontId="4" fillId="0" borderId="8" xfId="0" applyNumberFormat="1" applyFont="1" applyBorder="1" applyAlignment="1">
      <alignment horizontal="center" vertical="center" wrapText="1"/>
    </xf>
    <xf numFmtId="167" fontId="4" fillId="0" borderId="0" xfId="0" applyNumberFormat="1" applyFont="1" applyAlignment="1">
      <alignment vertical="center" wrapText="1"/>
    </xf>
    <xf numFmtId="170" fontId="4" fillId="0" borderId="0" xfId="0" applyNumberFormat="1" applyFont="1" applyAlignment="1">
      <alignment vertical="center" wrapText="1"/>
    </xf>
    <xf numFmtId="0" fontId="6" fillId="0" borderId="23" xfId="0" applyFont="1" applyBorder="1" applyAlignment="1">
      <alignment horizontal="center" vertical="center" wrapText="1"/>
    </xf>
    <xf numFmtId="167" fontId="4" fillId="0" borderId="8" xfId="0" applyNumberFormat="1" applyFont="1" applyBorder="1" applyAlignment="1">
      <alignment horizontal="center" vertical="center" wrapText="1"/>
    </xf>
    <xf numFmtId="173" fontId="4" fillId="0" borderId="8" xfId="0" applyNumberFormat="1" applyFont="1" applyBorder="1" applyAlignment="1">
      <alignment horizontal="center" vertical="center" wrapText="1"/>
    </xf>
    <xf numFmtId="167" fontId="6" fillId="0" borderId="0" xfId="0" applyNumberFormat="1" applyFont="1" applyAlignment="1">
      <alignment vertical="center" wrapText="1"/>
    </xf>
    <xf numFmtId="173" fontId="4" fillId="0" borderId="0" xfId="0" applyNumberFormat="1" applyFont="1" applyAlignment="1">
      <alignment vertical="center" wrapText="1"/>
    </xf>
    <xf numFmtId="165" fontId="53" fillId="0" borderId="0" xfId="0" applyNumberFormat="1" applyFont="1"/>
    <xf numFmtId="0" fontId="6" fillId="0" borderId="8" xfId="0" applyFont="1" applyBorder="1"/>
    <xf numFmtId="14" fontId="0" fillId="0" borderId="8" xfId="0" applyNumberFormat="1" applyBorder="1"/>
    <xf numFmtId="43" fontId="4" fillId="7" borderId="8" xfId="21" applyFill="1" applyBorder="1"/>
    <xf numFmtId="43" fontId="101" fillId="0" borderId="12" xfId="0" applyNumberFormat="1" applyFont="1" applyBorder="1" applyAlignment="1">
      <alignment horizontal="center" vertical="center"/>
    </xf>
    <xf numFmtId="2" fontId="4" fillId="0" borderId="0" xfId="192" applyNumberFormat="1"/>
    <xf numFmtId="43" fontId="0" fillId="0" borderId="4" xfId="0" applyNumberFormat="1" applyBorder="1"/>
    <xf numFmtId="0" fontId="0" fillId="0" borderId="31" xfId="0" applyBorder="1"/>
    <xf numFmtId="167" fontId="0" fillId="0" borderId="31" xfId="21" applyNumberFormat="1" applyFont="1" applyBorder="1"/>
    <xf numFmtId="0" fontId="0" fillId="0" borderId="20" xfId="0" applyBorder="1"/>
    <xf numFmtId="167" fontId="4" fillId="14" borderId="8" xfId="181" applyNumberFormat="1" applyFill="1" applyBorder="1"/>
    <xf numFmtId="167" fontId="4" fillId="14" borderId="12" xfId="181" applyNumberFormat="1" applyFill="1" applyBorder="1"/>
    <xf numFmtId="10" fontId="0" fillId="0" borderId="8" xfId="0" applyNumberFormat="1" applyBorder="1"/>
    <xf numFmtId="0" fontId="0" fillId="0" borderId="32" xfId="0" applyBorder="1"/>
    <xf numFmtId="0" fontId="0" fillId="0" borderId="28" xfId="0" applyBorder="1"/>
    <xf numFmtId="3" fontId="0" fillId="0" borderId="76" xfId="0" applyNumberFormat="1" applyBorder="1"/>
    <xf numFmtId="3" fontId="0" fillId="0" borderId="8" xfId="0" applyNumberFormat="1" applyBorder="1"/>
    <xf numFmtId="14" fontId="0" fillId="49" borderId="8" xfId="0" applyNumberFormat="1" applyFill="1" applyBorder="1"/>
    <xf numFmtId="0" fontId="0" fillId="49" borderId="8" xfId="0" applyFill="1" applyBorder="1"/>
    <xf numFmtId="0" fontId="0" fillId="49" borderId="44" xfId="0" applyFill="1" applyBorder="1"/>
    <xf numFmtId="0" fontId="100" fillId="49" borderId="23" xfId="0" applyFont="1" applyFill="1" applyBorder="1" applyAlignment="1">
      <alignment horizontal="center" vertical="center"/>
    </xf>
    <xf numFmtId="0" fontId="100" fillId="49" borderId="23" xfId="0" applyFont="1" applyFill="1" applyBorder="1" applyAlignment="1">
      <alignment horizontal="center" vertical="center" wrapText="1"/>
    </xf>
    <xf numFmtId="0" fontId="100" fillId="49" borderId="34" xfId="0" applyFont="1" applyFill="1" applyBorder="1" applyAlignment="1">
      <alignment horizontal="center" vertical="center" wrapText="1"/>
    </xf>
    <xf numFmtId="167" fontId="100" fillId="49" borderId="17" xfId="21" applyNumberFormat="1" applyFont="1" applyFill="1" applyBorder="1" applyAlignment="1">
      <alignment horizontal="center" vertical="center" wrapText="1"/>
    </xf>
    <xf numFmtId="167" fontId="100" fillId="49" borderId="44" xfId="21" applyNumberFormat="1" applyFont="1" applyFill="1" applyBorder="1" applyAlignment="1">
      <alignment horizontal="center" vertical="center" wrapText="1"/>
    </xf>
    <xf numFmtId="0" fontId="52" fillId="49" borderId="8" xfId="0" applyFont="1" applyFill="1" applyBorder="1" applyAlignment="1">
      <alignment horizontal="center" vertical="center" wrapText="1"/>
    </xf>
    <xf numFmtId="167" fontId="0" fillId="14" borderId="8" xfId="21" applyNumberFormat="1" applyFont="1" applyFill="1" applyBorder="1"/>
    <xf numFmtId="167" fontId="4" fillId="14" borderId="9" xfId="21" applyNumberFormat="1" applyFill="1" applyBorder="1"/>
    <xf numFmtId="0" fontId="4" fillId="14" borderId="40" xfId="184" applyFill="1" applyBorder="1"/>
    <xf numFmtId="0" fontId="4" fillId="14" borderId="28" xfId="184" applyFill="1" applyBorder="1"/>
    <xf numFmtId="0" fontId="4" fillId="14" borderId="8" xfId="184" applyFill="1" applyBorder="1"/>
    <xf numFmtId="0" fontId="4" fillId="14" borderId="16" xfId="184" applyFill="1" applyBorder="1"/>
    <xf numFmtId="2" fontId="4" fillId="14" borderId="47" xfId="184" applyNumberFormat="1" applyFill="1" applyBorder="1"/>
    <xf numFmtId="0" fontId="4" fillId="14" borderId="46" xfId="184" applyFill="1" applyBorder="1"/>
    <xf numFmtId="0" fontId="4" fillId="14" borderId="44" xfId="184" applyFill="1" applyBorder="1"/>
    <xf numFmtId="174" fontId="0" fillId="14" borderId="17" xfId="57" applyNumberFormat="1" applyFont="1" applyFill="1" applyBorder="1"/>
    <xf numFmtId="167" fontId="0" fillId="14" borderId="17" xfId="57" applyNumberFormat="1" applyFont="1" applyFill="1" applyBorder="1"/>
    <xf numFmtId="0" fontId="4" fillId="14" borderId="17" xfId="184" applyFill="1" applyBorder="1"/>
    <xf numFmtId="0" fontId="4" fillId="14" borderId="0" xfId="184" applyFill="1"/>
    <xf numFmtId="0" fontId="14" fillId="50" borderId="8" xfId="190" applyFill="1" applyBorder="1"/>
    <xf numFmtId="0" fontId="6" fillId="50" borderId="8" xfId="190" applyFont="1" applyFill="1" applyBorder="1"/>
    <xf numFmtId="0" fontId="6" fillId="50" borderId="8" xfId="190" applyFont="1" applyFill="1" applyBorder="1" applyAlignment="1">
      <alignment horizontal="center"/>
    </xf>
    <xf numFmtId="0" fontId="0" fillId="0" borderId="0" xfId="0" quotePrefix="1"/>
    <xf numFmtId="3" fontId="7" fillId="0" borderId="0" xfId="0" applyNumberFormat="1" applyFont="1"/>
    <xf numFmtId="168" fontId="7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vertical="center"/>
    </xf>
    <xf numFmtId="168" fontId="5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7" fontId="5" fillId="0" borderId="0" xfId="21" applyNumberFormat="1" applyFont="1" applyBorder="1" applyAlignment="1">
      <alignment horizontal="left"/>
    </xf>
    <xf numFmtId="43" fontId="5" fillId="0" borderId="0" xfId="21" applyFont="1" applyFill="1" applyBorder="1" applyAlignment="1"/>
    <xf numFmtId="167" fontId="5" fillId="0" borderId="0" xfId="21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0" fontId="7" fillId="0" borderId="0" xfId="0" applyFont="1"/>
    <xf numFmtId="167" fontId="4" fillId="0" borderId="0" xfId="21" applyNumberFormat="1" applyFont="1" applyFill="1" applyBorder="1" applyAlignment="1" applyProtection="1">
      <alignment horizontal="right" vertical="center"/>
      <protection locked="0"/>
    </xf>
    <xf numFmtId="167" fontId="7" fillId="0" borderId="0" xfId="21" applyNumberFormat="1" applyFont="1" applyFill="1" applyBorder="1" applyAlignment="1"/>
    <xf numFmtId="167" fontId="7" fillId="0" borderId="0" xfId="0" applyNumberFormat="1" applyFont="1"/>
    <xf numFmtId="167" fontId="10" fillId="14" borderId="0" xfId="21" applyNumberFormat="1" applyFont="1" applyFill="1" applyBorder="1" applyAlignment="1">
      <alignment horizontal="right"/>
    </xf>
    <xf numFmtId="171" fontId="5" fillId="0" borderId="0" xfId="0" applyNumberFormat="1" applyFont="1"/>
    <xf numFmtId="4" fontId="7" fillId="0" borderId="0" xfId="0" applyNumberFormat="1" applyFont="1" applyAlignment="1">
      <alignment horizontal="center"/>
    </xf>
    <xf numFmtId="171" fontId="5" fillId="0" borderId="0" xfId="21" applyNumberFormat="1" applyFont="1" applyBorder="1"/>
    <xf numFmtId="3" fontId="5" fillId="0" borderId="0" xfId="0" applyNumberFormat="1" applyFont="1" applyAlignment="1">
      <alignment horizontal="left" vertical="top" wrapText="1"/>
    </xf>
    <xf numFmtId="167" fontId="5" fillId="0" borderId="0" xfId="21" applyNumberFormat="1" applyFont="1" applyBorder="1"/>
    <xf numFmtId="167" fontId="5" fillId="0" borderId="0" xfId="21" applyNumberFormat="1" applyFont="1" applyFill="1" applyBorder="1" applyAlignment="1">
      <alignment horizontal="right"/>
    </xf>
    <xf numFmtId="0" fontId="5" fillId="0" borderId="0" xfId="0" applyFont="1" applyAlignment="1">
      <alignment horizontal="left"/>
    </xf>
    <xf numFmtId="171" fontId="7" fillId="0" borderId="0" xfId="0" applyNumberFormat="1" applyFont="1"/>
    <xf numFmtId="43" fontId="5" fillId="0" borderId="0" xfId="21" applyFont="1" applyFill="1" applyBorder="1"/>
    <xf numFmtId="169" fontId="5" fillId="0" borderId="0" xfId="0" applyNumberFormat="1" applyFont="1"/>
    <xf numFmtId="10" fontId="5" fillId="0" borderId="0" xfId="0" applyNumberFormat="1" applyFont="1"/>
    <xf numFmtId="0" fontId="7" fillId="0" borderId="0" xfId="0" applyFont="1" applyAlignment="1">
      <alignment horizontal="center"/>
    </xf>
    <xf numFmtId="0" fontId="15" fillId="0" borderId="0" xfId="1"/>
    <xf numFmtId="3" fontId="7" fillId="0" borderId="0" xfId="0" applyNumberFormat="1" applyFont="1" applyAlignment="1">
      <alignment horizontal="center"/>
    </xf>
    <xf numFmtId="167" fontId="100" fillId="0" borderId="0" xfId="21" applyNumberFormat="1" applyFont="1" applyFill="1" applyBorder="1" applyAlignment="1">
      <alignment horizontal="center" vertical="center" wrapText="1"/>
    </xf>
    <xf numFmtId="167" fontId="100" fillId="0" borderId="41" xfId="21" applyNumberFormat="1" applyFont="1" applyFill="1" applyBorder="1" applyAlignment="1">
      <alignment horizontal="center" vertical="center" wrapText="1"/>
    </xf>
    <xf numFmtId="167" fontId="0" fillId="0" borderId="4" xfId="0" applyNumberFormat="1" applyBorder="1"/>
    <xf numFmtId="0" fontId="0" fillId="0" borderId="4" xfId="0" applyBorder="1"/>
    <xf numFmtId="0" fontId="0" fillId="0" borderId="27" xfId="0" applyBorder="1"/>
    <xf numFmtId="167" fontId="0" fillId="0" borderId="53" xfId="0" applyNumberFormat="1" applyBorder="1"/>
    <xf numFmtId="43" fontId="0" fillId="0" borderId="53" xfId="0" applyNumberFormat="1" applyBorder="1"/>
    <xf numFmtId="0" fontId="100" fillId="49" borderId="77" xfId="0" applyFont="1" applyFill="1" applyBorder="1" applyAlignment="1">
      <alignment horizontal="center" vertical="center" wrapText="1"/>
    </xf>
    <xf numFmtId="0" fontId="0" fillId="0" borderId="2" xfId="0" applyBorder="1"/>
    <xf numFmtId="37" fontId="4" fillId="0" borderId="8" xfId="0" applyNumberFormat="1" applyFont="1" applyBorder="1" applyAlignment="1">
      <alignment vertical="center" wrapText="1"/>
    </xf>
    <xf numFmtId="1" fontId="14" fillId="0" borderId="8" xfId="190" applyNumberFormat="1" applyBorder="1"/>
    <xf numFmtId="2" fontId="7" fillId="0" borderId="8" xfId="21" applyNumberFormat="1" applyFont="1" applyBorder="1"/>
    <xf numFmtId="2" fontId="7" fillId="0" borderId="8" xfId="0" applyNumberFormat="1" applyFont="1" applyBorder="1"/>
    <xf numFmtId="3" fontId="7" fillId="0" borderId="17" xfId="0" applyNumberFormat="1" applyFont="1" applyBorder="1" applyAlignment="1">
      <alignment horizontal="right"/>
    </xf>
    <xf numFmtId="3" fontId="7" fillId="0" borderId="41" xfId="0" applyNumberFormat="1" applyFont="1" applyBorder="1"/>
    <xf numFmtId="3" fontId="7" fillId="0" borderId="18" xfId="0" applyNumberFormat="1" applyFont="1" applyBorder="1" applyAlignment="1">
      <alignment horizontal="right"/>
    </xf>
    <xf numFmtId="0" fontId="5" fillId="13" borderId="0" xfId="0" applyFont="1" applyFill="1"/>
    <xf numFmtId="3" fontId="5" fillId="13" borderId="9" xfId="0" applyNumberFormat="1" applyFont="1" applyFill="1" applyBorder="1"/>
    <xf numFmtId="3" fontId="5" fillId="13" borderId="35" xfId="0" applyNumberFormat="1" applyFont="1" applyFill="1" applyBorder="1"/>
    <xf numFmtId="3" fontId="7" fillId="13" borderId="12" xfId="0" applyNumberFormat="1" applyFont="1" applyFill="1" applyBorder="1"/>
    <xf numFmtId="43" fontId="4" fillId="7" borderId="29" xfId="21" applyFill="1" applyBorder="1"/>
    <xf numFmtId="167" fontId="0" fillId="0" borderId="29" xfId="21" applyNumberFormat="1" applyFont="1" applyBorder="1"/>
    <xf numFmtId="0" fontId="4" fillId="7" borderId="29" xfId="184" applyFill="1" applyBorder="1"/>
    <xf numFmtId="167" fontId="4" fillId="0" borderId="29" xfId="21" applyNumberFormat="1" applyBorder="1"/>
    <xf numFmtId="0" fontId="4" fillId="14" borderId="78" xfId="184" applyFill="1" applyBorder="1"/>
    <xf numFmtId="0" fontId="4" fillId="0" borderId="79" xfId="184" applyBorder="1"/>
    <xf numFmtId="0" fontId="4" fillId="0" borderId="27" xfId="184" applyBorder="1"/>
    <xf numFmtId="0" fontId="4" fillId="0" borderId="29" xfId="184" applyBorder="1"/>
    <xf numFmtId="0" fontId="4" fillId="0" borderId="4" xfId="184" applyBorder="1"/>
    <xf numFmtId="0" fontId="4" fillId="0" borderId="14" xfId="184" applyBorder="1"/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8" borderId="33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6" fillId="8" borderId="56" xfId="0" applyFont="1" applyFill="1" applyBorder="1" applyAlignment="1">
      <alignment horizontal="center" vertical="center" wrapText="1"/>
    </xf>
    <xf numFmtId="0" fontId="6" fillId="8" borderId="57" xfId="0" applyFont="1" applyFill="1" applyBorder="1" applyAlignment="1">
      <alignment horizontal="center" vertical="center" wrapText="1"/>
    </xf>
    <xf numFmtId="0" fontId="6" fillId="8" borderId="58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175" fontId="0" fillId="0" borderId="9" xfId="21" applyNumberFormat="1" applyFont="1" applyFill="1" applyBorder="1" applyAlignment="1">
      <alignment horizontal="center" vertical="center" wrapText="1"/>
    </xf>
    <xf numFmtId="175" fontId="0" fillId="0" borderId="7" xfId="21" applyNumberFormat="1" applyFont="1" applyFill="1" applyBorder="1" applyAlignment="1">
      <alignment horizontal="center" vertical="center" wrapText="1"/>
    </xf>
    <xf numFmtId="9" fontId="4" fillId="0" borderId="9" xfId="207" applyFont="1" applyFill="1" applyBorder="1" applyAlignment="1">
      <alignment horizontal="center" vertical="center" wrapText="1"/>
    </xf>
    <xf numFmtId="9" fontId="4" fillId="0" borderId="7" xfId="207" applyFont="1" applyFill="1" applyBorder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4" fontId="0" fillId="0" borderId="33" xfId="21" applyNumberFormat="1" applyFont="1" applyFill="1" applyBorder="1" applyAlignment="1">
      <alignment horizontal="center" vertical="center" wrapText="1"/>
    </xf>
    <xf numFmtId="14" fontId="0" fillId="0" borderId="29" xfId="21" applyNumberFormat="1" applyFont="1" applyFill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167" fontId="4" fillId="0" borderId="9" xfId="21" applyNumberFormat="1" applyFont="1" applyFill="1" applyBorder="1" applyAlignment="1">
      <alignment horizontal="center" vertical="center" wrapText="1"/>
    </xf>
    <xf numFmtId="167" fontId="4" fillId="0" borderId="7" xfId="21" applyNumberFormat="1" applyFont="1" applyFill="1" applyBorder="1" applyAlignment="1">
      <alignment horizontal="center" vertical="center" wrapText="1"/>
    </xf>
    <xf numFmtId="167" fontId="4" fillId="0" borderId="33" xfId="21" applyNumberFormat="1" applyFont="1" applyFill="1" applyBorder="1" applyAlignment="1">
      <alignment horizontal="center" vertical="center" wrapText="1"/>
    </xf>
    <xf numFmtId="167" fontId="4" fillId="0" borderId="29" xfId="21" applyNumberFormat="1" applyFont="1" applyFill="1" applyBorder="1" applyAlignment="1">
      <alignment horizontal="center" vertical="center" wrapText="1"/>
    </xf>
    <xf numFmtId="9" fontId="0" fillId="0" borderId="33" xfId="207" applyFont="1" applyFill="1" applyBorder="1" applyAlignment="1">
      <alignment horizontal="center" vertical="center" wrapText="1"/>
    </xf>
    <xf numFmtId="9" fontId="0" fillId="0" borderId="29" xfId="207" applyFont="1" applyFill="1" applyBorder="1" applyAlignment="1">
      <alignment horizontal="center" vertical="center" wrapText="1"/>
    </xf>
    <xf numFmtId="167" fontId="0" fillId="0" borderId="9" xfId="21" applyNumberFormat="1" applyFont="1" applyFill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5" fillId="0" borderId="44" xfId="0" applyFont="1" applyBorder="1" applyAlignment="1">
      <alignment horizontal="center" vertical="center" wrapText="1"/>
    </xf>
    <xf numFmtId="0" fontId="45" fillId="0" borderId="18" xfId="0" applyFont="1" applyBorder="1" applyAlignment="1">
      <alignment horizontal="center" vertical="center" wrapText="1"/>
    </xf>
    <xf numFmtId="167" fontId="6" fillId="0" borderId="33" xfId="21" applyNumberFormat="1" applyFont="1" applyFill="1" applyBorder="1" applyAlignment="1">
      <alignment horizontal="center" vertical="center" wrapText="1"/>
    </xf>
    <xf numFmtId="167" fontId="6" fillId="0" borderId="29" xfId="21" applyNumberFormat="1" applyFont="1" applyFill="1" applyBorder="1" applyAlignment="1">
      <alignment horizontal="center" vertical="center" wrapText="1"/>
    </xf>
    <xf numFmtId="167" fontId="6" fillId="0" borderId="33" xfId="0" applyNumberFormat="1" applyFont="1" applyBorder="1" applyAlignment="1">
      <alignment horizontal="center" vertical="center" wrapText="1"/>
    </xf>
    <xf numFmtId="167" fontId="6" fillId="0" borderId="29" xfId="0" applyNumberFormat="1" applyFont="1" applyBorder="1" applyAlignment="1">
      <alignment horizontal="center" vertical="center" wrapText="1"/>
    </xf>
    <xf numFmtId="167" fontId="6" fillId="0" borderId="9" xfId="21" applyNumberFormat="1" applyFont="1" applyFill="1" applyBorder="1" applyAlignment="1">
      <alignment horizontal="center" vertical="center" wrapText="1"/>
    </xf>
    <xf numFmtId="167" fontId="6" fillId="0" borderId="7" xfId="21" applyNumberFormat="1" applyFont="1" applyFill="1" applyBorder="1" applyAlignment="1">
      <alignment horizontal="center" vertical="center" wrapText="1"/>
    </xf>
    <xf numFmtId="167" fontId="0" fillId="0" borderId="29" xfId="21" applyNumberFormat="1" applyFont="1" applyFill="1" applyBorder="1" applyAlignment="1">
      <alignment horizontal="center" vertical="center" wrapText="1"/>
    </xf>
    <xf numFmtId="0" fontId="45" fillId="0" borderId="47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8" borderId="54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50" xfId="0" applyFont="1" applyFill="1" applyBorder="1" applyAlignment="1">
      <alignment horizontal="center" vertical="center" wrapText="1"/>
    </xf>
    <xf numFmtId="43" fontId="6" fillId="15" borderId="9" xfId="0" applyNumberFormat="1" applyFont="1" applyFill="1" applyBorder="1" applyAlignment="1">
      <alignment horizontal="left" vertical="center" wrapText="1"/>
    </xf>
    <xf numFmtId="43" fontId="6" fillId="15" borderId="28" xfId="0" applyNumberFormat="1" applyFont="1" applyFill="1" applyBorder="1" applyAlignment="1">
      <alignment horizontal="left" vertical="center" wrapText="1"/>
    </xf>
    <xf numFmtId="43" fontId="6" fillId="0" borderId="9" xfId="0" applyNumberFormat="1" applyFont="1" applyBorder="1" applyAlignment="1">
      <alignment horizontal="center" vertical="center" wrapText="1"/>
    </xf>
    <xf numFmtId="43" fontId="6" fillId="0" borderId="28" xfId="0" applyNumberFormat="1" applyFont="1" applyBorder="1" applyAlignment="1">
      <alignment horizontal="center" vertical="center" wrapText="1"/>
    </xf>
    <xf numFmtId="43" fontId="0" fillId="0" borderId="9" xfId="0" applyNumberFormat="1" applyBorder="1" applyAlignment="1">
      <alignment horizontal="left" vertical="center" wrapText="1"/>
    </xf>
    <xf numFmtId="43" fontId="4" fillId="0" borderId="28" xfId="0" applyNumberFormat="1" applyFont="1" applyBorder="1" applyAlignment="1">
      <alignment horizontal="left" vertical="center" wrapText="1"/>
    </xf>
    <xf numFmtId="0" fontId="6" fillId="8" borderId="30" xfId="0" applyFont="1" applyFill="1" applyBorder="1" applyAlignment="1">
      <alignment horizontal="center" vertical="center" wrapText="1"/>
    </xf>
    <xf numFmtId="0" fontId="6" fillId="8" borderId="31" xfId="0" applyFont="1" applyFill="1" applyBorder="1" applyAlignment="1">
      <alignment horizontal="center" vertical="center" wrapText="1"/>
    </xf>
    <xf numFmtId="0" fontId="6" fillId="8" borderId="32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35" xfId="0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3" fontId="7" fillId="0" borderId="48" xfId="0" applyNumberFormat="1" applyFont="1" applyBorder="1" applyAlignment="1">
      <alignment horizontal="center"/>
    </xf>
    <xf numFmtId="3" fontId="7" fillId="0" borderId="49" xfId="0" applyNumberFormat="1" applyFont="1" applyBorder="1" applyAlignment="1">
      <alignment horizontal="center"/>
    </xf>
    <xf numFmtId="3" fontId="7" fillId="0" borderId="51" xfId="0" applyNumberFormat="1" applyFont="1" applyBorder="1" applyAlignment="1">
      <alignment horizontal="center"/>
    </xf>
    <xf numFmtId="0" fontId="6" fillId="0" borderId="5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4" xfId="0" applyFont="1" applyBorder="1" applyAlignment="1">
      <alignment horizontal="center"/>
    </xf>
    <xf numFmtId="167" fontId="6" fillId="0" borderId="25" xfId="21" applyNumberFormat="1" applyFont="1" applyFill="1" applyBorder="1" applyAlignment="1">
      <alignment horizontal="center" vertical="center" wrapText="1"/>
    </xf>
    <xf numFmtId="167" fontId="6" fillId="0" borderId="26" xfId="21" applyNumberFormat="1" applyFont="1" applyFill="1" applyBorder="1" applyAlignment="1">
      <alignment horizontal="center" vertical="center" wrapText="1"/>
    </xf>
    <xf numFmtId="167" fontId="6" fillId="0" borderId="0" xfId="21" applyNumberFormat="1" applyFont="1" applyFill="1" applyBorder="1" applyAlignment="1">
      <alignment horizontal="center" vertical="center" wrapText="1"/>
    </xf>
    <xf numFmtId="167" fontId="6" fillId="0" borderId="4" xfId="21" applyNumberFormat="1" applyFont="1" applyFill="1" applyBorder="1" applyAlignment="1">
      <alignment horizontal="center" vertical="center" wrapText="1"/>
    </xf>
    <xf numFmtId="167" fontId="6" fillId="0" borderId="54" xfId="21" applyNumberFormat="1" applyFont="1" applyFill="1" applyBorder="1" applyAlignment="1">
      <alignment horizontal="center" vertical="center" wrapText="1"/>
    </xf>
    <xf numFmtId="167" fontId="6" fillId="0" borderId="6" xfId="21" applyNumberFormat="1" applyFont="1" applyFill="1" applyBorder="1" applyAlignment="1">
      <alignment horizontal="center" vertical="center" wrapText="1"/>
    </xf>
    <xf numFmtId="167" fontId="6" fillId="0" borderId="55" xfId="21" applyNumberFormat="1" applyFont="1" applyFill="1" applyBorder="1" applyAlignment="1">
      <alignment horizontal="center" vertical="center" wrapText="1"/>
    </xf>
    <xf numFmtId="167" fontId="6" fillId="0" borderId="50" xfId="21" applyNumberFormat="1" applyFont="1" applyFill="1" applyBorder="1" applyAlignment="1">
      <alignment horizontal="center" vertical="center" wrapText="1"/>
    </xf>
    <xf numFmtId="192" fontId="52" fillId="15" borderId="0" xfId="0" applyNumberFormat="1" applyFont="1" applyFill="1" applyAlignment="1">
      <alignment horizontal="center"/>
    </xf>
    <xf numFmtId="0" fontId="13" fillId="0" borderId="54" xfId="184" applyFont="1" applyBorder="1" applyAlignment="1">
      <alignment horizontal="center"/>
    </xf>
    <xf numFmtId="0" fontId="13" fillId="0" borderId="6" xfId="184" applyFont="1" applyBorder="1" applyAlignment="1">
      <alignment horizontal="center"/>
    </xf>
    <xf numFmtId="0" fontId="13" fillId="0" borderId="50" xfId="184" applyFont="1" applyBorder="1" applyAlignment="1">
      <alignment horizontal="center"/>
    </xf>
    <xf numFmtId="0" fontId="13" fillId="0" borderId="48" xfId="184" applyFont="1" applyBorder="1" applyAlignment="1">
      <alignment horizontal="center"/>
    </xf>
    <xf numFmtId="0" fontId="13" fillId="0" borderId="49" xfId="184" applyFont="1" applyBorder="1" applyAlignment="1">
      <alignment horizontal="center"/>
    </xf>
    <xf numFmtId="0" fontId="13" fillId="0" borderId="51" xfId="184" applyFont="1" applyBorder="1" applyAlignment="1">
      <alignment horizontal="center"/>
    </xf>
  </cellXfs>
  <cellStyles count="1012">
    <cellStyle name="??" xfId="303" xr:uid="{91225FB4-C7AB-4245-B40E-51FA489A4ADF}"/>
    <cellStyle name="?? [0.00]_laroux" xfId="304" xr:uid="{E58AAB51-566C-41E5-9A36-D2C0E4EEC454}"/>
    <cellStyle name="???? [0.00]_laroux" xfId="305" xr:uid="{B8BF4BC7-604F-4468-9616-3EEFAD8F9251}"/>
    <cellStyle name="????_laroux" xfId="306" xr:uid="{B050D16C-4DAD-4DB3-BD34-7F5BAEEE91E5}"/>
    <cellStyle name="??[0]_770 Detail (2)_770 Sum (2)81" xfId="307" xr:uid="{F7578B1A-FF4F-49DD-89E4-C43F3B4406C3}"/>
    <cellStyle name="??_??" xfId="308" xr:uid="{C39AB19F-5EE3-4155-A0FA-53A7DE387C38}"/>
    <cellStyle name="_BOQ" xfId="309" xr:uid="{2BBEC615-44F5-441F-8B48-BECE1B13AED0}"/>
    <cellStyle name="_BOQ-Fire Alarm" xfId="1" xr:uid="{00000000-0005-0000-0000-000000000000}"/>
    <cellStyle name="_BOQ-FIRE EXTINGUSHERS" xfId="2" xr:uid="{00000000-0005-0000-0000-000001000000}"/>
    <cellStyle name="_ColAggs_" xfId="287" xr:uid="{5D53866C-0274-40FB-A323-AA1AA8A532BF}"/>
    <cellStyle name="_Copy of Goa Facility" xfId="3" xr:uid="{00000000-0005-0000-0000-000002000000}"/>
    <cellStyle name="_DataAreaPivot_" xfId="288" xr:uid="{BABBBB36-E641-4ED8-9789-F32537C501DE}"/>
    <cellStyle name="_DateRange" xfId="286" xr:uid="{20115B76-2294-41A2-8A87-D6860C426CC0}"/>
    <cellStyle name="_FixedColsPivot_" xfId="289" xr:uid="{3A3BC40C-639D-4416-8B87-555285929C9C}"/>
    <cellStyle name="_FixedRowsPivot_" xfId="290" xr:uid="{5F33EE2C-4366-43C9-958B-AFCA7E72F44F}"/>
    <cellStyle name="_HierRowHeader_" xfId="291" xr:uid="{BFB0FFBF-ACD8-42E5-AAC6-CB3FE7D63AD5}"/>
    <cellStyle name="_RowAggs_" xfId="292" xr:uid="{E084CAB4-BAD8-462E-BF30-A74B4D7E256D}"/>
    <cellStyle name="_SeriesDataForecast" xfId="4" xr:uid="{00000000-0005-0000-0000-000003000000}"/>
    <cellStyle name="_TableAggs_" xfId="293" xr:uid="{F48F0865-1FBA-4C9A-B9A0-AC19DE1C99B9}"/>
    <cellStyle name="_TECIL_HSBC_Blr_FirstCutBom 010807" xfId="5" xr:uid="{00000000-0005-0000-0000-000004000000}"/>
    <cellStyle name="•W_Electrical" xfId="310" xr:uid="{ED1D43A9-39FF-4B2A-8644-496B6E27A922}"/>
    <cellStyle name="0,0_x000a__x000a_NA_x000a__x000a_" xfId="6" xr:uid="{00000000-0005-0000-0000-000005000000}"/>
    <cellStyle name="0,0_x000d__x000a_NA_x000d__x000a_" xfId="7" xr:uid="{00000000-0005-0000-0000-000006000000}"/>
    <cellStyle name="0,0_x000d__x000a_NA_x000d__x000a_ 10" xfId="8" xr:uid="{00000000-0005-0000-0000-000007000000}"/>
    <cellStyle name="0,0_x000d__x000a_NA_x000d__x000a_ 2" xfId="9" xr:uid="{00000000-0005-0000-0000-000008000000}"/>
    <cellStyle name="20% - Accent1 2" xfId="311" xr:uid="{E92A29BB-E4C4-4A79-A903-2DAF4DA50044}"/>
    <cellStyle name="20% - Accent1 2 2" xfId="312" xr:uid="{73D93FC7-36B3-4897-80CF-AE35A8247FED}"/>
    <cellStyle name="20% - Accent1 2 3" xfId="313" xr:uid="{D979744A-AA8A-4BA1-9821-5215DB4B1957}"/>
    <cellStyle name="20% - Accent1 3" xfId="314" xr:uid="{E77F4C6A-F60D-468C-8775-093AE3CF15D1}"/>
    <cellStyle name="20% - Accent1 3 2" xfId="315" xr:uid="{767A3388-DE8C-4066-8A80-96F254D6FAE3}"/>
    <cellStyle name="20% - Accent1 3 3" xfId="316" xr:uid="{40B97B64-9059-4999-ADE4-7A0E2CA8AA62}"/>
    <cellStyle name="20% - Accent1 4" xfId="317" xr:uid="{D27D7833-F1C5-4928-A536-D61A7407ADF9}"/>
    <cellStyle name="20% - Accent1 5" xfId="318" xr:uid="{FE439745-06EE-4CE1-945D-BD5D82CBE4BE}"/>
    <cellStyle name="20% - Accent2 2" xfId="319" xr:uid="{04768102-41D9-46D1-B7B6-9D35135B808B}"/>
    <cellStyle name="20% - Accent2 2 2" xfId="320" xr:uid="{3176D96D-644C-40A2-9F37-C9D58CF70922}"/>
    <cellStyle name="20% - Accent2 2 3" xfId="321" xr:uid="{96879178-8270-4233-848F-6C93F1B776DB}"/>
    <cellStyle name="20% - Accent2 3" xfId="322" xr:uid="{87F3BD10-8D07-466C-9C2B-CD9B4B077339}"/>
    <cellStyle name="20% - Accent2 3 2" xfId="323" xr:uid="{1792A07A-67A0-4A22-81ED-D88CC7DDA3D1}"/>
    <cellStyle name="20% - Accent2 3 3" xfId="324" xr:uid="{A4B3F469-4903-4841-83FB-47452F55D502}"/>
    <cellStyle name="20% - Accent2 4" xfId="325" xr:uid="{62F5BE8B-79A4-43EC-98E4-CB9E99E5EB81}"/>
    <cellStyle name="20% - Accent2 5" xfId="326" xr:uid="{76E08741-3AFB-42FC-8187-7F03E0B79C9E}"/>
    <cellStyle name="20% - Accent3 2" xfId="327" xr:uid="{96CF5F69-7269-47A3-BD4E-A52F4F9DB55F}"/>
    <cellStyle name="20% - Accent3 2 2" xfId="328" xr:uid="{46F13516-2E25-438A-9EC7-26C065D7A4E9}"/>
    <cellStyle name="20% - Accent3 2 3" xfId="329" xr:uid="{260FA4D4-3656-408E-AE04-4AD030497184}"/>
    <cellStyle name="20% - Accent3 3" xfId="330" xr:uid="{62B2AEC8-A305-4421-9F7E-F4EE9FFC14AE}"/>
    <cellStyle name="20% - Accent3 3 2" xfId="331" xr:uid="{ACEA3D77-2D15-4122-9144-587FE05F2005}"/>
    <cellStyle name="20% - Accent3 3 3" xfId="332" xr:uid="{24305F6D-8E7C-4671-8A89-F7B587016715}"/>
    <cellStyle name="20% - Accent3 4" xfId="333" xr:uid="{2BEB9314-08C5-4B15-A065-A8FD10D31768}"/>
    <cellStyle name="20% - Accent3 5" xfId="334" xr:uid="{98634353-4BB7-4F10-ACDA-9E64CD269CB7}"/>
    <cellStyle name="20% - Accent4 2" xfId="335" xr:uid="{BD2D6A9F-A541-4F08-AC2D-E56FF4F98876}"/>
    <cellStyle name="20% - Accent4 2 2" xfId="336" xr:uid="{610571C3-4AE0-4162-9CED-8377ED3C6776}"/>
    <cellStyle name="20% - Accent4 2 3" xfId="337" xr:uid="{CC8CDE10-CED4-40C6-A986-DEA4EFB43781}"/>
    <cellStyle name="20% - Accent4 3" xfId="338" xr:uid="{20FD119E-837D-4725-903D-9BEEF11FFAC4}"/>
    <cellStyle name="20% - Accent4 3 2" xfId="339" xr:uid="{05B036C3-C214-4BEF-936E-29CF31619F5C}"/>
    <cellStyle name="20% - Accent4 3 3" xfId="340" xr:uid="{1747C10D-D148-420D-B342-567D89634ED0}"/>
    <cellStyle name="20% - Accent4 4" xfId="341" xr:uid="{414E14A6-93BC-416A-B104-2B9F78B0A4DC}"/>
    <cellStyle name="20% - Accent4 5" xfId="342" xr:uid="{5BDCC200-BD6F-485F-BDF2-3338EEC30A40}"/>
    <cellStyle name="20% - Accent5 2" xfId="343" xr:uid="{CD843FE4-7255-4DE0-A397-A2D5E704263E}"/>
    <cellStyle name="20% - Accent5 2 2" xfId="344" xr:uid="{D940D8EB-66CF-4CDB-912F-5B49D65E46A8}"/>
    <cellStyle name="20% - Accent5 2 3" xfId="345" xr:uid="{E5C64AF2-6AC0-4B48-B339-07A767DF22EC}"/>
    <cellStyle name="20% - Accent5 3" xfId="346" xr:uid="{2BB7ADD1-9C03-4707-93A5-B93D6B075414}"/>
    <cellStyle name="20% - Accent5 3 2" xfId="347" xr:uid="{A58866D8-75C1-4727-B067-EBA42B118308}"/>
    <cellStyle name="20% - Accent5 3 3" xfId="348" xr:uid="{78C7531C-726A-48DC-B3FF-E899825C3862}"/>
    <cellStyle name="20% - Accent5 4" xfId="349" xr:uid="{7BB6B0FE-201D-494E-83F1-D3BD0C387FE5}"/>
    <cellStyle name="20% - Accent5 5" xfId="350" xr:uid="{DC4EBA4E-E668-4165-A015-250C71BF0C80}"/>
    <cellStyle name="20% - Accent6 2" xfId="351" xr:uid="{B61DFF16-399F-4211-A977-43BCABB20B5D}"/>
    <cellStyle name="20% - Accent6 2 2" xfId="352" xr:uid="{71653808-3A27-462B-B1D4-A0EB2E841A85}"/>
    <cellStyle name="20% - Accent6 2 3" xfId="353" xr:uid="{71DAB290-FA2D-453E-99FF-2B5F69F71BCD}"/>
    <cellStyle name="20% - Accent6 3" xfId="354" xr:uid="{DB03438C-CAEB-439E-B328-4E5487445AC1}"/>
    <cellStyle name="20% - Accent6 3 2" xfId="355" xr:uid="{1597E4F2-6E79-41EE-A593-0191BB917909}"/>
    <cellStyle name="20% - Accent6 3 3" xfId="356" xr:uid="{7C2E182A-2C4C-46D0-A9F3-46E9CD70E0C9}"/>
    <cellStyle name="20% - Accent6 4" xfId="357" xr:uid="{D5278B84-2829-46E9-BFAB-D1BBCFC556B2}"/>
    <cellStyle name="20% - Accent6 5" xfId="358" xr:uid="{ACACD2FE-100F-4234-8C61-4A3D4266213E}"/>
    <cellStyle name="40% - Accent1 2" xfId="359" xr:uid="{A6A1C238-4F1B-46C8-BD24-AE9F76995BAF}"/>
    <cellStyle name="40% - Accent1 2 2" xfId="360" xr:uid="{A83BEC82-75B2-4D95-B679-1865BAA20B62}"/>
    <cellStyle name="40% - Accent1 2 3" xfId="361" xr:uid="{5E456BF8-2998-468F-8938-08A21C833F34}"/>
    <cellStyle name="40% - Accent1 3" xfId="362" xr:uid="{296FE9EC-E114-4AD6-870D-9A7550E5799B}"/>
    <cellStyle name="40% - Accent1 3 2" xfId="363" xr:uid="{68D09213-00B5-426F-8B58-2B494FEB434E}"/>
    <cellStyle name="40% - Accent1 3 3" xfId="364" xr:uid="{D8F95EDC-660C-4737-845B-1E6B0A935EC8}"/>
    <cellStyle name="40% - Accent1 4" xfId="365" xr:uid="{D244DE12-3B2F-45CF-B8DC-B09D9EB81E64}"/>
    <cellStyle name="40% - Accent1 5" xfId="366" xr:uid="{5D2DCB2A-42F6-4D53-A27F-E175ED1775DA}"/>
    <cellStyle name="40% - Accent2 2" xfId="367" xr:uid="{8529D543-884F-4A05-98DC-D68AACD5E8D6}"/>
    <cellStyle name="40% - Accent2 2 2" xfId="368" xr:uid="{85C4B78C-958D-4722-87DF-8CF78DA378AA}"/>
    <cellStyle name="40% - Accent2 2 3" xfId="369" xr:uid="{D15BC7B6-69D6-469F-8C19-DF18FFC8A60E}"/>
    <cellStyle name="40% - Accent2 3" xfId="370" xr:uid="{811851B6-92FE-41D1-9EF0-786BF89CD316}"/>
    <cellStyle name="40% - Accent2 3 2" xfId="371" xr:uid="{08343FE2-3442-4B2B-B246-051110B57DF4}"/>
    <cellStyle name="40% - Accent2 3 3" xfId="372" xr:uid="{BA0C050E-29D3-465F-8171-AD061EC50DF5}"/>
    <cellStyle name="40% - Accent2 4" xfId="373" xr:uid="{7A9D0C23-5183-47C1-AA0A-3121DF8E4CA1}"/>
    <cellStyle name="40% - Accent2 5" xfId="374" xr:uid="{D1877012-0AB3-43CB-9CFA-785944783095}"/>
    <cellStyle name="40% - Accent3 2" xfId="375" xr:uid="{DC6C968B-5D4F-4EEB-944B-4BF03720CB8F}"/>
    <cellStyle name="40% - Accent3 2 2" xfId="376" xr:uid="{E1415CF2-2A73-48CE-998D-90B95E5A353A}"/>
    <cellStyle name="40% - Accent3 2 3" xfId="377" xr:uid="{2047DD26-44F4-4462-A9C2-FF2098B86B82}"/>
    <cellStyle name="40% - Accent3 3" xfId="378" xr:uid="{B8C07374-77C2-4BC3-9019-70402A761A4E}"/>
    <cellStyle name="40% - Accent3 3 2" xfId="379" xr:uid="{79950AEA-A995-49ED-AA86-F728B6F3EBEE}"/>
    <cellStyle name="40% - Accent3 3 3" xfId="380" xr:uid="{F5FA2310-24FD-4F81-8C5B-BBFEA9544B17}"/>
    <cellStyle name="40% - Accent3 4" xfId="381" xr:uid="{EAB2668A-3912-410E-89F5-8EDD9FF04036}"/>
    <cellStyle name="40% - Accent3 5" xfId="382" xr:uid="{71634F70-BD65-4CC7-B1D2-E0887BE14E23}"/>
    <cellStyle name="40% - Accent4 2" xfId="383" xr:uid="{ACEE3694-A9E3-42E3-BF1A-532FB6873C74}"/>
    <cellStyle name="40% - Accent4 2 2" xfId="384" xr:uid="{30CBAB64-A9C2-42E8-9C01-B6BA57C9384D}"/>
    <cellStyle name="40% - Accent4 2 3" xfId="385" xr:uid="{D2CB54B0-96EE-4730-B1A2-103A631A57D6}"/>
    <cellStyle name="40% - Accent4 3" xfId="386" xr:uid="{D5FD8F1F-F280-43BD-98F0-39E34D012506}"/>
    <cellStyle name="40% - Accent4 3 2" xfId="387" xr:uid="{FAFB87CA-6824-4304-BBF6-0AB4410A4C4B}"/>
    <cellStyle name="40% - Accent4 3 3" xfId="388" xr:uid="{46A5185D-92E0-4EF3-97EB-B0D88F148B46}"/>
    <cellStyle name="40% - Accent4 4" xfId="389" xr:uid="{DD00EE45-9F48-4452-AA60-FCC9AE96A9C3}"/>
    <cellStyle name="40% - Accent4 5" xfId="390" xr:uid="{16E3B1FD-8B23-43D0-911D-845557A1D868}"/>
    <cellStyle name="40% - Accent5 2" xfId="391" xr:uid="{5BC968B2-F573-405D-86DF-8C38206FC695}"/>
    <cellStyle name="40% - Accent5 2 2" xfId="392" xr:uid="{8423EE4C-480D-48DA-8368-C0E6E3D53C4E}"/>
    <cellStyle name="40% - Accent5 2 3" xfId="393" xr:uid="{964AC776-FB6D-4473-8381-791642B61510}"/>
    <cellStyle name="40% - Accent5 3" xfId="394" xr:uid="{D9911946-BC05-49A5-967E-3EAC800098F7}"/>
    <cellStyle name="40% - Accent5 3 2" xfId="395" xr:uid="{2862BC96-E19D-4C1B-99D1-684F292BABF5}"/>
    <cellStyle name="40% - Accent5 3 3" xfId="396" xr:uid="{55A8992D-23BE-41A0-B76D-626EF7F67D98}"/>
    <cellStyle name="40% - Accent5 4" xfId="397" xr:uid="{6863C4D0-EA64-4C54-9F9C-A3727805EAF7}"/>
    <cellStyle name="40% - Accent5 5" xfId="398" xr:uid="{3F700444-9904-4DF2-8905-4555B8FF8E97}"/>
    <cellStyle name="40% - Accent6 2" xfId="399" xr:uid="{F9C74D05-FC1E-4D8A-A80C-5D003028465A}"/>
    <cellStyle name="40% - Accent6 2 2" xfId="400" xr:uid="{B65D223A-1256-42E3-AD51-235E01E91D57}"/>
    <cellStyle name="40% - Accent6 2 3" xfId="401" xr:uid="{8E0014DA-EA39-4093-84BF-F046C83817D6}"/>
    <cellStyle name="40% - Accent6 3" xfId="402" xr:uid="{85D4B5BC-1AFB-4945-AE62-7EF3CA784403}"/>
    <cellStyle name="40% - Accent6 3 2" xfId="403" xr:uid="{568BE27D-738B-4873-A385-A1706B70D786}"/>
    <cellStyle name="40% - Accent6 3 3" xfId="404" xr:uid="{5CC4756B-760A-406B-8DCD-44C988B49C6F}"/>
    <cellStyle name="40% - Accent6 4" xfId="405" xr:uid="{A529DA3E-B8F4-4887-8898-876501E49B5A}"/>
    <cellStyle name="40% - Accent6 5" xfId="406" xr:uid="{4FD85EB0-C81E-400C-9007-BBDE57048AEA}"/>
    <cellStyle name="40% - Akzent1" xfId="294" xr:uid="{E3A61A7F-A577-4548-A667-1AE58CA3AA27}"/>
    <cellStyle name="60% - Accent1 2" xfId="407" xr:uid="{1B518143-34F4-4898-A970-512122A65C11}"/>
    <cellStyle name="60% - Accent1 2 2" xfId="408" xr:uid="{CCF81E94-C993-43E4-AEFA-84B540391FDB}"/>
    <cellStyle name="60% - Accent1 2 3" xfId="409" xr:uid="{6B717E73-A3E8-4F97-94DB-654DE5779F73}"/>
    <cellStyle name="60% - Accent1 3" xfId="410" xr:uid="{0346CDED-1C54-4DBB-8554-CCE0DA45741C}"/>
    <cellStyle name="60% - Accent1 3 2" xfId="411" xr:uid="{B5A2F93A-976F-462B-A848-693B09DBDC53}"/>
    <cellStyle name="60% - Accent1 3 3" xfId="412" xr:uid="{6B987E28-51DD-4F13-9F3B-AE28E47C10C1}"/>
    <cellStyle name="60% - Accent1 4" xfId="413" xr:uid="{47462ED3-9D58-494D-A091-2B60AAF11F21}"/>
    <cellStyle name="60% - Accent1 5" xfId="414" xr:uid="{4F196FBF-161B-4A11-A0AD-B41319B59A98}"/>
    <cellStyle name="60% - Accent2 2" xfId="415" xr:uid="{7FFB4A54-18D7-419B-B051-BEBBC4D76B48}"/>
    <cellStyle name="60% - Accent2 2 2" xfId="416" xr:uid="{1E6D338A-A4E2-4D3B-8D08-3B6789C10394}"/>
    <cellStyle name="60% - Accent2 2 3" xfId="417" xr:uid="{E569E66D-2299-4D50-92C5-3FF8A8A94DF5}"/>
    <cellStyle name="60% - Accent2 3" xfId="418" xr:uid="{F0C64C42-603A-43C6-8A63-2674A76CEBC6}"/>
    <cellStyle name="60% - Accent2 3 2" xfId="419" xr:uid="{A96C5221-2BAB-4CFD-AEC9-CDD02169F232}"/>
    <cellStyle name="60% - Accent2 3 3" xfId="420" xr:uid="{0AF3FE87-7003-498F-9691-C21B3E5D3FA5}"/>
    <cellStyle name="60% - Accent2 4" xfId="421" xr:uid="{8BE35D9A-2659-49A2-9A57-4009C5674A7D}"/>
    <cellStyle name="60% - Accent2 5" xfId="422" xr:uid="{96E7EC8A-BEF9-48E7-8C01-CD312A80D38E}"/>
    <cellStyle name="60% - Accent3 2" xfId="423" xr:uid="{8C55C90B-4B68-41DF-9FE7-FF87DEA0D993}"/>
    <cellStyle name="60% - Accent3 2 2" xfId="424" xr:uid="{EBB3F871-4926-41CF-A462-B67E2F71F80A}"/>
    <cellStyle name="60% - Accent3 2 3" xfId="425" xr:uid="{D4BF969F-CBB1-423C-85A1-EEDF19B38098}"/>
    <cellStyle name="60% - Accent3 3" xfId="426" xr:uid="{4AC62C52-4BCC-4E68-939C-0DE9D0346451}"/>
    <cellStyle name="60% - Accent3 3 2" xfId="427" xr:uid="{5100FC84-6155-4524-8623-2D6437372206}"/>
    <cellStyle name="60% - Accent3 3 3" xfId="428" xr:uid="{0BAD589B-8E1D-48D5-99D8-F6BCF88B6624}"/>
    <cellStyle name="60% - Accent3 4" xfId="429" xr:uid="{B5A69710-6A90-4AE3-8DF6-FE12AE33043E}"/>
    <cellStyle name="60% - Accent3 5" xfId="430" xr:uid="{942D2443-2B30-47C6-96E6-BAE168A5EF96}"/>
    <cellStyle name="60% - Accent4 2" xfId="431" xr:uid="{B0EC2BBC-CBD1-4580-B28D-42229C1D6B30}"/>
    <cellStyle name="60% - Accent4 2 2" xfId="432" xr:uid="{F7E5D4F2-2B80-411D-95C7-273C6D50CE39}"/>
    <cellStyle name="60% - Accent4 2 3" xfId="433" xr:uid="{44F4D828-3F25-4160-93D9-47B78D08BE05}"/>
    <cellStyle name="60% - Accent4 3" xfId="434" xr:uid="{441AD853-450E-4859-8220-56D6A16BA2A8}"/>
    <cellStyle name="60% - Accent4 3 2" xfId="435" xr:uid="{B28AC841-00BC-4C1F-B54D-A63FA6486BA5}"/>
    <cellStyle name="60% - Accent4 3 3" xfId="436" xr:uid="{1DFD7F2B-6C7A-4C76-B8B4-2CF2E25E54B1}"/>
    <cellStyle name="60% - Accent4 4" xfId="437" xr:uid="{EA4F2DEF-3B2F-4420-B554-6A6744F218E6}"/>
    <cellStyle name="60% - Accent4 5" xfId="438" xr:uid="{03DB0721-EE5A-442B-8313-2CEE75D3C476}"/>
    <cellStyle name="60% - Accent5 2" xfId="439" xr:uid="{392C05D1-F983-41B5-A43D-ACE8A1107F0C}"/>
    <cellStyle name="60% - Accent5 2 2" xfId="440" xr:uid="{1ECD46E7-717C-4AA2-9548-1F0FDD5F01F8}"/>
    <cellStyle name="60% - Accent5 2 3" xfId="441" xr:uid="{2D5C937E-1FD1-46CC-A9F7-97FE96FD9E5F}"/>
    <cellStyle name="60% - Accent5 3" xfId="442" xr:uid="{69B74FFA-08A3-462A-A93A-9B4BA35C46AE}"/>
    <cellStyle name="60% - Accent5 3 2" xfId="443" xr:uid="{9DF62EE3-6979-45FC-B307-EAC6F2D0D7D7}"/>
    <cellStyle name="60% - Accent5 3 3" xfId="444" xr:uid="{FF45D8DE-B87A-48B6-B91C-5AD8131F29BD}"/>
    <cellStyle name="60% - Accent5 4" xfId="445" xr:uid="{554B849B-333D-41FA-8F4E-0913B895BFD3}"/>
    <cellStyle name="60% - Accent5 5" xfId="446" xr:uid="{D889A7C6-AFB0-4593-B500-F1C26CD5FFE8}"/>
    <cellStyle name="60% - Accent6 2" xfId="447" xr:uid="{D01877D4-4D49-4641-9005-28CF3B333F1F}"/>
    <cellStyle name="60% - Accent6 2 2" xfId="448" xr:uid="{FE6CB273-8866-404C-A51A-B43824214415}"/>
    <cellStyle name="60% - Accent6 2 3" xfId="449" xr:uid="{1979EA8A-7316-47A3-BE32-BB25355D7FE0}"/>
    <cellStyle name="60% - Accent6 3" xfId="450" xr:uid="{CAE78910-2832-462E-B861-DF164C261C63}"/>
    <cellStyle name="60% - Accent6 3 2" xfId="451" xr:uid="{02C362F0-166C-4766-903F-D336A698363B}"/>
    <cellStyle name="60% - Accent6 3 3" xfId="452" xr:uid="{72AB1D74-E434-4ED7-BCFC-408655C10628}"/>
    <cellStyle name="60% - Accent6 4" xfId="453" xr:uid="{5F25CF71-99B2-4F4F-9A1C-E78BF9D9BDEF}"/>
    <cellStyle name="60% - Accent6 5" xfId="454" xr:uid="{ED161EA8-8F2C-4999-A242-9894BDA2CE75}"/>
    <cellStyle name="75" xfId="10" xr:uid="{00000000-0005-0000-0000-000009000000}"/>
    <cellStyle name="Accent1 2" xfId="455" xr:uid="{74696F09-3666-4D74-88D8-D7497D0FA4F3}"/>
    <cellStyle name="Accent1 2 2" xfId="456" xr:uid="{986E7CE5-C7B3-40E1-8CA2-B5DFC955EA5A}"/>
    <cellStyle name="Accent1 2 3" xfId="457" xr:uid="{618B5692-7C55-4D71-82F8-0B0F6DB3A9E5}"/>
    <cellStyle name="Accent1 3" xfId="458" xr:uid="{A15BB12D-67C0-4478-BFFB-79DE5FC294B3}"/>
    <cellStyle name="Accent1 3 2" xfId="459" xr:uid="{89414A92-3FE1-48A2-9436-1601ED19476D}"/>
    <cellStyle name="Accent1 3 3" xfId="460" xr:uid="{E5AE7E4A-0E2C-4885-BF09-210C07B247EC}"/>
    <cellStyle name="Accent1 4" xfId="461" xr:uid="{BE605257-28B3-4CDD-86E1-17A5BE8AC1C3}"/>
    <cellStyle name="Accent1 5" xfId="462" xr:uid="{1272A124-DBC8-4BE9-93B5-155D2A8DE99C}"/>
    <cellStyle name="Accent2 2" xfId="463" xr:uid="{BA967921-5023-4580-92EB-881C2B8FE4A3}"/>
    <cellStyle name="Accent2 2 2" xfId="464" xr:uid="{CDED7F8A-321F-4FAA-ADCA-8A24F7D7771F}"/>
    <cellStyle name="Accent2 2 3" xfId="465" xr:uid="{717AB437-BBC7-4E04-8B6F-9B1215B03B8A}"/>
    <cellStyle name="Accent2 3" xfId="466" xr:uid="{046E466C-C2E8-4DAE-8E64-931E88BBC245}"/>
    <cellStyle name="Accent2 3 2" xfId="467" xr:uid="{6397911D-A27B-411D-ACEA-D95B338E1B96}"/>
    <cellStyle name="Accent2 3 3" xfId="468" xr:uid="{6F3F92E9-5234-4E5B-8C70-429FE535C1E1}"/>
    <cellStyle name="Accent2 4" xfId="469" xr:uid="{DB47BDB4-2FF6-42DD-AA69-0A0DC833D802}"/>
    <cellStyle name="Accent2 5" xfId="470" xr:uid="{552D5861-B70E-420B-8761-D696AA96BD42}"/>
    <cellStyle name="Accent3 2" xfId="471" xr:uid="{C90277A1-7201-4DB1-8114-3939872BF69B}"/>
    <cellStyle name="Accent3 2 2" xfId="472" xr:uid="{8549133C-2DFA-42A7-9F27-6CD916960356}"/>
    <cellStyle name="Accent3 2 3" xfId="473" xr:uid="{6C541F54-A0CE-48F9-8F77-533D2C79642F}"/>
    <cellStyle name="Accent3 3" xfId="474" xr:uid="{3683D53F-BC82-43A7-9BD9-D8C3F313407C}"/>
    <cellStyle name="Accent3 3 2" xfId="475" xr:uid="{599ECF8C-239D-4C41-AD99-15FC7FBB6D18}"/>
    <cellStyle name="Accent3 3 3" xfId="476" xr:uid="{58098A96-B12B-4B87-9BD5-590971430C07}"/>
    <cellStyle name="Accent3 4" xfId="477" xr:uid="{5A258A7D-296A-48C9-A62B-89448B7635BC}"/>
    <cellStyle name="Accent3 5" xfId="478" xr:uid="{D1CF9FAD-D92A-4A5C-9F97-880878D21850}"/>
    <cellStyle name="Accent4 2" xfId="479" xr:uid="{540867BB-FB89-4F28-BEFC-1D78CDF99EE9}"/>
    <cellStyle name="Accent4 2 2" xfId="480" xr:uid="{15FD4C9E-770D-44C9-8BE2-A0FE58F408E1}"/>
    <cellStyle name="Accent4 2 3" xfId="481" xr:uid="{E6C9F494-EB68-4093-8D08-AF1EEB9B2547}"/>
    <cellStyle name="Accent4 3" xfId="482" xr:uid="{D289DF5B-D39D-4C4A-A6CF-0945A6A50A51}"/>
    <cellStyle name="Accent4 3 2" xfId="483" xr:uid="{0266BAF2-37BA-4B2B-83E7-E5E3DED14A86}"/>
    <cellStyle name="Accent4 3 3" xfId="484" xr:uid="{AA0279C0-8F63-4626-9E7F-E48FEC64CB1C}"/>
    <cellStyle name="Accent4 4" xfId="485" xr:uid="{1838557C-25F7-451F-8AB8-C084CC2B3E42}"/>
    <cellStyle name="Accent4 5" xfId="486" xr:uid="{E028B317-EAE9-4071-831E-A1FCA57FD675}"/>
    <cellStyle name="Accent5 2" xfId="487" xr:uid="{5DA2DA38-8BCA-4443-965D-593F88905862}"/>
    <cellStyle name="Accent5 2 2" xfId="488" xr:uid="{942B11FB-8F7C-478E-A8B0-889F30D2384E}"/>
    <cellStyle name="Accent5 2 3" xfId="489" xr:uid="{4E85B02D-E794-44DA-B5B6-46403FFBDFC4}"/>
    <cellStyle name="Accent5 3" xfId="490" xr:uid="{0202F793-2BAC-4B67-9FBD-D347C32F2130}"/>
    <cellStyle name="Accent5 3 2" xfId="491" xr:uid="{29728DDB-5B03-4299-BB6F-5BE4829C2A86}"/>
    <cellStyle name="Accent5 3 3" xfId="492" xr:uid="{61779925-F8BE-41C4-B013-E2BD07294BF2}"/>
    <cellStyle name="Accent5 4" xfId="493" xr:uid="{C859BFAA-0518-4947-92A4-F89BA5FBB644}"/>
    <cellStyle name="Accent5 5" xfId="494" xr:uid="{A5EC51BF-782F-4D7B-BBF7-972D08BDC5E5}"/>
    <cellStyle name="Accent6 2" xfId="495" xr:uid="{809EC982-A6BD-4028-A4F3-AF3D5F690839}"/>
    <cellStyle name="Accent6 2 2" xfId="496" xr:uid="{5C0659B4-9182-4182-A060-936D05BC4F4A}"/>
    <cellStyle name="Accent6 2 3" xfId="497" xr:uid="{58DA1FB5-114C-487F-943E-1780D2C7C516}"/>
    <cellStyle name="Accent6 3" xfId="498" xr:uid="{16BA4275-9A85-4B46-8521-EEB9D114A004}"/>
    <cellStyle name="Accent6 3 2" xfId="499" xr:uid="{59B0190A-30C4-4713-9180-012C1AA32733}"/>
    <cellStyle name="Accent6 3 3" xfId="500" xr:uid="{64C911DA-98E0-46A2-80F9-69C17A03F7EB}"/>
    <cellStyle name="Accent6 4" xfId="501" xr:uid="{0BC45D08-5EFE-4995-A346-82E674F7BCA4}"/>
    <cellStyle name="Accent6 5" xfId="502" xr:uid="{146074CD-20C5-4CBA-A823-E50D29AD07AB}"/>
    <cellStyle name="ÅëÈ­ [0]_±âÅ¸" xfId="11" xr:uid="{00000000-0005-0000-0000-00000A000000}"/>
    <cellStyle name="ÅëÈ­_±âÅ¸" xfId="12" xr:uid="{00000000-0005-0000-0000-00000B000000}"/>
    <cellStyle name="AHU #" xfId="503" xr:uid="{5FF28932-2131-49E4-AF34-56C0F3FB04FD}"/>
    <cellStyle name="AM#" xfId="504" xr:uid="{FDB0017D-8D77-4024-802F-F80E9D39353A}"/>
    <cellStyle name="Arial1 - Style1" xfId="13" xr:uid="{00000000-0005-0000-0000-00000C000000}"/>
    <cellStyle name="Arial1 - Style2" xfId="14" xr:uid="{00000000-0005-0000-0000-00000D000000}"/>
    <cellStyle name="Arial10" xfId="15" xr:uid="{00000000-0005-0000-0000-00000E000000}"/>
    <cellStyle name="ÄÞ¸¶ [0]_±âÅ¸" xfId="16" xr:uid="{00000000-0005-0000-0000-00000F000000}"/>
    <cellStyle name="ÄÞ¸¶_±âÅ¸" xfId="17" xr:uid="{00000000-0005-0000-0000-000010000000}"/>
    <cellStyle name="b1x" xfId="18" xr:uid="{00000000-0005-0000-0000-000011000000}"/>
    <cellStyle name="Bad 2" xfId="505" xr:uid="{85DE0CC8-EAE7-46D5-854C-59048EE7CAC8}"/>
    <cellStyle name="Bad 2 2" xfId="506" xr:uid="{C36E17A0-E1A7-403C-ABE8-BB4E21CCE8FB}"/>
    <cellStyle name="Bad 2 3" xfId="507" xr:uid="{621527DF-BEE4-4610-92C0-42C1A1728BF7}"/>
    <cellStyle name="Bad 3" xfId="508" xr:uid="{0AE4022F-302A-4B65-BE92-9DF0C6E14452}"/>
    <cellStyle name="Bad 3 2" xfId="509" xr:uid="{BDA2CDEF-A107-40BF-BE9D-8B9A0FF1522C}"/>
    <cellStyle name="Bad 3 3" xfId="510" xr:uid="{4B590E4D-4263-463C-8B05-FBA860AB1208}"/>
    <cellStyle name="Bad 4" xfId="511" xr:uid="{157AEBEA-7C5A-445F-A4AF-BA0584948CDA}"/>
    <cellStyle name="Bad 5" xfId="512" xr:uid="{5E69BA50-A3EE-4DC1-974E-286C03A90BE9}"/>
    <cellStyle name="Body" xfId="19" xr:uid="{00000000-0005-0000-0000-000012000000}"/>
    <cellStyle name="Ç¥ÁØ_¿¬°£´©°è¿¹»ó" xfId="20" xr:uid="{00000000-0005-0000-0000-000013000000}"/>
    <cellStyle name="Calc Currency (0)" xfId="513" xr:uid="{3562C9FC-B8F0-47A3-8E4B-20C33EA8BDE9}"/>
    <cellStyle name="Calculation 2" xfId="514" xr:uid="{294F3443-84F5-40BE-BEBF-B6349C1E44BD}"/>
    <cellStyle name="Calculation 2 2" xfId="515" xr:uid="{619F6DE4-18C0-43BA-A691-9EAB89DF80BC}"/>
    <cellStyle name="Calculation 2 3" xfId="516" xr:uid="{83B47E7D-D2C7-48E1-8CD5-47965F6054BA}"/>
    <cellStyle name="Calculation 3" xfId="517" xr:uid="{58E5FDDC-BDC0-4E51-B18E-8FA8D448F523}"/>
    <cellStyle name="Calculation 3 2" xfId="518" xr:uid="{A7F4BF43-3913-4278-ADED-D11B36AAD53C}"/>
    <cellStyle name="Calculation 3 3" xfId="519" xr:uid="{AB845AA9-8AC5-4EF1-9147-AEEBC1059B39}"/>
    <cellStyle name="Calculation 4" xfId="520" xr:uid="{C57A9C10-05E1-4952-95C2-28BC611DA4D6}"/>
    <cellStyle name="Calculation 5" xfId="521" xr:uid="{54675D37-E511-4777-A905-7F5F47A5E99D}"/>
    <cellStyle name="category" xfId="522" xr:uid="{A08D44DF-6302-4DC2-86F7-CA649756322C}"/>
    <cellStyle name="Check Cell 2" xfId="523" xr:uid="{0B0B60BB-4D03-46B9-91E6-63BEAF299E4D}"/>
    <cellStyle name="Check Cell 2 2" xfId="524" xr:uid="{674179B9-F85A-432B-B9C2-8E131AE3235C}"/>
    <cellStyle name="Check Cell 2 3" xfId="525" xr:uid="{94F65C7B-0003-4040-AA7C-73AB33CA9757}"/>
    <cellStyle name="Check Cell 3" xfId="526" xr:uid="{E9275687-955E-4C4E-BFA2-6E6BEB116737}"/>
    <cellStyle name="Check Cell 3 2" xfId="527" xr:uid="{42699366-5381-4C9C-89A1-90E86C23F581}"/>
    <cellStyle name="Check Cell 3 3" xfId="528" xr:uid="{B02CDF0D-6EF3-421E-B43C-1DF9FD05409A}"/>
    <cellStyle name="Check Cell 4" xfId="529" xr:uid="{0FBACF87-F055-43AC-91AF-7D3264B50F68}"/>
    <cellStyle name="Check Cell 5" xfId="530" xr:uid="{C9020DF9-395D-4219-960A-A313D36FFE32}"/>
    <cellStyle name="Comma" xfId="21" builtinId="3"/>
    <cellStyle name="Comma  - Style1" xfId="22" xr:uid="{00000000-0005-0000-0000-000015000000}"/>
    <cellStyle name="Comma  - Style2" xfId="23" xr:uid="{00000000-0005-0000-0000-000016000000}"/>
    <cellStyle name="Comma  - Style3" xfId="24" xr:uid="{00000000-0005-0000-0000-000017000000}"/>
    <cellStyle name="Comma  - Style4" xfId="25" xr:uid="{00000000-0005-0000-0000-000018000000}"/>
    <cellStyle name="Comma  - Style5" xfId="26" xr:uid="{00000000-0005-0000-0000-000019000000}"/>
    <cellStyle name="Comma  - Style6" xfId="27" xr:uid="{00000000-0005-0000-0000-00001A000000}"/>
    <cellStyle name="Comma  - Style7" xfId="28" xr:uid="{00000000-0005-0000-0000-00001B000000}"/>
    <cellStyle name="Comma  - Style8" xfId="29" xr:uid="{00000000-0005-0000-0000-00001C000000}"/>
    <cellStyle name="Comma 10" xfId="30" xr:uid="{00000000-0005-0000-0000-00001D000000}"/>
    <cellStyle name="Comma 10 2" xfId="31" xr:uid="{00000000-0005-0000-0000-00001E000000}"/>
    <cellStyle name="Comma 11" xfId="32" xr:uid="{00000000-0005-0000-0000-00001F000000}"/>
    <cellStyle name="Comma 11 2" xfId="33" xr:uid="{00000000-0005-0000-0000-000020000000}"/>
    <cellStyle name="Comma 12" xfId="34" xr:uid="{00000000-0005-0000-0000-000021000000}"/>
    <cellStyle name="Comma 12 2" xfId="35" xr:uid="{00000000-0005-0000-0000-000022000000}"/>
    <cellStyle name="Comma 12 3" xfId="36" xr:uid="{00000000-0005-0000-0000-000023000000}"/>
    <cellStyle name="Comma 13" xfId="37" xr:uid="{00000000-0005-0000-0000-000024000000}"/>
    <cellStyle name="Comma 14" xfId="38" xr:uid="{00000000-0005-0000-0000-000025000000}"/>
    <cellStyle name="Comma 15" xfId="39" xr:uid="{00000000-0005-0000-0000-000026000000}"/>
    <cellStyle name="Comma 15 2" xfId="40" xr:uid="{00000000-0005-0000-0000-000027000000}"/>
    <cellStyle name="Comma 15 3" xfId="41" xr:uid="{00000000-0005-0000-0000-000028000000}"/>
    <cellStyle name="Comma 16" xfId="42" xr:uid="{00000000-0005-0000-0000-000029000000}"/>
    <cellStyle name="Comma 16 2" xfId="43" xr:uid="{00000000-0005-0000-0000-00002A000000}"/>
    <cellStyle name="Comma 16 2 2" xfId="44" xr:uid="{00000000-0005-0000-0000-00002B000000}"/>
    <cellStyle name="Comma 16 2 3" xfId="248" xr:uid="{15B10DCE-33C1-4F07-8168-18556858461A}"/>
    <cellStyle name="Comma 16 2 4" xfId="974" xr:uid="{A90FEB29-4A2C-429C-A55A-9B043DBE1B3C}"/>
    <cellStyle name="Comma 16 3" xfId="45" xr:uid="{00000000-0005-0000-0000-00002C000000}"/>
    <cellStyle name="Comma 16 3 2" xfId="249" xr:uid="{21722004-8AEC-49F7-9312-2A32A84DB412}"/>
    <cellStyle name="Comma 16 3 3" xfId="975" xr:uid="{2CDEE2A3-04A8-4C4F-A360-31E53B1AE261}"/>
    <cellStyle name="Comma 16 4" xfId="247" xr:uid="{C4988679-3DE8-47D9-AE97-2C07CAD22920}"/>
    <cellStyle name="Comma 16 5" xfId="973" xr:uid="{81B94BE2-D27F-4E3F-B370-0194D0C60290}"/>
    <cellStyle name="Comma 17" xfId="46" xr:uid="{00000000-0005-0000-0000-00002D000000}"/>
    <cellStyle name="Comma 17 2" xfId="47" xr:uid="{00000000-0005-0000-0000-00002E000000}"/>
    <cellStyle name="Comma 18" xfId="48" xr:uid="{00000000-0005-0000-0000-00002F000000}"/>
    <cellStyle name="Comma 19" xfId="49" xr:uid="{00000000-0005-0000-0000-000030000000}"/>
    <cellStyle name="Comma 2" xfId="50" xr:uid="{00000000-0005-0000-0000-000031000000}"/>
    <cellStyle name="Comma 2 10" xfId="51" xr:uid="{00000000-0005-0000-0000-000032000000}"/>
    <cellStyle name="Comma 2 11" xfId="52" xr:uid="{00000000-0005-0000-0000-000033000000}"/>
    <cellStyle name="Comma 2 12" xfId="53" xr:uid="{00000000-0005-0000-0000-000034000000}"/>
    <cellStyle name="Comma 2 13" xfId="54" xr:uid="{00000000-0005-0000-0000-000035000000}"/>
    <cellStyle name="Comma 2 14" xfId="55" xr:uid="{00000000-0005-0000-0000-000036000000}"/>
    <cellStyle name="Comma 2 15" xfId="56" xr:uid="{00000000-0005-0000-0000-000037000000}"/>
    <cellStyle name="Comma 2 16" xfId="970" xr:uid="{0781AC61-F450-4353-8EC2-56404D33792D}"/>
    <cellStyle name="Comma 2 2" xfId="57" xr:uid="{00000000-0005-0000-0000-000038000000}"/>
    <cellStyle name="Comma 2 2 2" xfId="58" xr:uid="{00000000-0005-0000-0000-000039000000}"/>
    <cellStyle name="Comma 2 2 3" xfId="59" xr:uid="{00000000-0005-0000-0000-00003A000000}"/>
    <cellStyle name="Comma 2 2 3 2" xfId="60" xr:uid="{00000000-0005-0000-0000-00003B000000}"/>
    <cellStyle name="Comma 2 3" xfId="61" xr:uid="{00000000-0005-0000-0000-00003C000000}"/>
    <cellStyle name="Comma 2 3 2" xfId="62" xr:uid="{00000000-0005-0000-0000-00003D000000}"/>
    <cellStyle name="Comma 2 3 2 2" xfId="63" xr:uid="{00000000-0005-0000-0000-00003E000000}"/>
    <cellStyle name="Comma 2 4" xfId="64" xr:uid="{00000000-0005-0000-0000-00003F000000}"/>
    <cellStyle name="Comma 2 4 2" xfId="65" xr:uid="{00000000-0005-0000-0000-000040000000}"/>
    <cellStyle name="Comma 2 4 2 2" xfId="66" xr:uid="{00000000-0005-0000-0000-000041000000}"/>
    <cellStyle name="Comma 2 5" xfId="67" xr:uid="{00000000-0005-0000-0000-000042000000}"/>
    <cellStyle name="Comma 2 6" xfId="68" xr:uid="{00000000-0005-0000-0000-000043000000}"/>
    <cellStyle name="Comma 2 6 2" xfId="69" xr:uid="{00000000-0005-0000-0000-000044000000}"/>
    <cellStyle name="Comma 2 6 2 2" xfId="70" xr:uid="{00000000-0005-0000-0000-000045000000}"/>
    <cellStyle name="Comma 2 6 2 3" xfId="71" xr:uid="{00000000-0005-0000-0000-000046000000}"/>
    <cellStyle name="Comma 2 6 3" xfId="72" xr:uid="{00000000-0005-0000-0000-000047000000}"/>
    <cellStyle name="Comma 2 7" xfId="73" xr:uid="{00000000-0005-0000-0000-000048000000}"/>
    <cellStyle name="Comma 2 8" xfId="74" xr:uid="{00000000-0005-0000-0000-000049000000}"/>
    <cellStyle name="Comma 2 9" xfId="75" xr:uid="{00000000-0005-0000-0000-00004A000000}"/>
    <cellStyle name="Comma 2_Himachal Bhavan-F&amp;S-Estimate-30-09-11" xfId="531" xr:uid="{F11AC102-9285-4EF8-B793-8694F0011778}"/>
    <cellStyle name="Comma 20" xfId="76" xr:uid="{00000000-0005-0000-0000-00004C000000}"/>
    <cellStyle name="Comma 20 2" xfId="250" xr:uid="{CCA5B31A-BA8E-4202-A501-C0BD1A47C068}"/>
    <cellStyle name="Comma 20 3" xfId="976" xr:uid="{3247CE59-CBB7-4EBE-BC4A-18D4E223880B}"/>
    <cellStyle name="Comma 21" xfId="77" xr:uid="{00000000-0005-0000-0000-00004D000000}"/>
    <cellStyle name="Comma 22" xfId="78" xr:uid="{00000000-0005-0000-0000-00004E000000}"/>
    <cellStyle name="Comma 22 2" xfId="79" xr:uid="{00000000-0005-0000-0000-00004F000000}"/>
    <cellStyle name="Comma 23" xfId="80" xr:uid="{00000000-0005-0000-0000-000050000000}"/>
    <cellStyle name="Comma 24" xfId="81" xr:uid="{00000000-0005-0000-0000-000051000000}"/>
    <cellStyle name="Comma 24 2" xfId="82" xr:uid="{00000000-0005-0000-0000-000052000000}"/>
    <cellStyle name="Comma 24 2 2" xfId="251" xr:uid="{C3974DFA-626C-48C4-9977-483D38F6518B}"/>
    <cellStyle name="Comma 24 2 3" xfId="977" xr:uid="{511C9715-6AA0-430E-A283-F6E374420DF0}"/>
    <cellStyle name="Comma 25" xfId="83" xr:uid="{00000000-0005-0000-0000-000053000000}"/>
    <cellStyle name="Comma 25 2" xfId="84" xr:uid="{00000000-0005-0000-0000-000054000000}"/>
    <cellStyle name="Comma 25 2 2" xfId="253" xr:uid="{2A6260D1-487B-4247-B6B1-3365DEFB7264}"/>
    <cellStyle name="Comma 25 2 3" xfId="979" xr:uid="{3B60F320-746E-4098-845E-8394F0693793}"/>
    <cellStyle name="Comma 25 3" xfId="252" xr:uid="{AF97FBC1-D08D-4297-8E13-D8FE7F85F430}"/>
    <cellStyle name="Comma 25 4" xfId="978" xr:uid="{FBC4E7EE-DB88-41B2-9EA3-231CABCBB1EF}"/>
    <cellStyle name="Comma 26" xfId="85" xr:uid="{00000000-0005-0000-0000-000055000000}"/>
    <cellStyle name="Comma 26 2" xfId="86" xr:uid="{00000000-0005-0000-0000-000056000000}"/>
    <cellStyle name="Comma 26 2 2" xfId="255" xr:uid="{BE0284F7-40EF-45C7-A73E-6E75D1D511B7}"/>
    <cellStyle name="Comma 26 2 3" xfId="981" xr:uid="{CF8D435B-4A54-47EA-8F1E-3C537EAB8F7E}"/>
    <cellStyle name="Comma 26 3" xfId="254" xr:uid="{54F2C7C3-E953-426D-AED9-3569B11A7CC8}"/>
    <cellStyle name="Comma 26 4" xfId="980" xr:uid="{BF78E742-BA43-4ADD-BA78-B9E1FC26024A}"/>
    <cellStyle name="Comma 27" xfId="87" xr:uid="{00000000-0005-0000-0000-000057000000}"/>
    <cellStyle name="Comma 27 2" xfId="256" xr:uid="{42B1AB07-C846-4D39-BDB4-D6AE1E103E9C}"/>
    <cellStyle name="Comma 27 3" xfId="982" xr:uid="{50AE7F62-2168-489B-AB97-E3678C292863}"/>
    <cellStyle name="Comma 28" xfId="88" xr:uid="{00000000-0005-0000-0000-000058000000}"/>
    <cellStyle name="Comma 28 2" xfId="89" xr:uid="{00000000-0005-0000-0000-000059000000}"/>
    <cellStyle name="Comma 28 2 2" xfId="258" xr:uid="{88A20F4A-BB00-45F4-BA32-A97F2E3A922A}"/>
    <cellStyle name="Comma 28 2 3" xfId="984" xr:uid="{11751F27-58A7-4913-BBEC-118A792E7ECA}"/>
    <cellStyle name="Comma 28 3" xfId="257" xr:uid="{72446619-1CB0-445D-89E9-CCD4CD9F6BCA}"/>
    <cellStyle name="Comma 28 4" xfId="983" xr:uid="{A149350E-BF8A-458A-B1AA-7CB3F135CB92}"/>
    <cellStyle name="Comma 29" xfId="90" xr:uid="{00000000-0005-0000-0000-00005A000000}"/>
    <cellStyle name="Comma 29 2" xfId="259" xr:uid="{B5C81039-C1B5-48DA-ABDD-6A5AB47DB4B3}"/>
    <cellStyle name="Comma 29 3" xfId="985" xr:uid="{2476F143-F5DC-4776-9D30-3070A5EE98BC}"/>
    <cellStyle name="Comma 3" xfId="91" xr:uid="{00000000-0005-0000-0000-00005B000000}"/>
    <cellStyle name="Comma 3 2" xfId="92" xr:uid="{00000000-0005-0000-0000-00005C000000}"/>
    <cellStyle name="Comma 3 2 2" xfId="93" xr:uid="{00000000-0005-0000-0000-00005D000000}"/>
    <cellStyle name="Comma 3 3" xfId="94" xr:uid="{00000000-0005-0000-0000-00005E000000}"/>
    <cellStyle name="Comma 3 4" xfId="245" xr:uid="{806BAC47-0184-4393-92E2-1030BE4F9A8E}"/>
    <cellStyle name="Comma 3 5" xfId="971" xr:uid="{E82B0CE2-D452-415F-85D2-9D482BA2BBC9}"/>
    <cellStyle name="Comma 3_RUCHI SOYA TENDER BOQ-ESTIMATES-HYD-SPR-PUMP-02-12-2011" xfId="532" xr:uid="{77DB405E-248A-40E3-A299-34EBC19C8E3E}"/>
    <cellStyle name="Comma 30" xfId="95" xr:uid="{00000000-0005-0000-0000-00005F000000}"/>
    <cellStyle name="Comma 30 2" xfId="260" xr:uid="{5FB34F84-52A3-486D-9A28-6B8E26F64A2D}"/>
    <cellStyle name="Comma 30 3" xfId="986" xr:uid="{33F90432-AF87-4070-8741-F2E1332BEE43}"/>
    <cellStyle name="Comma 31" xfId="96" xr:uid="{00000000-0005-0000-0000-000060000000}"/>
    <cellStyle name="Comma 31 2" xfId="261" xr:uid="{80ED74DC-533D-4191-872B-50DB28515A5A}"/>
    <cellStyle name="Comma 31 3" xfId="987" xr:uid="{093F0710-D490-4168-969E-71080A8FF60D}"/>
    <cellStyle name="Comma 32" xfId="97" xr:uid="{00000000-0005-0000-0000-000061000000}"/>
    <cellStyle name="Comma 32 2" xfId="262" xr:uid="{FAD02D53-6782-4DA1-8A43-9E2DAC6E0807}"/>
    <cellStyle name="Comma 32 3" xfId="988" xr:uid="{5A67EE3C-3872-4C5D-8016-0CC2E78DF689}"/>
    <cellStyle name="Comma 33" xfId="98" xr:uid="{00000000-0005-0000-0000-000062000000}"/>
    <cellStyle name="Comma 33 2" xfId="263" xr:uid="{C3AA416E-57E7-4E48-85F8-327679EAD50D}"/>
    <cellStyle name="Comma 33 3" xfId="989" xr:uid="{201D32C3-7BCB-4F0D-B41C-E6C4408A5FF5}"/>
    <cellStyle name="Comma 34" xfId="99" xr:uid="{00000000-0005-0000-0000-000063000000}"/>
    <cellStyle name="Comma 35" xfId="100" xr:uid="{00000000-0005-0000-0000-000064000000}"/>
    <cellStyle name="Comma 36" xfId="101" xr:uid="{00000000-0005-0000-0000-000065000000}"/>
    <cellStyle name="Comma 37" xfId="102" xr:uid="{00000000-0005-0000-0000-000066000000}"/>
    <cellStyle name="Comma 38" xfId="103" xr:uid="{00000000-0005-0000-0000-000067000000}"/>
    <cellStyle name="Comma 39" xfId="104" xr:uid="{00000000-0005-0000-0000-000068000000}"/>
    <cellStyle name="Comma 39 2" xfId="264" xr:uid="{7C28C0A1-AEF9-4F04-845B-01E6301D2771}"/>
    <cellStyle name="Comma 4" xfId="105" xr:uid="{00000000-0005-0000-0000-000069000000}"/>
    <cellStyle name="Comma 4 2" xfId="106" xr:uid="{00000000-0005-0000-0000-00006A000000}"/>
    <cellStyle name="Comma 4 2 2" xfId="107" xr:uid="{00000000-0005-0000-0000-00006B000000}"/>
    <cellStyle name="Comma 4 3" xfId="108" xr:uid="{00000000-0005-0000-0000-00006C000000}"/>
    <cellStyle name="Comma 4 3 2" xfId="109" xr:uid="{00000000-0005-0000-0000-00006D000000}"/>
    <cellStyle name="Comma 4 4" xfId="110" xr:uid="{00000000-0005-0000-0000-00006E000000}"/>
    <cellStyle name="Comma 4 4 2" xfId="111" xr:uid="{00000000-0005-0000-0000-00006F000000}"/>
    <cellStyle name="Comma 4 5" xfId="112" xr:uid="{00000000-0005-0000-0000-000070000000}"/>
    <cellStyle name="Comma 4 5 2" xfId="113" xr:uid="{00000000-0005-0000-0000-000071000000}"/>
    <cellStyle name="Comma 4 6" xfId="114" xr:uid="{00000000-0005-0000-0000-000072000000}"/>
    <cellStyle name="Comma 4 6 2" xfId="115" xr:uid="{00000000-0005-0000-0000-000073000000}"/>
    <cellStyle name="Comma 4_MEP BOQ" xfId="116" xr:uid="{00000000-0005-0000-0000-000074000000}"/>
    <cellStyle name="Comma 40" xfId="117" xr:uid="{00000000-0005-0000-0000-000075000000}"/>
    <cellStyle name="Comma 41" xfId="284" xr:uid="{C0E7B990-F7FF-496D-A7F7-5688C5E51471}"/>
    <cellStyle name="Comma 42" xfId="298" xr:uid="{DCB765E7-C7D7-48A6-BE69-827AC684D323}"/>
    <cellStyle name="Comma 42 2" xfId="1008" xr:uid="{65D03D7D-E76C-41E6-B609-7DA7A149A4DD}"/>
    <cellStyle name="Comma 43" xfId="301" xr:uid="{C8B637F3-C1FC-4999-9CB9-E51C61412E3E}"/>
    <cellStyle name="Comma 5" xfId="118" xr:uid="{00000000-0005-0000-0000-000076000000}"/>
    <cellStyle name="Comma 5 2" xfId="119" xr:uid="{00000000-0005-0000-0000-000077000000}"/>
    <cellStyle name="Comma 5 2 2" xfId="120" xr:uid="{00000000-0005-0000-0000-000078000000}"/>
    <cellStyle name="Comma 5 3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533" xr:uid="{A3E55745-2A5A-4EDB-B866-1EBBA598C447}"/>
    <cellStyle name="Comma 6 4" xfId="534" xr:uid="{83F26308-2D8C-4ADA-B388-2782A27F4966}"/>
    <cellStyle name="Comma 7" xfId="124" xr:uid="{00000000-0005-0000-0000-00007C000000}"/>
    <cellStyle name="Comma 7 2" xfId="125" xr:uid="{00000000-0005-0000-0000-00007D000000}"/>
    <cellStyle name="Comma 7 3" xfId="126" xr:uid="{00000000-0005-0000-0000-00007E000000}"/>
    <cellStyle name="Comma 7 3 2" xfId="127" xr:uid="{00000000-0005-0000-0000-00007F000000}"/>
    <cellStyle name="Comma 8" xfId="128" xr:uid="{00000000-0005-0000-0000-000080000000}"/>
    <cellStyle name="Comma 8 2" xfId="129" xr:uid="{00000000-0005-0000-0000-000081000000}"/>
    <cellStyle name="Comma 8 2 2" xfId="265" xr:uid="{4BD92355-574F-43F3-98E8-928731A9AEF9}"/>
    <cellStyle name="Comma 8 2 3" xfId="990" xr:uid="{CC008543-FA63-418C-8434-A09F80E3679D}"/>
    <cellStyle name="Comma 9" xfId="130" xr:uid="{00000000-0005-0000-0000-000082000000}"/>
    <cellStyle name="Comma 9 2" xfId="131" xr:uid="{00000000-0005-0000-0000-000083000000}"/>
    <cellStyle name="comma zerodec" xfId="132" xr:uid="{00000000-0005-0000-0000-000084000000}"/>
    <cellStyle name="Copied" xfId="535" xr:uid="{B83F3CEA-7865-4907-AD95-335A8E69DE37}"/>
    <cellStyle name="COURIER" xfId="133" xr:uid="{00000000-0005-0000-0000-000085000000}"/>
    <cellStyle name="CSI" xfId="536" xr:uid="{41316CB3-6CB6-43BF-9165-16B8B9270B4E}"/>
    <cellStyle name="Currencq [0]_Invoices_C730 (2)" xfId="537" xr:uid="{4057FADE-BB06-48AE-B638-877B81C7F712}"/>
    <cellStyle name="Currency $" xfId="538" xr:uid="{7C6EFE7E-30DD-40E0-92F3-B4394857C947}"/>
    <cellStyle name="Currency [2]_Invoices_C740 (2)_981111~cost" xfId="539" xr:uid="{46B599B2-3D14-4B4B-892B-178C913C21A0}"/>
    <cellStyle name="Currency 2" xfId="134" xr:uid="{00000000-0005-0000-0000-000086000000}"/>
    <cellStyle name="Currency 3" xfId="1011" xr:uid="{BACBEC3A-9066-48EA-912C-D6B605A52B0B}"/>
    <cellStyle name="Currency1" xfId="135" xr:uid="{00000000-0005-0000-0000-000087000000}"/>
    <cellStyle name="Date" xfId="136" xr:uid="{00000000-0005-0000-0000-000088000000}"/>
    <cellStyle name="Description" xfId="540" xr:uid="{E1772763-70B5-413A-B28C-DF79BD77B92E}"/>
    <cellStyle name="Dezi +0_-" xfId="541" xr:uid="{E8DBBD84-AD19-479E-877D-4403E9D8A01F}"/>
    <cellStyle name="Dezi +1_-" xfId="542" xr:uid="{FF26ADA0-444C-49E1-AA81-C8FDB4F4BB02}"/>
    <cellStyle name="Dezi ±0_-" xfId="543" xr:uid="{CD93696B-17B8-455F-99AE-73212F789FE3}"/>
    <cellStyle name="Dezi ±1_-" xfId="544" xr:uid="{E3429BC8-F84B-4FA1-8D44-BB888BFBD61F}"/>
    <cellStyle name="Dezi 0_-" xfId="545" xr:uid="{594EB7C3-DB5A-4DFB-B46A-29CDB7ADFFE1}"/>
    <cellStyle name="Dezi 1_-" xfId="546" xr:uid="{E08587F2-ACC2-4933-9833-3FB5C8703EA3}"/>
    <cellStyle name="Dezi 2_-" xfId="547" xr:uid="{7058AF05-0449-4639-B03D-B3217CE0FEEE}"/>
    <cellStyle name="Dezi 3_-" xfId="548" xr:uid="{6CDABB94-CC64-4E24-AFA3-52687F4E8C82}"/>
    <cellStyle name="Dollar (zero dec)" xfId="137" xr:uid="{00000000-0005-0000-0000-000089000000}"/>
    <cellStyle name="Entered" xfId="549" xr:uid="{F4F2C5B8-AF04-406D-8187-E4FAED1D6F83}"/>
    <cellStyle name="Euro" xfId="550" xr:uid="{5EF2F428-5A57-48D6-8975-76D6EE02743D}"/>
    <cellStyle name="Euro 2" xfId="551" xr:uid="{4BB6F84F-0FF1-428C-8F33-79CEFADF6DB1}"/>
    <cellStyle name="Euro 3" xfId="552" xr:uid="{0D3FD536-4EDE-43A2-9569-16334DA83293}"/>
    <cellStyle name="Euro_Sheet1" xfId="553" xr:uid="{D0822F71-3C37-4094-8825-0FAEAE2533D8}"/>
    <cellStyle name="Excel Built-in Normal" xfId="138" xr:uid="{00000000-0005-0000-0000-00008A000000}"/>
    <cellStyle name="Excel Built-in Normal 2" xfId="554" xr:uid="{C3A15D4D-38BB-4965-BF85-FF5BD081C80D}"/>
    <cellStyle name="Explanatory Text 2" xfId="555" xr:uid="{86A7661C-FC4C-4A50-9DCE-390842486814}"/>
    <cellStyle name="Explanatory Text 2 2" xfId="556" xr:uid="{348DB0AB-7C88-468E-9475-B3D1053DA4CD}"/>
    <cellStyle name="Explanatory Text 2 3" xfId="557" xr:uid="{1D7614E4-535B-408E-8477-55CA4A3F183D}"/>
    <cellStyle name="Explanatory Text 3" xfId="558" xr:uid="{9B0DA175-0CCD-4768-98FF-60D54BFB85A9}"/>
    <cellStyle name="Explanatory Text 3 2" xfId="559" xr:uid="{F730CC6D-12EE-4174-B810-AB8274D64F36}"/>
    <cellStyle name="Explanatory Text 3 3" xfId="560" xr:uid="{E9F0495E-ADDC-4815-9B0E-CCE11DDDBB67}"/>
    <cellStyle name="Explanatory Text 4" xfId="561" xr:uid="{D4FBDBD5-D43D-41E0-BC78-13412F46AB1A}"/>
    <cellStyle name="Explanatory Text 5" xfId="562" xr:uid="{47E2A55C-69B5-40E6-9721-7365059D9FD6}"/>
    <cellStyle name="F2" xfId="563" xr:uid="{EBCF6087-F6D6-4045-A25E-AC87AAEBA42A}"/>
    <cellStyle name="F3" xfId="564" xr:uid="{199F48E4-C35D-4BE9-9E99-7EC13E936E50}"/>
    <cellStyle name="F4" xfId="565" xr:uid="{76E366A0-26F8-4739-82F7-9AE7EDAF53A5}"/>
    <cellStyle name="F5" xfId="566" xr:uid="{34C43889-6776-4DFE-B430-8FE6631697DF}"/>
    <cellStyle name="F6" xfId="567" xr:uid="{1AA24294-5AF9-4F4A-9CE7-05F6C31AE336}"/>
    <cellStyle name="F7" xfId="568" xr:uid="{535C2883-5946-4F7F-8B48-32B211B68E6C}"/>
    <cellStyle name="F8" xfId="569" xr:uid="{1D296FC3-18D8-4A78-90DC-B4B17AF9E74C}"/>
    <cellStyle name="Fixed" xfId="139" xr:uid="{00000000-0005-0000-0000-00008B000000}"/>
    <cellStyle name="Foottitle" xfId="570" xr:uid="{71D85CA5-2FE3-458E-AEA9-E98725770D01}"/>
    <cellStyle name="FORM" xfId="140" xr:uid="{00000000-0005-0000-0000-00008C000000}"/>
    <cellStyle name="Formula" xfId="141" xr:uid="{00000000-0005-0000-0000-00008D000000}"/>
    <cellStyle name="Fr. +0_-" xfId="571" xr:uid="{E7ABA83D-B2D3-4A3C-AD69-37681B0C5CD1}"/>
    <cellStyle name="Fr. 0_-" xfId="572" xr:uid="{70C41EB3-6614-4A19-AD5A-4B00BE845B18}"/>
    <cellStyle name="Fr. 2_-" xfId="573" xr:uid="{98533F99-7A6F-4940-8736-D80DB8FA393F}"/>
    <cellStyle name="FS #" xfId="574" xr:uid="{20442E56-3C77-4439-8D25-20525DC0D264}"/>
    <cellStyle name="Good 2" xfId="575" xr:uid="{4F74F961-A41A-4E01-8472-41FECFE1A363}"/>
    <cellStyle name="Good 2 2" xfId="576" xr:uid="{B77D5964-5D63-4C66-8F62-3BDC6C38F54F}"/>
    <cellStyle name="Good 2 3" xfId="577" xr:uid="{3BD42A99-6854-4243-9F46-40DB7B85ECEC}"/>
    <cellStyle name="Good 3" xfId="578" xr:uid="{6E26728C-FDFB-4BD2-AEAC-A096A895A7B3}"/>
    <cellStyle name="Good 3 2" xfId="579" xr:uid="{14918B4C-F56F-4EA5-A107-7C960672C05A}"/>
    <cellStyle name="Good 3 3" xfId="580" xr:uid="{F81D4767-8734-4BBC-B53D-90C01F221BDE}"/>
    <cellStyle name="Good 4" xfId="581" xr:uid="{180AA208-C3AD-4E6E-9DBD-43876B702500}"/>
    <cellStyle name="Good 5" xfId="582" xr:uid="{BD06656A-BE34-40A8-A4AC-54A1F6AC7216}"/>
    <cellStyle name="Grey" xfId="142" xr:uid="{00000000-0005-0000-0000-00008E000000}"/>
    <cellStyle name="header" xfId="583" xr:uid="{7514AC50-F63F-4019-BD6D-48D8E3962021}"/>
    <cellStyle name="Header1" xfId="143" xr:uid="{00000000-0005-0000-0000-00008F000000}"/>
    <cellStyle name="Header2" xfId="144" xr:uid="{00000000-0005-0000-0000-000090000000}"/>
    <cellStyle name="Heading 1 2" xfId="584" xr:uid="{82264521-6993-4461-AF01-AACF6A728E5D}"/>
    <cellStyle name="Heading 1 2 2" xfId="585" xr:uid="{83B2686A-2430-4DA4-BBE0-96EB73CC127A}"/>
    <cellStyle name="Heading 1 2 3" xfId="586" xr:uid="{07268121-50EA-4AB7-BF3D-E1ECA582C57E}"/>
    <cellStyle name="Heading 1 3" xfId="587" xr:uid="{720B7A81-8C9F-4CED-8B40-C80C9E367DB4}"/>
    <cellStyle name="Heading 1 3 2" xfId="588" xr:uid="{544F28D5-1B99-4F9A-9E45-F1A3614DBA14}"/>
    <cellStyle name="Heading 1 3 3" xfId="589" xr:uid="{030744B2-EED3-4433-AA1A-98513CEB6822}"/>
    <cellStyle name="Heading 1 4" xfId="590" xr:uid="{BED8017E-2511-49DC-8238-2F22890F4AEF}"/>
    <cellStyle name="Heading 1 5" xfId="591" xr:uid="{C3B568EB-ECE9-465F-9C4A-EC034445F81A}"/>
    <cellStyle name="Heading 2 2" xfId="592" xr:uid="{EF029E7E-8192-4FD4-8543-319AB2A2AF42}"/>
    <cellStyle name="Heading 2 2 2" xfId="593" xr:uid="{E04102C7-2EAD-4302-95F0-59E0B06716CC}"/>
    <cellStyle name="Heading 2 2 3" xfId="594" xr:uid="{77950687-5F2C-444B-B1E6-55F279E8E374}"/>
    <cellStyle name="Heading 2 3" xfId="595" xr:uid="{96ACB96A-C92E-48A9-8046-5644AC965315}"/>
    <cellStyle name="Heading 2 3 2" xfId="596" xr:uid="{B14148D0-CD05-40C3-9C1E-8D238C8D8413}"/>
    <cellStyle name="Heading 2 3 3" xfId="597" xr:uid="{FA661235-FD6F-4336-A814-DEBA3E999C07}"/>
    <cellStyle name="Heading 2 4" xfId="598" xr:uid="{79196F94-F0E1-4319-8C51-30C6723EC39D}"/>
    <cellStyle name="Heading 2 5" xfId="599" xr:uid="{5ED5D4B2-FEBE-4D20-A700-1D8AF24782ED}"/>
    <cellStyle name="Heading 3 2" xfId="600" xr:uid="{459148D0-1CDB-4342-A3A0-BE370F867235}"/>
    <cellStyle name="Heading 3 2 2" xfId="601" xr:uid="{1A136EB3-1EDD-4D40-8CD2-83C179FE95CB}"/>
    <cellStyle name="Heading 3 2 3" xfId="602" xr:uid="{C411F50F-E7B2-420D-AC24-B81B7D336EAC}"/>
    <cellStyle name="Heading 3 3" xfId="603" xr:uid="{CD930BF1-2285-4DBD-8ED3-C4553A09F305}"/>
    <cellStyle name="Heading 3 3 2" xfId="604" xr:uid="{01E14692-1DAB-4215-88E8-EF8F407EEE08}"/>
    <cellStyle name="Heading 3 3 3" xfId="605" xr:uid="{5A07C371-BF4C-427E-900E-8507D3D8FA42}"/>
    <cellStyle name="Heading 3 4" xfId="606" xr:uid="{A9D9073B-FDCB-4B3A-883E-F2F1DB833A5F}"/>
    <cellStyle name="Heading 3 5" xfId="607" xr:uid="{3B2F533A-D487-426A-AEB1-153707E6BEB8}"/>
    <cellStyle name="Heading 4 2" xfId="608" xr:uid="{8CC3B468-DB47-4F93-B0A2-8B0841E6E0D7}"/>
    <cellStyle name="Heading 4 2 2" xfId="609" xr:uid="{DC1198A5-D051-4EFA-9B0E-5F8D17238403}"/>
    <cellStyle name="Heading 4 2 3" xfId="610" xr:uid="{65AA2D96-8D7E-4969-9611-442EB3F44EF2}"/>
    <cellStyle name="Heading 4 3" xfId="611" xr:uid="{E39C34F8-5513-46A8-B78E-169F24CAA8A1}"/>
    <cellStyle name="Heading 4 3 2" xfId="612" xr:uid="{F254E304-9078-4C71-B62E-078147503702}"/>
    <cellStyle name="Heading 4 3 3" xfId="613" xr:uid="{2E8B9A6D-6A76-487D-931E-D612D990345A}"/>
    <cellStyle name="Heading 4 4" xfId="614" xr:uid="{FBBF4F6B-ED73-4756-9F66-38FDDDD608CC}"/>
    <cellStyle name="Heading 4 5" xfId="615" xr:uid="{3545E2D9-1563-476F-856A-728A5ED4CF2D}"/>
    <cellStyle name="HEADING1" xfId="145" xr:uid="{00000000-0005-0000-0000-000091000000}"/>
    <cellStyle name="HEADING2" xfId="146" xr:uid="{00000000-0005-0000-0000-000092000000}"/>
    <cellStyle name="Hyperlink 2" xfId="147" xr:uid="{00000000-0005-0000-0000-000093000000}"/>
    <cellStyle name="Hyperlink 2 2" xfId="148" xr:uid="{00000000-0005-0000-0000-000094000000}"/>
    <cellStyle name="Hyperlink 3" xfId="149" xr:uid="{00000000-0005-0000-0000-000095000000}"/>
    <cellStyle name="Hypertextový odkaz" xfId="150" xr:uid="{00000000-0005-0000-0000-000096000000}"/>
    <cellStyle name="INCHES" xfId="151" xr:uid="{00000000-0005-0000-0000-000097000000}"/>
    <cellStyle name="Input [yellow]" xfId="152" xr:uid="{00000000-0005-0000-0000-000098000000}"/>
    <cellStyle name="Input 2" xfId="616" xr:uid="{1D8E3D69-493F-49AE-8E33-ABCC7F4A3967}"/>
    <cellStyle name="Input 2 2" xfId="617" xr:uid="{A554354A-B8D8-400D-8193-63B981DD9726}"/>
    <cellStyle name="Input 2 3" xfId="618" xr:uid="{44417E5D-91E9-4319-A13F-48B0B7F364C4}"/>
    <cellStyle name="Input 3" xfId="619" xr:uid="{BDAD5E63-23F1-4332-A559-22E1F596E9D2}"/>
    <cellStyle name="Input 3 2" xfId="620" xr:uid="{5B537081-411D-4819-A4A1-19ABF7C7C591}"/>
    <cellStyle name="Input 3 3" xfId="621" xr:uid="{FFA655A1-DA18-4424-B2D3-A9E080EEC74E}"/>
    <cellStyle name="Input 4" xfId="622" xr:uid="{8CCE31D6-2D66-4DAB-813C-A06A23996B07}"/>
    <cellStyle name="Input 5" xfId="623" xr:uid="{6F2B7C33-12A8-4D24-8DB8-0C52C3DD9946}"/>
    <cellStyle name="k" xfId="624" xr:uid="{CC76174A-AA48-488B-8105-125EBEE9F070}"/>
    <cellStyle name="L" xfId="625" xr:uid="{789C4A97-A336-4203-BCCF-A1423F038BFE}"/>
    <cellStyle name="Length" xfId="626" xr:uid="{B2B80D29-40F1-4E38-919A-BB1DA2094329}"/>
    <cellStyle name="Linked Cell 2" xfId="627" xr:uid="{732F9FFD-6766-412A-9B27-2512C1CF6D67}"/>
    <cellStyle name="Linked Cell 2 2" xfId="628" xr:uid="{A26AE24D-1D39-49B4-8447-D2412C4153DE}"/>
    <cellStyle name="Linked Cell 2 3" xfId="629" xr:uid="{0781B3F6-CEDC-45F9-A137-ABCFB039FA54}"/>
    <cellStyle name="Linked Cell 3" xfId="630" xr:uid="{AE36DB2E-28A3-47E6-9C15-5C9DEB78B8B2}"/>
    <cellStyle name="Linked Cell 3 2" xfId="631" xr:uid="{1E025607-C90F-4065-A51D-A7C0A750D0A7}"/>
    <cellStyle name="Linked Cell 3 3" xfId="632" xr:uid="{C799E54C-1F8C-4454-83F5-B44F31E59C1F}"/>
    <cellStyle name="Linked Cell 4" xfId="633" xr:uid="{4BFBFA59-436E-4EF9-93D9-45BDAE883C01}"/>
    <cellStyle name="Linked Cell 5" xfId="634" xr:uid="{225C8B18-A4B4-427B-B9F7-C5A75658B900}"/>
    <cellStyle name="Locked" xfId="153" xr:uid="{00000000-0005-0000-0000-000099000000}"/>
    <cellStyle name="M" xfId="635" xr:uid="{F5BA6721-F332-40C8-9836-2F6973BDC370}"/>
    <cellStyle name="M-0" xfId="636" xr:uid="{EA9A26D3-49EA-4B47-BAB8-4EB7FA0FA3FD}"/>
    <cellStyle name="MainDescription" xfId="637" xr:uid="{E0B76871-6798-4A78-B371-2EFEA04F5A56}"/>
    <cellStyle name="Measure" xfId="638" xr:uid="{0786D53C-8433-42C2-A15B-83EBD95952C3}"/>
    <cellStyle name="Migliaia (0)_actual" xfId="639" xr:uid="{8D3A434B-AF4D-44B4-9741-AC4189637886}"/>
    <cellStyle name="Milliers [0]_foxz" xfId="640" xr:uid="{B463ECA3-73B5-48F2-B390-5B6699093730}"/>
    <cellStyle name="Milliers_foxz" xfId="641" xr:uid="{A4F93BFC-13DB-4C9F-A078-879D3C325A45}"/>
    <cellStyle name="m-o" xfId="642" xr:uid="{E433FE68-885D-42CC-BE3A-A526F474DD3F}"/>
    <cellStyle name="Model" xfId="643" xr:uid="{2DBF84F9-B722-47B0-A830-23C79B5F6E19}"/>
    <cellStyle name="Monétaire [0]_foxz" xfId="644" xr:uid="{6D2EA14B-58D9-475D-945F-D2738E22D6AC}"/>
    <cellStyle name="Monétaire_foxz" xfId="645" xr:uid="{A20BF37D-79E0-43E5-929F-98E243C82E5A}"/>
    <cellStyle name="n" xfId="646" xr:uid="{64CEE411-8EDE-456A-9DEF-BE04F64FC7CE}"/>
    <cellStyle name="Neutral 2" xfId="647" xr:uid="{CE1B6D8B-E813-4A47-B24E-AD4372BBA6EE}"/>
    <cellStyle name="Neutral 2 2" xfId="648" xr:uid="{EC4653CA-794E-48E1-99DE-A109FE6A7908}"/>
    <cellStyle name="Neutral 2 3" xfId="649" xr:uid="{4D480B0F-F52B-409B-8538-783D910EA535}"/>
    <cellStyle name="Neutral 3" xfId="650" xr:uid="{4611B452-376B-4A39-B8A1-F1D4E4468CB5}"/>
    <cellStyle name="Neutral 3 2" xfId="651" xr:uid="{4CB61C7E-4520-41CA-ACF9-2FA031707223}"/>
    <cellStyle name="Neutral 3 3" xfId="652" xr:uid="{B379DE9E-3B02-4B69-8D60-09748C337B7A}"/>
    <cellStyle name="Neutral 4" xfId="653" xr:uid="{AACBDBB7-3FC5-4145-95BB-181240DA6375}"/>
    <cellStyle name="Neutral 5" xfId="654" xr:uid="{88094E70-339C-4A61-BC6D-6376A0C29D7D}"/>
    <cellStyle name="NEW" xfId="154" xr:uid="{00000000-0005-0000-0000-00009A000000}"/>
    <cellStyle name="no dec" xfId="155" xr:uid="{00000000-0005-0000-0000-00009B000000}"/>
    <cellStyle name="Normal" xfId="0" builtinId="0"/>
    <cellStyle name="Normal - Style1" xfId="156" xr:uid="{00000000-0005-0000-0000-00009D000000}"/>
    <cellStyle name="Normal - Style1 2" xfId="299" xr:uid="{8078C792-752A-41FE-8AC4-205DD9054052}"/>
    <cellStyle name="Normal - Style1 3" xfId="655" xr:uid="{F46FF6CE-EEC2-4584-B2C8-94508ED57D79}"/>
    <cellStyle name="Normal - Style1_Sheet1" xfId="656" xr:uid="{FAD21539-7ABA-4461-96C6-18C22070A71B}"/>
    <cellStyle name="Normal 10" xfId="157" xr:uid="{00000000-0005-0000-0000-00009E000000}"/>
    <cellStyle name="Normal 10 2" xfId="158" xr:uid="{00000000-0005-0000-0000-00009F000000}"/>
    <cellStyle name="Normal 10 2 2" xfId="267" xr:uid="{8D94FFC1-14A4-4B87-B249-51A7D0BD00F9}"/>
    <cellStyle name="Normal 10 2 3" xfId="992" xr:uid="{3BE453D0-751F-4EB4-8D2C-E4D97898F59E}"/>
    <cellStyle name="Normal 10 3" xfId="266" xr:uid="{AE6A6DC1-35B5-41DF-ABDC-A241462AA0C0}"/>
    <cellStyle name="Normal 10 4" xfId="991" xr:uid="{B60547F5-8AD5-4494-9261-E4A7829BE72D}"/>
    <cellStyle name="Normal 11" xfId="159" xr:uid="{00000000-0005-0000-0000-0000A0000000}"/>
    <cellStyle name="Normal 11 2" xfId="160" xr:uid="{00000000-0005-0000-0000-0000A1000000}"/>
    <cellStyle name="Normal 11 3" xfId="268" xr:uid="{F3294423-62CA-4CBD-AFB4-E609A1738102}"/>
    <cellStyle name="Normal 11 4" xfId="993" xr:uid="{B59A579F-9536-4D37-85EF-79D0A872A1C3}"/>
    <cellStyle name="Normal 12" xfId="161" xr:uid="{00000000-0005-0000-0000-0000A2000000}"/>
    <cellStyle name="Normal 12 2" xfId="657" xr:uid="{C1F591B8-DA31-4350-BC55-AC528FFE7E8A}"/>
    <cellStyle name="Normal 13" xfId="162" xr:uid="{00000000-0005-0000-0000-0000A3000000}"/>
    <cellStyle name="Normal 14" xfId="163" xr:uid="{00000000-0005-0000-0000-0000A4000000}"/>
    <cellStyle name="Normal 15" xfId="164" xr:uid="{00000000-0005-0000-0000-0000A5000000}"/>
    <cellStyle name="Normal 15 2" xfId="269" xr:uid="{3DE4D5F5-DE76-4651-BE43-93CE4DCAB519}"/>
    <cellStyle name="Normal 15 3" xfId="994" xr:uid="{75676A5C-1DEC-4CBD-935C-C84C2E566FE3}"/>
    <cellStyle name="Normal 16" xfId="165" xr:uid="{00000000-0005-0000-0000-0000A6000000}"/>
    <cellStyle name="Normal 16 2" xfId="270" xr:uid="{2DFAC937-A5A1-4F36-81E8-834D739B5C87}"/>
    <cellStyle name="Normal 16 3" xfId="995" xr:uid="{B3E79119-7968-44A1-8EB0-A88F178F98E5}"/>
    <cellStyle name="Normal 17" xfId="166" xr:uid="{00000000-0005-0000-0000-0000A7000000}"/>
    <cellStyle name="Normal 18" xfId="167" xr:uid="{00000000-0005-0000-0000-0000A8000000}"/>
    <cellStyle name="Normal 19" xfId="168" xr:uid="{00000000-0005-0000-0000-0000A9000000}"/>
    <cellStyle name="Normal 2" xfId="169" xr:uid="{00000000-0005-0000-0000-0000AA000000}"/>
    <cellStyle name="Normal 2 10" xfId="658" xr:uid="{2EBE493C-DD2B-4D6C-8FFC-EB97FACA2423}"/>
    <cellStyle name="Normal 2 11" xfId="659" xr:uid="{99C6DBDF-D1E9-4D11-A1F6-C59E229FDB2A}"/>
    <cellStyle name="Normal 2 12" xfId="660" xr:uid="{D7CD76C9-720A-49D1-AAF8-5B191DE4E40D}"/>
    <cellStyle name="Normal 2 13" xfId="661" xr:uid="{3FCDBF9B-DC2A-4253-8704-2A5B92C9C7AE}"/>
    <cellStyle name="Normal 2 14" xfId="662" xr:uid="{83FCEFB8-4209-4D0E-BC3C-F08EA7CF483D}"/>
    <cellStyle name="Normal 2 15" xfId="663" xr:uid="{C151707B-47BC-4B2C-96E5-10CCB4853EBD}"/>
    <cellStyle name="Normal 2 16" xfId="664" xr:uid="{3F20ED98-233C-4812-BB31-07E3F305EE1B}"/>
    <cellStyle name="Normal 2 17" xfId="665" xr:uid="{D0A7B427-BC3E-437A-83A9-FC4BD92A76F3}"/>
    <cellStyle name="Normal 2 18" xfId="666" xr:uid="{4F17A863-B2EC-4D83-988A-03B6D6B6D35D}"/>
    <cellStyle name="Normal 2 19" xfId="667" xr:uid="{451DB3B0-4D92-46A6-B56E-1B9390FF87D4}"/>
    <cellStyle name="Normal 2 2" xfId="170" xr:uid="{00000000-0005-0000-0000-0000AB000000}"/>
    <cellStyle name="Normal 2 2 2" xfId="171" xr:uid="{00000000-0005-0000-0000-0000AC000000}"/>
    <cellStyle name="Normal 2 2 3" xfId="172" xr:uid="{00000000-0005-0000-0000-0000AD000000}"/>
    <cellStyle name="Normal 2 2 4" xfId="173" xr:uid="{00000000-0005-0000-0000-0000AE000000}"/>
    <cellStyle name="Normal 2 20" xfId="668" xr:uid="{7186CF5F-6F2F-46E4-8BF3-E0037707FA01}"/>
    <cellStyle name="Normal 2 21" xfId="669" xr:uid="{8D5B2277-BF50-436D-A8DE-E4255DF161D2}"/>
    <cellStyle name="Normal 2 22" xfId="670" xr:uid="{0B81F52F-8C56-4426-B761-21D015F93DAF}"/>
    <cellStyle name="Normal 2 23" xfId="671" xr:uid="{CC56257D-3BC5-4862-B803-AAC5AA900912}"/>
    <cellStyle name="Normal 2 24" xfId="672" xr:uid="{ACBD92C2-C45C-4D5E-98C5-12F07AD64D7F}"/>
    <cellStyle name="Normal 2 25" xfId="673" xr:uid="{54A50917-6000-4144-860F-F28ED3F244D2}"/>
    <cellStyle name="Normal 2 26" xfId="674" xr:uid="{2FE23C69-4169-473E-9F59-D7E0FCDA64F5}"/>
    <cellStyle name="Normal 2 27" xfId="675" xr:uid="{566DB6CF-271E-4CE6-A5B4-0CF298A59A3B}"/>
    <cellStyle name="Normal 2 28" xfId="676" xr:uid="{C9633E91-083F-4B9A-A55C-E775B7A38BF9}"/>
    <cellStyle name="Normal 2 29" xfId="677" xr:uid="{A7ADD038-C5ED-4B6D-A451-06C374BD1EC8}"/>
    <cellStyle name="Normal 2 3" xfId="174" xr:uid="{00000000-0005-0000-0000-0000AF000000}"/>
    <cellStyle name="Normal 2 3 2" xfId="175" xr:uid="{00000000-0005-0000-0000-0000B0000000}"/>
    <cellStyle name="Normal 2 3 2 2" xfId="271" xr:uid="{D3CFA2E7-8C45-4EF8-8134-E4ABBD8EAE98}"/>
    <cellStyle name="Normal 2 3 2 3" xfId="996" xr:uid="{9D9DAEE1-8ECC-4D8F-B5D1-DD45F68E1D36}"/>
    <cellStyle name="Normal 2 30" xfId="678" xr:uid="{42DA956D-30C0-4FF3-9664-C20DAC15797A}"/>
    <cellStyle name="Normal 2 31" xfId="679" xr:uid="{6E279161-4B94-4392-91FC-FC787CAE0367}"/>
    <cellStyle name="Normal 2 32" xfId="680" xr:uid="{B9524514-D0AA-4962-90FF-75C4FEA2675E}"/>
    <cellStyle name="Normal 2 33" xfId="681" xr:uid="{F68A98E0-767D-4BE5-BDCA-7A02C1631DAE}"/>
    <cellStyle name="Normal 2 34" xfId="682" xr:uid="{1699702D-7514-4125-B4C8-0EC2ACF49B9E}"/>
    <cellStyle name="Normal 2 35" xfId="683" xr:uid="{A7239853-7EE1-464C-8B2E-186CC81B50D7}"/>
    <cellStyle name="Normal 2 36" xfId="684" xr:uid="{4A1F1406-3A30-4721-9346-0DE671F8BF77}"/>
    <cellStyle name="Normal 2 37" xfId="685" xr:uid="{FE74D3FB-8CB0-4E72-A219-B3ABF603979D}"/>
    <cellStyle name="Normal 2 38" xfId="686" xr:uid="{1D3177E4-DEBE-495B-87C8-934DB24D4542}"/>
    <cellStyle name="Normal 2 39" xfId="687" xr:uid="{F1BE77CF-9AE9-4F76-AD9E-0C6A38AE73EA}"/>
    <cellStyle name="Normal 2 4" xfId="176" xr:uid="{00000000-0005-0000-0000-0000B1000000}"/>
    <cellStyle name="Normal 2 40" xfId="688" xr:uid="{B332B64D-DCB5-4138-AC1D-59EFAC570D00}"/>
    <cellStyle name="Normal 2 41" xfId="689" xr:uid="{CB5C734F-1CD6-43DA-B91B-5B1F82C31D53}"/>
    <cellStyle name="Normal 2 42" xfId="690" xr:uid="{B65DFB73-E10D-4FBB-8901-5C93D73E8E30}"/>
    <cellStyle name="Normal 2 43" xfId="691" xr:uid="{BA83BF36-F24E-4180-9D35-5D003727C814}"/>
    <cellStyle name="Normal 2 44" xfId="692" xr:uid="{028A2F2D-3BDA-49EF-A423-28BCAC66C82C}"/>
    <cellStyle name="Normal 2 45" xfId="693" xr:uid="{2A72DE9B-4E4E-4B69-B4AB-CC5B0A0B65C0}"/>
    <cellStyle name="Normal 2 46" xfId="694" xr:uid="{E4C4A8DC-43C8-4C02-B944-C2E99BAA680F}"/>
    <cellStyle name="Normal 2 47" xfId="695" xr:uid="{BBA36415-F3C4-4F04-818F-CB1A38CAEDD1}"/>
    <cellStyle name="Normal 2 48" xfId="696" xr:uid="{8C0E0BEB-E6E5-4F67-8EF1-B47840AADC71}"/>
    <cellStyle name="Normal 2 49" xfId="697" xr:uid="{53E9B0AE-6747-49F5-8119-D5A5B7FFE311}"/>
    <cellStyle name="Normal 2 5" xfId="177" xr:uid="{00000000-0005-0000-0000-0000B2000000}"/>
    <cellStyle name="Normal 2 50" xfId="698" xr:uid="{02536CB3-B991-429F-A6B9-4D64D91F00B7}"/>
    <cellStyle name="Normal 2 51" xfId="699" xr:uid="{02626522-BDD4-4950-AEFF-2CA7B5655312}"/>
    <cellStyle name="Normal 2 52" xfId="700" xr:uid="{5CD4DAC3-D4D5-435C-9C24-561011A6C412}"/>
    <cellStyle name="Normal 2 53" xfId="701" xr:uid="{2D77DA4F-8D7D-4EFB-B1B7-EF13815C37C5}"/>
    <cellStyle name="Normal 2 54" xfId="702" xr:uid="{5C70F41F-5B61-421E-B697-C98A795A471C}"/>
    <cellStyle name="Normal 2 55" xfId="703" xr:uid="{1A5164D2-2043-421F-A8C1-2896DA7A7B2A}"/>
    <cellStyle name="Normal 2 56" xfId="704" xr:uid="{203CECE8-C361-478B-BB82-BB6639E688AE}"/>
    <cellStyle name="Normal 2 57" xfId="705" xr:uid="{1C0B657E-CED3-4860-979C-839F6B912CD8}"/>
    <cellStyle name="Normal 2 58" xfId="706" xr:uid="{FA99594F-C493-48E1-B5B7-5BF757E96E52}"/>
    <cellStyle name="Normal 2 59" xfId="707" xr:uid="{2602279A-9AEA-4545-B7B9-2C2C3E0C8A19}"/>
    <cellStyle name="Normal 2 6" xfId="178" xr:uid="{00000000-0005-0000-0000-0000B3000000}"/>
    <cellStyle name="Normal 2 60" xfId="708" xr:uid="{5B44AA71-93E7-4F4D-B3E5-59521C4C272A}"/>
    <cellStyle name="Normal 2 61" xfId="709" xr:uid="{387AA0C0-0121-4F78-AEFE-9C3E890B0102}"/>
    <cellStyle name="Normal 2 62" xfId="710" xr:uid="{66B65852-356F-40A2-8B55-5E67FF257DBB}"/>
    <cellStyle name="Normal 2 63" xfId="711" xr:uid="{A5D27D9C-962F-4860-A363-7074B154C57D}"/>
    <cellStyle name="Normal 2 64" xfId="712" xr:uid="{FADA5F4D-DAAF-43B2-9B1F-C26A04D99BA3}"/>
    <cellStyle name="Normal 2 65" xfId="713" xr:uid="{8571DD98-A964-4216-8607-8CB950B4DA0E}"/>
    <cellStyle name="Normal 2 66" xfId="714" xr:uid="{29BA3DEE-F347-4D61-A02C-39F3FAD8A223}"/>
    <cellStyle name="Normal 2 67" xfId="715" xr:uid="{474A992D-0714-47F0-8D24-98397FEF861D}"/>
    <cellStyle name="Normal 2 68" xfId="716" xr:uid="{47A41B9B-C384-4F1D-B223-A65BA466A61E}"/>
    <cellStyle name="Normal 2 69" xfId="717" xr:uid="{EA2ACC71-0908-4D12-BC0C-3A36A4A7D3BF}"/>
    <cellStyle name="Normal 2 7" xfId="179" xr:uid="{00000000-0005-0000-0000-0000B4000000}"/>
    <cellStyle name="Normal 2 70" xfId="718" xr:uid="{C1C6EE33-58DA-4657-8CC3-79639ECBB70D}"/>
    <cellStyle name="Normal 2 71" xfId="719" xr:uid="{D3898018-08AA-4BCE-8BD0-A9C90D7ECF78}"/>
    <cellStyle name="Normal 2 72" xfId="720" xr:uid="{CA83DEDB-8078-4455-8E23-D312451E05B9}"/>
    <cellStyle name="Normal 2 73" xfId="721" xr:uid="{EED3AACA-D9E3-4949-9DF6-7987C31B1353}"/>
    <cellStyle name="Normal 2 74" xfId="722" xr:uid="{D6C3EB13-EAF4-4582-B6ED-1E50B7C55AA7}"/>
    <cellStyle name="Normal 2 75" xfId="723" xr:uid="{D2C0E404-2F46-4B82-9349-EBE9DF750F3D}"/>
    <cellStyle name="Normal 2 76" xfId="724" xr:uid="{96AB90FE-BDAE-4C84-B967-1C649A388836}"/>
    <cellStyle name="Normal 2 77" xfId="725" xr:uid="{DBAF7B25-A0BF-400C-A0DC-AA107FFB81B3}"/>
    <cellStyle name="Normal 2 78" xfId="726" xr:uid="{41B256BE-A531-4A3B-8787-CB9A96657069}"/>
    <cellStyle name="Normal 2 79" xfId="727" xr:uid="{E0B4E573-7162-41D0-AEE4-35EA88282DA9}"/>
    <cellStyle name="Normal 2 8" xfId="180" xr:uid="{00000000-0005-0000-0000-0000B5000000}"/>
    <cellStyle name="Normal 2 80" xfId="728" xr:uid="{5BBDE16A-7423-40A2-A9C2-34794D3C2EE6}"/>
    <cellStyle name="Normal 2 80 2" xfId="1009" xr:uid="{265D51FA-2A7F-4AAD-A4F2-7F6CE0CB57EF}"/>
    <cellStyle name="Normal 2 81" xfId="729" xr:uid="{3EA8CB71-CE48-4ADE-A458-22E080E1E512}"/>
    <cellStyle name="Normal 2 9" xfId="181" xr:uid="{00000000-0005-0000-0000-0000B6000000}"/>
    <cellStyle name="Normal 2_Sheet1" xfId="730" xr:uid="{C0BF15F7-B770-4548-987A-B7B294EB35E0}"/>
    <cellStyle name="Normal 20" xfId="182" xr:uid="{00000000-0005-0000-0000-0000B7000000}"/>
    <cellStyle name="Normal 21" xfId="183" xr:uid="{00000000-0005-0000-0000-0000B8000000}"/>
    <cellStyle name="Normal 22" xfId="283" xr:uid="{735FD9FC-B122-44A6-A9E2-905F5CA822F3}"/>
    <cellStyle name="Normal 23" xfId="285" xr:uid="{60F3B5CD-FFE6-462C-8F98-C7D5D29D46F8}"/>
    <cellStyle name="Normal 24" xfId="297" xr:uid="{E26E83E8-C9B2-4A46-851E-4369E979A291}"/>
    <cellStyle name="Normal 24 2" xfId="1007" xr:uid="{021ACC07-816E-45D5-BA85-319DAB86BAD7}"/>
    <cellStyle name="Normal 25" xfId="300" xr:uid="{E986E5D0-4366-42E4-BA13-6C3E5D9BF291}"/>
    <cellStyle name="Normal 26" xfId="969" xr:uid="{C985FAD9-F02F-41E1-A1DC-885651A6D3DE}"/>
    <cellStyle name="Normal 28" xfId="1010" xr:uid="{ABA80205-79CB-4E65-BAEC-BD23C5BB7BBC}"/>
    <cellStyle name="Normal 3" xfId="184" xr:uid="{00000000-0005-0000-0000-0000B9000000}"/>
    <cellStyle name="Normal 3 10" xfId="731" xr:uid="{FD5360C8-5B6E-4572-BA7E-A4D3290160AA}"/>
    <cellStyle name="Normal 3 11" xfId="732" xr:uid="{264E9E06-6394-4080-A349-D101F4AB0C3A}"/>
    <cellStyle name="Normal 3 12" xfId="733" xr:uid="{DFD062E3-2995-4C23-B3B3-B6E01213B250}"/>
    <cellStyle name="Normal 3 13" xfId="734" xr:uid="{07733621-741A-4B89-BEE4-AB5CA67B20D7}"/>
    <cellStyle name="Normal 3 14" xfId="735" xr:uid="{7828B396-D27F-4B7C-99CB-E7F4F34FB41A}"/>
    <cellStyle name="Normal 3 15" xfId="736" xr:uid="{B596C0DE-AF1B-4BA1-9D0A-20B61785E34B}"/>
    <cellStyle name="Normal 3 16" xfId="737" xr:uid="{D780E93A-9114-47B0-9B31-F8B579F5C110}"/>
    <cellStyle name="Normal 3 17" xfId="738" xr:uid="{38624548-C54A-4F6F-A415-37CEC6AA5255}"/>
    <cellStyle name="Normal 3 18" xfId="739" xr:uid="{893A64EB-5D45-43FA-995A-6919A1E9516D}"/>
    <cellStyle name="Normal 3 19" xfId="740" xr:uid="{CB81EA1A-3591-4149-B88B-AD0A42B22328}"/>
    <cellStyle name="Normal 3 2" xfId="185" xr:uid="{00000000-0005-0000-0000-0000BA000000}"/>
    <cellStyle name="Normal 3 2 2" xfId="186" xr:uid="{00000000-0005-0000-0000-0000BB000000}"/>
    <cellStyle name="Normal 3 2 2 2" xfId="273" xr:uid="{CE9C7832-B652-461D-8BEA-A0C32E1BC956}"/>
    <cellStyle name="Normal 3 2 2 3" xfId="998" xr:uid="{74B0BD7A-8115-4876-896E-07D9327A46E8}"/>
    <cellStyle name="Normal 3 2 3" xfId="187" xr:uid="{00000000-0005-0000-0000-0000BC000000}"/>
    <cellStyle name="Normal 3 2 4" xfId="272" xr:uid="{C2A84E0C-1443-433E-93CA-4D378CF59573}"/>
    <cellStyle name="Normal 3 2 5" xfId="997" xr:uid="{BFC84F7C-4867-4809-9A0A-EED8A1752CCD}"/>
    <cellStyle name="Normal 3 20" xfId="741" xr:uid="{1716B818-265B-49BE-8D25-D2E491B51384}"/>
    <cellStyle name="Normal 3 21" xfId="742" xr:uid="{B5CFCEC6-8952-44C9-8C83-FD9704706AC2}"/>
    <cellStyle name="Normal 3 22" xfId="743" xr:uid="{36BCE61D-2471-4382-A4C7-4380F646E9B9}"/>
    <cellStyle name="Normal 3 23" xfId="744" xr:uid="{CCD68E1A-7AD9-4D99-A73D-DBEA4286129C}"/>
    <cellStyle name="Normal 3 24" xfId="745" xr:uid="{6CDF56B3-D115-4601-8B81-8283DDA3E63D}"/>
    <cellStyle name="Normal 3 25" xfId="746" xr:uid="{BEDBBBDA-0D78-4F75-B862-678A96E58A28}"/>
    <cellStyle name="Normal 3 26" xfId="747" xr:uid="{976AAC4F-FB32-41E9-BA06-67C59C3D0B01}"/>
    <cellStyle name="Normal 3 27" xfId="748" xr:uid="{B44BA0D9-8653-4A28-8AFC-4D4F39DE217E}"/>
    <cellStyle name="Normal 3 28" xfId="749" xr:uid="{01148E28-FC82-4671-B6F3-A17A686B99CC}"/>
    <cellStyle name="Normal 3 29" xfId="750" xr:uid="{D9F64A75-27BE-4B0B-A924-9278943A66B1}"/>
    <cellStyle name="Normal 3 3" xfId="188" xr:uid="{00000000-0005-0000-0000-0000BD000000}"/>
    <cellStyle name="Normal 3 3 2" xfId="274" xr:uid="{81A70EAC-D767-491C-B018-1D58B80194F2}"/>
    <cellStyle name="Normal 3 3 3" xfId="999" xr:uid="{167E0681-E1BE-43F2-AF3F-47EB172C7C66}"/>
    <cellStyle name="Normal 3 30" xfId="751" xr:uid="{ABB8FA1E-5FA5-4D21-B595-781513F38F31}"/>
    <cellStyle name="Normal 3 31" xfId="752" xr:uid="{CD3CD6F7-EFDA-49CA-8148-C043C9398AD8}"/>
    <cellStyle name="Normal 3 32" xfId="753" xr:uid="{98F90EE0-6599-4FA4-AB4E-1A13EB2B1908}"/>
    <cellStyle name="Normal 3 33" xfId="754" xr:uid="{75D646AD-9A61-4194-B882-33EEBE7492F9}"/>
    <cellStyle name="Normal 3 34" xfId="755" xr:uid="{15460A52-1604-445B-A85E-36A775F22BD9}"/>
    <cellStyle name="Normal 3 35" xfId="756" xr:uid="{DFECBD30-5C9B-47B7-9722-4310C815EED6}"/>
    <cellStyle name="Normal 3 36" xfId="757" xr:uid="{448B4A55-B629-4936-A244-0127007FA5F1}"/>
    <cellStyle name="Normal 3 37" xfId="758" xr:uid="{813E6005-C6AE-4E57-AD50-01BF30E9E5E3}"/>
    <cellStyle name="Normal 3 38" xfId="759" xr:uid="{7443DFC6-732C-4E3E-96F5-656F36854A3C}"/>
    <cellStyle name="Normal 3 39" xfId="760" xr:uid="{055D5D5E-9585-4C8C-9426-64A881CA64AC}"/>
    <cellStyle name="Normal 3 4" xfId="761" xr:uid="{3BA9218E-E816-4A37-87D6-EDB9B7F67D62}"/>
    <cellStyle name="Normal 3 40" xfId="762" xr:uid="{FBD12DED-3B1D-4078-AF62-1A82D477989B}"/>
    <cellStyle name="Normal 3 41" xfId="763" xr:uid="{6838D656-3615-4903-9C31-A2D57F4835D3}"/>
    <cellStyle name="Normal 3 42" xfId="764" xr:uid="{2B09EA39-AC11-40DC-9FAF-D5904FF5DDE3}"/>
    <cellStyle name="Normal 3 43" xfId="765" xr:uid="{8128CC59-30C5-4523-A9B0-38472428AC03}"/>
    <cellStyle name="Normal 3 44" xfId="766" xr:uid="{C7732396-FF17-40A1-9D46-9196CEE34BC3}"/>
    <cellStyle name="Normal 3 45" xfId="767" xr:uid="{02C79DA6-FF13-4C60-91CE-76FF1EDD0989}"/>
    <cellStyle name="Normal 3 46" xfId="768" xr:uid="{ECBF1F86-812F-4F13-AA27-2C8A502E14AD}"/>
    <cellStyle name="Normal 3 47" xfId="769" xr:uid="{5A57CB4E-9379-4EB7-9BEE-638B6F368779}"/>
    <cellStyle name="Normal 3 48" xfId="770" xr:uid="{C4BB23A6-1A1B-4035-BE80-D6E77F16DFE5}"/>
    <cellStyle name="Normal 3 49" xfId="771" xr:uid="{2BA2C788-DBCC-4833-8C3F-449B6236C722}"/>
    <cellStyle name="Normal 3 5" xfId="772" xr:uid="{95056A1F-9844-4877-AC82-2E58AA693837}"/>
    <cellStyle name="Normal 3 50" xfId="773" xr:uid="{884B1FFF-97C0-41F5-9C0D-6EA9A187D3BB}"/>
    <cellStyle name="Normal 3 51" xfId="774" xr:uid="{5ED91CAA-F669-4C4E-B866-EE780ED3F54C}"/>
    <cellStyle name="Normal 3 52" xfId="775" xr:uid="{21038AB1-34DC-4E1B-9AC0-0DB488E8174C}"/>
    <cellStyle name="Normal 3 53" xfId="776" xr:uid="{5B6D8B9E-045B-4CE9-9154-07ABB2B4A094}"/>
    <cellStyle name="Normal 3 54" xfId="777" xr:uid="{2BB241F3-7F14-4FF0-99DA-9E8291E9ABFC}"/>
    <cellStyle name="Normal 3 55" xfId="778" xr:uid="{741470AE-3D55-4714-B370-2ABA45752FA2}"/>
    <cellStyle name="Normal 3 56" xfId="779" xr:uid="{949F586C-EEB1-413C-B30E-54982743CB32}"/>
    <cellStyle name="Normal 3 57" xfId="780" xr:uid="{9C02318F-8DB1-4FBD-A75A-97A174E1CF57}"/>
    <cellStyle name="Normal 3 58" xfId="781" xr:uid="{4336E855-5411-4E86-B00B-11D35AC3F81B}"/>
    <cellStyle name="Normal 3 59" xfId="782" xr:uid="{5FEBE038-DBD1-4925-9A55-9A4D7898C6A7}"/>
    <cellStyle name="Normal 3 6" xfId="783" xr:uid="{62B3131F-F948-4AC2-B290-74540BC7167F}"/>
    <cellStyle name="Normal 3 60" xfId="784" xr:uid="{40B756C7-83C3-48F4-8F55-7B101BC13C12}"/>
    <cellStyle name="Normal 3 61" xfId="785" xr:uid="{1C4D59BA-2B22-4143-A28A-979F48656807}"/>
    <cellStyle name="Normal 3 62" xfId="786" xr:uid="{5D5151F3-374F-45C7-BD37-AA621B587ECE}"/>
    <cellStyle name="Normal 3 63" xfId="787" xr:uid="{5B175493-2DDB-4FC0-92C0-B9F0F36902C1}"/>
    <cellStyle name="Normal 3 64" xfId="788" xr:uid="{B6BD312F-D673-40A0-9010-75A1DFC76BAC}"/>
    <cellStyle name="Normal 3 65" xfId="789" xr:uid="{05A4FDA6-1BA0-4315-B1A2-86BBA0A0B2CE}"/>
    <cellStyle name="Normal 3 66" xfId="790" xr:uid="{7BAB0D49-6B62-4185-82DC-CD6549B27FB3}"/>
    <cellStyle name="Normal 3 67" xfId="791" xr:uid="{37E41534-ACCC-472B-8871-4C79D6D2F6AC}"/>
    <cellStyle name="Normal 3 68" xfId="792" xr:uid="{F1BA6800-E30C-4800-9238-D0A65413FEC0}"/>
    <cellStyle name="Normal 3 69" xfId="793" xr:uid="{359E8DF5-FCF6-4244-B22F-8C8E8A9E2C2A}"/>
    <cellStyle name="Normal 3 7" xfId="794" xr:uid="{0667AB37-5DF7-4EB7-B41C-16DBF33B2DFE}"/>
    <cellStyle name="Normal 3 70" xfId="795" xr:uid="{83DC88F7-98D4-4D3A-934E-F9B5CD47D9CA}"/>
    <cellStyle name="Normal 3 71" xfId="796" xr:uid="{699B6CE3-04F3-4D01-85DC-9DC6411FCFC3}"/>
    <cellStyle name="Normal 3 72" xfId="797" xr:uid="{426D6A96-296D-4A25-874B-B6EC4285FA36}"/>
    <cellStyle name="Normal 3 73" xfId="798" xr:uid="{C6555D06-3C85-4014-BA9C-641D744B34EE}"/>
    <cellStyle name="Normal 3 74" xfId="799" xr:uid="{68C7A1E2-9BD0-48FF-A452-CDCCD0B56BB7}"/>
    <cellStyle name="Normal 3 75" xfId="800" xr:uid="{DB79FE01-18DA-4A1D-982A-A77650C821E0}"/>
    <cellStyle name="Normal 3 76" xfId="801" xr:uid="{1D999651-21A1-4C08-B118-70EB2C82B125}"/>
    <cellStyle name="Normal 3 77" xfId="802" xr:uid="{792E5AFD-722D-47CA-AA22-2A26ED69EBB8}"/>
    <cellStyle name="Normal 3 78" xfId="803" xr:uid="{967141B0-BDDC-4DF8-8D7B-46E52A9503CB}"/>
    <cellStyle name="Normal 3 79" xfId="804" xr:uid="{D53C97BD-0E8B-46E8-B499-78750111B3AF}"/>
    <cellStyle name="Normal 3 8" xfId="805" xr:uid="{F4D961AB-65BE-4BC6-ACDD-5E9FCEF84CD7}"/>
    <cellStyle name="Normal 3 9" xfId="806" xr:uid="{23186AA7-54B7-4165-93A5-62AFDBEBF454}"/>
    <cellStyle name="Normal 3_Sheet1" xfId="807" xr:uid="{B42C7C2E-F49D-4E32-824F-AD0CE42872F2}"/>
    <cellStyle name="Normal 31" xfId="189" xr:uid="{00000000-0005-0000-0000-0000BE000000}"/>
    <cellStyle name="Normal 31 2" xfId="275" xr:uid="{5762C841-73FF-4A24-AFB2-9CDF4FC9FE19}"/>
    <cellStyle name="Normal 31 3" xfId="1000" xr:uid="{C17881BF-3793-43FF-923B-F803B8D3DEF7}"/>
    <cellStyle name="Normal 4" xfId="190" xr:uid="{00000000-0005-0000-0000-0000BF000000}"/>
    <cellStyle name="Normal 4 2" xfId="191" xr:uid="{00000000-0005-0000-0000-0000C0000000}"/>
    <cellStyle name="Normal 4 2 2" xfId="192" xr:uid="{00000000-0005-0000-0000-0000C1000000}"/>
    <cellStyle name="Normal 4 2 3" xfId="276" xr:uid="{B3400C06-0284-4DCE-BF3C-E46A81B2BC13}"/>
    <cellStyle name="Normal 4 2 4" xfId="1001" xr:uid="{D1E79EFE-05B7-42D6-A340-73F83079AFDB}"/>
    <cellStyle name="Normal 4_Sheet1" xfId="808" xr:uid="{E091D364-9589-4F61-812C-994C858657A4}"/>
    <cellStyle name="Normal 5" xfId="193" xr:uid="{00000000-0005-0000-0000-0000C2000000}"/>
    <cellStyle name="Normal 5 10" xfId="809" xr:uid="{2904CB63-0646-4AB3-8BE2-39BDC8CE5244}"/>
    <cellStyle name="Normal 5 11" xfId="810" xr:uid="{E20AF5BF-BBB5-4B9B-B9F6-FF4A618F26F2}"/>
    <cellStyle name="Normal 5 12" xfId="811" xr:uid="{61E008E3-E14A-4C44-BDE9-ABE5E09FF6CB}"/>
    <cellStyle name="Normal 5 13" xfId="812" xr:uid="{9099E8E8-93B6-4BCA-B05A-A3DE9778A3CC}"/>
    <cellStyle name="Normal 5 14" xfId="813" xr:uid="{BFC74261-19CA-4EA6-AD20-CB5E215AC352}"/>
    <cellStyle name="Normal 5 15" xfId="814" xr:uid="{DCB3BBDE-8E78-48C6-9BC6-DF132E9009B8}"/>
    <cellStyle name="Normal 5 16" xfId="815" xr:uid="{E8A521D8-BDEF-43B8-B175-439D14CC35C8}"/>
    <cellStyle name="Normal 5 17" xfId="816" xr:uid="{D6935285-6BF9-44AE-9506-08C9B045BB50}"/>
    <cellStyle name="Normal 5 18" xfId="817" xr:uid="{C19C0253-B4EF-4105-B163-F2D421D17C70}"/>
    <cellStyle name="Normal 5 19" xfId="818" xr:uid="{F97FD51B-3AE5-410B-8D2D-4F2E6703E8BD}"/>
    <cellStyle name="Normal 5 2" xfId="194" xr:uid="{00000000-0005-0000-0000-0000C3000000}"/>
    <cellStyle name="Normal 5 20" xfId="819" xr:uid="{8285167F-1212-4816-818B-7AD1A94C6F01}"/>
    <cellStyle name="Normal 5 21" xfId="820" xr:uid="{E5D7D0BC-DD0F-4812-A790-1AF14470CB64}"/>
    <cellStyle name="Normal 5 22" xfId="821" xr:uid="{DC96B2D3-903A-4D5C-A295-59B42AA20F6C}"/>
    <cellStyle name="Normal 5 23" xfId="822" xr:uid="{0E67DD70-B1A7-4371-BD61-2A59F256A49D}"/>
    <cellStyle name="Normal 5 24" xfId="823" xr:uid="{0775B67A-E5B3-43EA-A384-6B597FD13A15}"/>
    <cellStyle name="Normal 5 25" xfId="824" xr:uid="{5C9154BB-BA69-4257-B9FA-D80B6306A960}"/>
    <cellStyle name="Normal 5 26" xfId="825" xr:uid="{D6E34E59-4BCA-4C99-860C-101207A3F91C}"/>
    <cellStyle name="Normal 5 27" xfId="826" xr:uid="{C058A4C1-996A-469F-998B-21CD5B2C164B}"/>
    <cellStyle name="Normal 5 28" xfId="827" xr:uid="{BE1554A5-E392-4633-95FC-61915C1A9C06}"/>
    <cellStyle name="Normal 5 29" xfId="828" xr:uid="{EA0BE2FC-D35E-4BE9-96AF-AE5635118F4F}"/>
    <cellStyle name="Normal 5 3" xfId="195" xr:uid="{00000000-0005-0000-0000-0000C4000000}"/>
    <cellStyle name="Normal 5 30" xfId="829" xr:uid="{A6D6E5D6-1827-45CA-AFA1-0541B1B34F2E}"/>
    <cellStyle name="Normal 5 31" xfId="830" xr:uid="{BAFFD1A7-C0C3-49A8-9B68-6030715FE767}"/>
    <cellStyle name="Normal 5 32" xfId="831" xr:uid="{335EA3F5-9DFA-4742-8A6E-325D51E84905}"/>
    <cellStyle name="Normal 5 33" xfId="832" xr:uid="{189C187E-5BCF-4879-92D2-5D93C3C10940}"/>
    <cellStyle name="Normal 5 34" xfId="833" xr:uid="{C339BA9D-1F28-4F72-A3C4-53A4763C828F}"/>
    <cellStyle name="Normal 5 35" xfId="834" xr:uid="{8E8F5012-78D7-43B2-BC58-3397DCC71B41}"/>
    <cellStyle name="Normal 5 36" xfId="835" xr:uid="{730143D8-6B4B-4024-8DDD-88C928681691}"/>
    <cellStyle name="Normal 5 37" xfId="836" xr:uid="{FE063D13-5197-4854-A3C9-7E81F19453D3}"/>
    <cellStyle name="Normal 5 38" xfId="837" xr:uid="{6B8C08D0-A17B-439B-A5B8-AC0AEC9C9FB9}"/>
    <cellStyle name="Normal 5 39" xfId="838" xr:uid="{FE7F30C0-D607-45C4-82A6-39CE29609570}"/>
    <cellStyle name="Normal 5 4" xfId="196" xr:uid="{00000000-0005-0000-0000-0000C5000000}"/>
    <cellStyle name="Normal 5 4 2" xfId="277" xr:uid="{4AE1065A-6AF8-482C-8AE0-DA8E05E075CF}"/>
    <cellStyle name="Normal 5 4 3" xfId="1002" xr:uid="{1998C69F-15A2-4CEB-9204-6F54D0B03089}"/>
    <cellStyle name="Normal 5 40" xfId="839" xr:uid="{8AB40D7C-30B2-46E2-B84C-4ABA2D7B1173}"/>
    <cellStyle name="Normal 5 41" xfId="840" xr:uid="{A325C3A1-AE55-449C-B3CF-0F51A6898374}"/>
    <cellStyle name="Normal 5 42" xfId="841" xr:uid="{1B86FAA6-2209-4C6A-9A5D-5BD71E7D1496}"/>
    <cellStyle name="Normal 5 43" xfId="842" xr:uid="{2001B593-A14E-4A83-A5C8-7B191B73FCC7}"/>
    <cellStyle name="Normal 5 44" xfId="843" xr:uid="{1DDA8C56-E80C-41AE-A477-EDA0776EDE6C}"/>
    <cellStyle name="Normal 5 45" xfId="844" xr:uid="{F352C457-CB03-4906-878D-C8E8C3744F3F}"/>
    <cellStyle name="Normal 5 46" xfId="845" xr:uid="{66BEE72C-4063-4D49-8DEA-2CA6EDD8EFCE}"/>
    <cellStyle name="Normal 5 47" xfId="846" xr:uid="{864748FA-8F8D-4935-B84F-827932397020}"/>
    <cellStyle name="Normal 5 48" xfId="847" xr:uid="{66E64C92-B714-4C72-99E2-75785558E0F9}"/>
    <cellStyle name="Normal 5 49" xfId="848" xr:uid="{F54B84A8-37F5-4A26-9F14-7CE4BDE2EB9A}"/>
    <cellStyle name="Normal 5 5" xfId="849" xr:uid="{F364BEA8-16C5-4A06-B5D8-1456261ED727}"/>
    <cellStyle name="Normal 5 50" xfId="850" xr:uid="{C4079124-19A7-43E0-AD13-796AC5056421}"/>
    <cellStyle name="Normal 5 51" xfId="851" xr:uid="{E3749DE8-2724-429D-9E2F-DCD75993DB91}"/>
    <cellStyle name="Normal 5 52" xfId="852" xr:uid="{1F55F56E-30C9-4A39-8236-71100AE1E0A0}"/>
    <cellStyle name="Normal 5 53" xfId="853" xr:uid="{D9ECB76A-8A31-45D5-AB67-362D1221B4D9}"/>
    <cellStyle name="Normal 5 54" xfId="854" xr:uid="{D8EE2B7B-36B4-45DA-81EC-23F25680F742}"/>
    <cellStyle name="Normal 5 55" xfId="855" xr:uid="{DC8F6ADC-D49D-47C3-A3D8-DB37E635AD21}"/>
    <cellStyle name="Normal 5 56" xfId="856" xr:uid="{CE80A445-48B2-459A-BA61-8F92554E1341}"/>
    <cellStyle name="Normal 5 57" xfId="857" xr:uid="{C89644E3-4A71-4D17-9CAD-EC79EA1989BE}"/>
    <cellStyle name="Normal 5 58" xfId="858" xr:uid="{7C257194-9707-4F66-A73A-AC599F6E3872}"/>
    <cellStyle name="Normal 5 59" xfId="859" xr:uid="{1B8E834A-C90F-4535-81B3-E6A83552B19E}"/>
    <cellStyle name="Normal 5 6" xfId="860" xr:uid="{6E40E166-B933-4E6B-A279-C356D373A124}"/>
    <cellStyle name="Normal 5 60" xfId="861" xr:uid="{35073C8D-AB8F-4155-951C-0D5BF71EDC2C}"/>
    <cellStyle name="Normal 5 61" xfId="862" xr:uid="{882812FA-EA3F-4028-8B31-C02173177949}"/>
    <cellStyle name="Normal 5 62" xfId="863" xr:uid="{C76BA519-7596-4C89-8491-9B50EFA03470}"/>
    <cellStyle name="Normal 5 63" xfId="864" xr:uid="{96135EDD-2AF2-4EDA-9521-199E2DAD2662}"/>
    <cellStyle name="Normal 5 64" xfId="865" xr:uid="{4302985F-512D-4ABD-A336-8D36580EE808}"/>
    <cellStyle name="Normal 5 65" xfId="866" xr:uid="{F7A95256-1DFB-4089-81FD-48A65992B6CF}"/>
    <cellStyle name="Normal 5 66" xfId="867" xr:uid="{E5D94F48-3FF2-4BDE-BB7B-187B5C51BDE9}"/>
    <cellStyle name="Normal 5 67" xfId="868" xr:uid="{29CA677B-8C2D-4FD1-B0D2-43B180A10C84}"/>
    <cellStyle name="Normal 5 68" xfId="869" xr:uid="{29BFDB8A-FB41-459D-BE97-90C9FAB875CF}"/>
    <cellStyle name="Normal 5 69" xfId="870" xr:uid="{1C6F1DED-4396-4DD5-AB36-BAA254A0A0BF}"/>
    <cellStyle name="Normal 5 7" xfId="871" xr:uid="{2AD44781-5689-473F-A304-F5FE645FDCA8}"/>
    <cellStyle name="Normal 5 70" xfId="872" xr:uid="{89A31409-D159-4831-B978-26C5B2985345}"/>
    <cellStyle name="Normal 5 71" xfId="873" xr:uid="{75B14949-211F-499E-BB12-505117088D16}"/>
    <cellStyle name="Normal 5 72" xfId="874" xr:uid="{9B7593D1-04F3-4CB8-B88A-65104BB425AE}"/>
    <cellStyle name="Normal 5 73" xfId="875" xr:uid="{E76A6CF3-5980-4B1F-87FE-3F7D38522D4C}"/>
    <cellStyle name="Normal 5 74" xfId="876" xr:uid="{63358B1A-0407-476D-9B5A-E043ABD77263}"/>
    <cellStyle name="Normal 5 75" xfId="877" xr:uid="{D3CE9A86-8BCB-42F4-A214-331225F3CF9D}"/>
    <cellStyle name="Normal 5 76" xfId="878" xr:uid="{1DD62CE7-A27D-4EC1-A6BD-504A84243C62}"/>
    <cellStyle name="Normal 5 77" xfId="879" xr:uid="{0015116D-5109-4990-AEDE-2ABCE6D32DC6}"/>
    <cellStyle name="Normal 5 78" xfId="880" xr:uid="{0361200D-6E74-4688-87A7-CFDB1381EE06}"/>
    <cellStyle name="Normal 5 8" xfId="881" xr:uid="{3860D88A-522C-41BF-AC4B-755545928F17}"/>
    <cellStyle name="Normal 5 9" xfId="882" xr:uid="{43E4ED00-7873-408B-BDE8-2A08103E8C42}"/>
    <cellStyle name="Normal 6" xfId="197" xr:uid="{00000000-0005-0000-0000-0000C6000000}"/>
    <cellStyle name="Normal 6 4" xfId="198" xr:uid="{00000000-0005-0000-0000-0000C7000000}"/>
    <cellStyle name="Normal 7" xfId="199" xr:uid="{00000000-0005-0000-0000-0000C8000000}"/>
    <cellStyle name="Normal 7 2" xfId="200" xr:uid="{00000000-0005-0000-0000-0000C9000000}"/>
    <cellStyle name="Normal 7 3" xfId="201" xr:uid="{00000000-0005-0000-0000-0000CA000000}"/>
    <cellStyle name="Normal 7 3 2" xfId="278" xr:uid="{365671C4-386B-4586-95F8-E8DA23846205}"/>
    <cellStyle name="Normal 7 3 3" xfId="1003" xr:uid="{C8ADE898-F8F4-4759-8F92-5620F29E63A7}"/>
    <cellStyle name="Normal 8" xfId="202" xr:uid="{00000000-0005-0000-0000-0000CB000000}"/>
    <cellStyle name="Normal 8 2" xfId="203" xr:uid="{00000000-0005-0000-0000-0000CC000000}"/>
    <cellStyle name="Normal 9" xfId="204" xr:uid="{00000000-0005-0000-0000-0000CD000000}"/>
    <cellStyle name="Normal 9 2" xfId="205" xr:uid="{00000000-0005-0000-0000-0000CE000000}"/>
    <cellStyle name="Normal 9 3" xfId="206" xr:uid="{00000000-0005-0000-0000-0000CF000000}"/>
    <cellStyle name="Normal 9 3 2" xfId="280" xr:uid="{7AEEC840-88E9-4B13-8C4C-DA6DB1B8CB32}"/>
    <cellStyle name="Normal 9 3 3" xfId="1005" xr:uid="{B4B0F7EA-9CA9-4EB4-B886-DCFEF0CBF8D2}"/>
    <cellStyle name="Normal 9 4" xfId="279" xr:uid="{348246AB-E684-49CA-BCA5-0EAA1A7779CD}"/>
    <cellStyle name="Normal 9 5" xfId="1004" xr:uid="{C134AEB3-C9C6-44DF-B3D3-7765E95545D8}"/>
    <cellStyle name="Normale_Aperture - aree Roma" xfId="883" xr:uid="{A0EE28EC-249A-4B9A-945F-66ECF8CE27BE}"/>
    <cellStyle name="Note 2" xfId="884" xr:uid="{AFD44AF8-55D7-4C64-AE73-0A94178B4338}"/>
    <cellStyle name="Note 2 2" xfId="885" xr:uid="{8C0D4839-BFD4-4352-85CE-F507A0ED96D2}"/>
    <cellStyle name="Note 2 3" xfId="886" xr:uid="{C60E86CC-B7E6-4832-95F5-4CA7C26892A2}"/>
    <cellStyle name="Note 3" xfId="887" xr:uid="{EB39E4D2-B95E-42C8-8F0B-4015DBAE59AB}"/>
    <cellStyle name="Note 3 2" xfId="888" xr:uid="{77F57C7E-DDC9-4330-845E-83E653816CA2}"/>
    <cellStyle name="Note 3 3" xfId="889" xr:uid="{C3CDE086-8070-4502-8236-9E221B329CE3}"/>
    <cellStyle name="Note 4" xfId="890" xr:uid="{1CCB790A-3F39-4219-A3E8-46DE75517C06}"/>
    <cellStyle name="Note 5" xfId="891" xr:uid="{2D3E7283-DDA7-4074-8787-7806667DAC5B}"/>
    <cellStyle name="Nr" xfId="892" xr:uid="{17A45C8F-8610-4BB3-BFCF-247B53B0B287}"/>
    <cellStyle name="Numb" xfId="893" xr:uid="{24541614-D763-4421-9139-6F575FA00F2E}"/>
    <cellStyle name="Œ…‹æØ‚è [0.00]_laroux" xfId="894" xr:uid="{DBF159EA-D833-4605-A4A8-B8FADD52239C}"/>
    <cellStyle name="Œ…‹æØ‚è_laroux" xfId="895" xr:uid="{01315054-8255-4BBC-8928-FC2BC745F0AB}"/>
    <cellStyle name="Ohne F" xfId="896" xr:uid="{82799F2C-4725-4A5D-B5ED-B8A1D6DA327A}"/>
    <cellStyle name="Ohne F 2" xfId="897" xr:uid="{60FCAAF6-CA8D-46C4-B24A-6711B33D5A7C}"/>
    <cellStyle name="Output 2" xfId="898" xr:uid="{19BBED8F-C918-4F22-9BA3-5C8BAC332A36}"/>
    <cellStyle name="Output 2 2" xfId="899" xr:uid="{FA413830-1AB7-413B-9EB7-1DF43B1A7613}"/>
    <cellStyle name="Output 2 3" xfId="900" xr:uid="{88F1623C-4424-4DB4-9B7E-98AA7EF9DC9D}"/>
    <cellStyle name="Output 3" xfId="901" xr:uid="{85F93BCB-A940-4981-BACA-437D266B4BB3}"/>
    <cellStyle name="Output 3 2" xfId="902" xr:uid="{D476600B-EE23-4733-9F26-37954D1AC92B}"/>
    <cellStyle name="Output 3 3" xfId="903" xr:uid="{3B457A82-43FD-4250-831B-BC6B8AD15133}"/>
    <cellStyle name="Output 4" xfId="904" xr:uid="{779DF235-6F05-4D07-B7D5-55EF9F16D816}"/>
    <cellStyle name="Output 5" xfId="905" xr:uid="{E7EAD4CC-3DC7-4832-967D-EA55376F7E07}"/>
    <cellStyle name="Percent" xfId="207" builtinId="5"/>
    <cellStyle name="Percent [2]" xfId="208" xr:uid="{00000000-0005-0000-0000-0000D2000000}"/>
    <cellStyle name="Percent [2] 2" xfId="906" xr:uid="{06C2173A-7024-46A3-8280-9AFBFA0D3E0A}"/>
    <cellStyle name="Percent 10" xfId="209" xr:uid="{00000000-0005-0000-0000-0000D3000000}"/>
    <cellStyle name="Percent 11" xfId="302" xr:uid="{31C37D58-37EA-4E47-AE39-440D3BE183C0}"/>
    <cellStyle name="Percent 2" xfId="210" xr:uid="{00000000-0005-0000-0000-0000D4000000}"/>
    <cellStyle name="Percent 2 2" xfId="211" xr:uid="{00000000-0005-0000-0000-0000D5000000}"/>
    <cellStyle name="Percent 2 3" xfId="246" xr:uid="{311F462B-CC68-4DF2-9AAF-247D2A94E86A}"/>
    <cellStyle name="Percent 2 4" xfId="972" xr:uid="{856EB689-ADF4-408D-B77F-017A29542A6B}"/>
    <cellStyle name="Percent 3" xfId="212" xr:uid="{00000000-0005-0000-0000-0000D6000000}"/>
    <cellStyle name="Percent 3 2" xfId="907" xr:uid="{64793A89-B271-44E4-B55C-D6A01BDC8B07}"/>
    <cellStyle name="Percent 4" xfId="213" xr:uid="{00000000-0005-0000-0000-0000D7000000}"/>
    <cellStyle name="Percent 4 2" xfId="214" xr:uid="{00000000-0005-0000-0000-0000D8000000}"/>
    <cellStyle name="Percent 5" xfId="215" xr:uid="{00000000-0005-0000-0000-0000D9000000}"/>
    <cellStyle name="Percent 5 2" xfId="281" xr:uid="{098D3616-039D-4383-87E2-79763E37C856}"/>
    <cellStyle name="Percent 5 3" xfId="1006" xr:uid="{B18A5041-DBD5-4BD1-B2F3-A91E3FD0ED18}"/>
    <cellStyle name="Percent 6" xfId="216" xr:uid="{00000000-0005-0000-0000-0000DA000000}"/>
    <cellStyle name="Percent 7" xfId="217" xr:uid="{00000000-0005-0000-0000-0000DB000000}"/>
    <cellStyle name="Percent 8" xfId="218" xr:uid="{00000000-0005-0000-0000-0000DC000000}"/>
    <cellStyle name="Percent 9" xfId="219" xr:uid="{00000000-0005-0000-0000-0000DD000000}"/>
    <cellStyle name="Percent 9 2" xfId="282" xr:uid="{50C0A688-D231-4248-A1EC-D3F24CDEBC3B}"/>
    <cellStyle name="Popis" xfId="220" xr:uid="{00000000-0005-0000-0000-0000DE000000}"/>
    <cellStyle name="Pound" xfId="221" xr:uid="{00000000-0005-0000-0000-0000DF000000}"/>
    <cellStyle name="Price List Descr" xfId="222" xr:uid="{00000000-0005-0000-0000-0000E0000000}"/>
    <cellStyle name="Price List Descr Bold/Ital" xfId="223" xr:uid="{00000000-0005-0000-0000-0000E1000000}"/>
    <cellStyle name="Price List Descr Italic" xfId="224" xr:uid="{00000000-0005-0000-0000-0000E2000000}"/>
    <cellStyle name="Price List Disco Header" xfId="225" xr:uid="{00000000-0005-0000-0000-0000E3000000}"/>
    <cellStyle name="Price List Heading 1" xfId="226" xr:uid="{00000000-0005-0000-0000-0000E4000000}"/>
    <cellStyle name="Price List Heading-Main" xfId="227" xr:uid="{00000000-0005-0000-0000-0000E5000000}"/>
    <cellStyle name="Price List Heading-P/L" xfId="228" xr:uid="{00000000-0005-0000-0000-0000E6000000}"/>
    <cellStyle name="Price List P/N" xfId="229" xr:uid="{00000000-0005-0000-0000-0000E7000000}"/>
    <cellStyle name="Price List Price" xfId="230" xr:uid="{00000000-0005-0000-0000-0000E8000000}"/>
    <cellStyle name="Price List Repl Product" xfId="231" xr:uid="{00000000-0005-0000-0000-0000E9000000}"/>
    <cellStyle name="Prozent 2" xfId="232" xr:uid="{00000000-0005-0000-0000-0000EA000000}"/>
    <cellStyle name="PT #" xfId="908" xr:uid="{7460327A-8DD7-481B-AD62-102AD4E28790}"/>
    <cellStyle name="RANGE #" xfId="909" xr:uid="{0E86640F-3527-40A8-B757-6C1C2C53EA81}"/>
    <cellStyle name="Rate" xfId="910" xr:uid="{38480819-4162-47F6-8B5D-D4D5765F1E05}"/>
    <cellStyle name="RateBold" xfId="911" xr:uid="{FF90639A-46DB-408D-9403-3C0D3E18BA6F}"/>
    <cellStyle name="RevList" xfId="912" xr:uid="{EB5F1D05-02B1-4E6C-9765-99ED9EFC1A43}"/>
    <cellStyle name="SAPBEXstdItemX" xfId="295" xr:uid="{2ECCE577-AE42-456A-9777-26EDBF6BE663}"/>
    <cellStyle name="Section Title" xfId="913" xr:uid="{689D5EF9-EBBB-4482-8480-8152F9E00119}"/>
    <cellStyle name="Sledovaný hypertextový odkaz" xfId="233" xr:uid="{00000000-0005-0000-0000-0000EB000000}"/>
    <cellStyle name="SPOl" xfId="234" xr:uid="{00000000-0005-0000-0000-0000EC000000}"/>
    <cellStyle name="Standard 2" xfId="235" xr:uid="{00000000-0005-0000-0000-0000ED000000}"/>
    <cellStyle name="Standard 4" xfId="296" xr:uid="{D3B3A7A6-96C8-4E67-A25B-111C4AB1A8A8}"/>
    <cellStyle name="Standard_061211_ALL_SRE_Calculation" xfId="914" xr:uid="{F3855597-EF33-4471-8799-DB30F7DA8BC9}"/>
    <cellStyle name="Style 1" xfId="236" xr:uid="{00000000-0005-0000-0000-0000EF000000}"/>
    <cellStyle name="Style 1 2" xfId="237" xr:uid="{00000000-0005-0000-0000-0000F0000000}"/>
    <cellStyle name="Style 1 3" xfId="238" xr:uid="{00000000-0005-0000-0000-0000F1000000}"/>
    <cellStyle name="Style 1 4" xfId="239" xr:uid="{00000000-0005-0000-0000-0000F2000000}"/>
    <cellStyle name="SubDescription" xfId="915" xr:uid="{A1710A1C-7DC6-49B4-B071-09018D0190E2}"/>
    <cellStyle name="subhead" xfId="916" xr:uid="{6503B7FC-9051-4FBC-B534-1197BF57897E}"/>
    <cellStyle name="Subtitle" xfId="917" xr:uid="{BE08DCC7-A5AD-4D1A-9FFF-CA730B88AAA8}"/>
    <cellStyle name="Subtotal" xfId="918" xr:uid="{12106F64-27D2-45C2-B20C-EA84553612EA}"/>
    <cellStyle name="sum" xfId="919" xr:uid="{46FCAE3E-27F2-45F5-B148-B5DDE17BADE2}"/>
    <cellStyle name="sum8" xfId="920" xr:uid="{DFE217E6-03B5-4E85-9073-55B16255D6A9}"/>
    <cellStyle name="Summary_back" xfId="921" xr:uid="{34E5AC54-C83B-4759-B740-E677DE725FBB}"/>
    <cellStyle name="T. MMMM YYYY" xfId="922" xr:uid="{755ACC0D-B206-47D8-BF10-0EA7978D41DF}"/>
    <cellStyle name="T. MMMM YYYY 2" xfId="923" xr:uid="{07B21099-8180-4566-A215-2E0BD123AF27}"/>
    <cellStyle name="T.M.JJ_" xfId="924" xr:uid="{7359A1D6-1CEC-4432-B678-DEC3D9F022B8}"/>
    <cellStyle name="T.M.JJJJ_" xfId="925" xr:uid="{26762CA5-BAEE-490B-A569-E9BE2503CB91}"/>
    <cellStyle name="TI #" xfId="926" xr:uid="{AF10AF57-41DD-4EED-BB0D-7CA5417081E3}"/>
    <cellStyle name="Times New Roman" xfId="240" xr:uid="{00000000-0005-0000-0000-0000F3000000}"/>
    <cellStyle name="Title 2" xfId="927" xr:uid="{B61C6C8D-8507-4597-BF84-003C4D925AE7}"/>
    <cellStyle name="Title 2 2" xfId="928" xr:uid="{A8B5EC1C-9409-4810-9FA1-B18E62EA0FB4}"/>
    <cellStyle name="Title 2 3" xfId="929" xr:uid="{66186B4B-5444-429E-A519-45A444C5651C}"/>
    <cellStyle name="Title 3" xfId="930" xr:uid="{D5152984-E4B8-4DB6-B206-161C1B4740D1}"/>
    <cellStyle name="Title 3 2" xfId="931" xr:uid="{215E8B01-786B-43F1-981F-62FB2D269ED2}"/>
    <cellStyle name="Title 3 3" xfId="932" xr:uid="{E153E58B-4B8B-4FFD-ADBA-39331054CE31}"/>
    <cellStyle name="Title 4" xfId="933" xr:uid="{E34B80E2-21EE-415B-A02E-4026F4A81546}"/>
    <cellStyle name="Title 5" xfId="934" xr:uid="{B8CA1FFC-DB5F-42E2-BF29-019B2C717AB5}"/>
    <cellStyle name="Title Row" xfId="935" xr:uid="{F0B7212F-0320-4BBA-9569-5C81431CD819}"/>
    <cellStyle name="Total 2" xfId="936" xr:uid="{7ADF3C97-E928-4BAA-B753-8518EF1C7384}"/>
    <cellStyle name="Total 2 2" xfId="937" xr:uid="{FAEDA88D-A712-456A-9761-436D49C0E7B9}"/>
    <cellStyle name="Total 2 3" xfId="938" xr:uid="{9F7FAF39-2E60-4D0E-A0C8-CFEC87335971}"/>
    <cellStyle name="Total 3" xfId="939" xr:uid="{419D3C17-66B6-4E21-AB58-07152DEAB0FB}"/>
    <cellStyle name="Total 3 2" xfId="940" xr:uid="{4303154D-2A13-41FD-B4F3-8A717ACCFAB9}"/>
    <cellStyle name="Total 3 3" xfId="941" xr:uid="{1860B50B-8FBF-4FED-8D3F-F62FED37E47C}"/>
    <cellStyle name="Total 4" xfId="942" xr:uid="{2485DBA2-E627-4661-B788-DB9B64CE9D4A}"/>
    <cellStyle name="Total 5" xfId="943" xr:uid="{79218CFF-6744-471B-AA65-966E3A28267B}"/>
    <cellStyle name="totalbold" xfId="944" xr:uid="{570D634A-E05F-4104-BB76-3E6108250C13}"/>
    <cellStyle name="TT #" xfId="945" xr:uid="{0996D642-DFC0-421A-861F-82108C37E801}"/>
    <cellStyle name="Tusental (0)_pldt" xfId="241" xr:uid="{00000000-0005-0000-0000-0000F4000000}"/>
    <cellStyle name="Tusental_pldt" xfId="242" xr:uid="{00000000-0005-0000-0000-0000F5000000}"/>
    <cellStyle name="Uhrzeit_" xfId="946" xr:uid="{401D89C4-C208-4FCA-B197-21FD8014CEBE}"/>
    <cellStyle name="uni" xfId="947" xr:uid="{BC998948-4A18-4A16-9C2A-EB1677BC35FB}"/>
    <cellStyle name="Unit" xfId="948" xr:uid="{919428E3-C83E-4982-92DC-EC521ACCB3C4}"/>
    <cellStyle name="v" xfId="949" xr:uid="{84396D9F-AD18-4AEF-863E-372048406795}"/>
    <cellStyle name="v_Cost Avoidance_Windpower" xfId="950" xr:uid="{82C5D5A7-DCC8-4E76-B07D-36BF1B430095}"/>
    <cellStyle name="Valuta (0)_actual" xfId="951" xr:uid="{8B20A612-866F-4354-8078-220CD518B7FD}"/>
    <cellStyle name="Valuta_pldt" xfId="243" xr:uid="{00000000-0005-0000-0000-0000F7000000}"/>
    <cellStyle name="version" xfId="244" xr:uid="{00000000-0005-0000-0000-0000F8000000}"/>
    <cellStyle name="Vertcntr" xfId="952" xr:uid="{211C96A1-9CE0-4C2C-82E6-EBAEFA306D84}"/>
    <cellStyle name="VFD #" xfId="953" xr:uid="{E2CD307D-DB93-42AB-8AA4-770B3121F17D}"/>
    <cellStyle name="Warning Text 2" xfId="954" xr:uid="{2C812D09-DA35-4F7C-906F-63BB784457A3}"/>
    <cellStyle name="Warning Text 2 2" xfId="955" xr:uid="{CE2C4BA7-9452-4207-802E-B6423F7EEC72}"/>
    <cellStyle name="Warning Text 2 3" xfId="956" xr:uid="{A2571063-9FB9-4C07-943F-18214C010F93}"/>
    <cellStyle name="Warning Text 3" xfId="957" xr:uid="{A7657367-3C4F-42A1-B346-A714459CC0C1}"/>
    <cellStyle name="Warning Text 3 2" xfId="958" xr:uid="{DB5020DD-7EB0-4179-A02A-FE06D4F9EF5E}"/>
    <cellStyle name="Warning Text 3 3" xfId="959" xr:uid="{312ECB3A-252E-4C55-8B3E-115C6DADBE6F}"/>
    <cellStyle name="Warning Text 4" xfId="960" xr:uid="{F7046749-E94F-4E4A-BA3E-E9F17763EC94}"/>
    <cellStyle name="Warning Text 5" xfId="961" xr:uid="{712FF9EF-0E85-4197-9F82-6AB485C7AD6E}"/>
    <cellStyle name="Wrap" xfId="962" xr:uid="{08C90F92-6DBE-4A24-A9A9-7689D52041FD}"/>
    <cellStyle name="Wrap 2" xfId="963" xr:uid="{768054C2-4ECF-488F-B4B0-B619F97DF8BC}"/>
    <cellStyle name="桁区切り [0.00]_laroux" xfId="964" xr:uid="{2EC81D49-66D3-4F9F-84E7-65E91E6AB828}"/>
    <cellStyle name="桁区切り_laroux" xfId="965" xr:uid="{451572D3-37C5-42DF-9D1C-5AD300FBA6CC}"/>
    <cellStyle name="標準_94物件" xfId="966" xr:uid="{27BA7D3B-AD17-4DBE-ADC6-4C4678AD8ECA}"/>
    <cellStyle name="通貨 [0.00]_laroux" xfId="967" xr:uid="{091A62A6-F6CF-47EE-9B8E-65D9B0E63433}"/>
    <cellStyle name="通貨_laroux" xfId="968" xr:uid="{D40B6E0F-D89A-4675-B6EF-20D4CB1CA3A5}"/>
  </cellStyles>
  <dxfs count="1">
    <dxf>
      <font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CFA22-65EE-4C3F-B10F-EE11B5040777}">
  <sheetPr codeName="Sheet2"/>
  <dimension ref="A1:C19"/>
  <sheetViews>
    <sheetView workbookViewId="0">
      <selection activeCell="B9" sqref="B9"/>
    </sheetView>
  </sheetViews>
  <sheetFormatPr defaultRowHeight="12.5"/>
  <cols>
    <col min="1" max="1" width="22.54296875" bestFit="1" customWidth="1"/>
    <col min="2" max="2" width="16" bestFit="1" customWidth="1"/>
    <col min="3" max="3" width="11.81640625" bestFit="1" customWidth="1"/>
  </cols>
  <sheetData>
    <row r="1" spans="1:3" ht="13">
      <c r="A1" s="465"/>
      <c r="B1" s="491" t="s">
        <v>302</v>
      </c>
      <c r="C1" s="491" t="s">
        <v>303</v>
      </c>
    </row>
    <row r="2" spans="1:3">
      <c r="A2" s="465" t="s">
        <v>300</v>
      </c>
      <c r="B2" s="465" t="s">
        <v>298</v>
      </c>
      <c r="C2" s="465"/>
    </row>
    <row r="3" spans="1:3">
      <c r="A3" s="465" t="s">
        <v>301</v>
      </c>
      <c r="B3" s="465">
        <v>9515</v>
      </c>
      <c r="C3" s="465">
        <f>B3/10.764</f>
        <v>883.96506874767749</v>
      </c>
    </row>
    <row r="4" spans="1:3">
      <c r="A4" s="465" t="s">
        <v>304</v>
      </c>
      <c r="B4" s="492">
        <v>46113</v>
      </c>
      <c r="C4" s="465"/>
    </row>
    <row r="5" spans="1:3">
      <c r="A5" s="465" t="s">
        <v>305</v>
      </c>
      <c r="B5" s="492">
        <v>47938</v>
      </c>
      <c r="C5" s="465"/>
    </row>
    <row r="6" spans="1:3">
      <c r="A6" s="465" t="s">
        <v>306</v>
      </c>
      <c r="B6" s="465">
        <f>(B5-B4)/365</f>
        <v>5</v>
      </c>
      <c r="C6" s="465"/>
    </row>
    <row r="7" spans="1:3">
      <c r="A7" s="465" t="s">
        <v>307</v>
      </c>
      <c r="B7" s="465">
        <v>120</v>
      </c>
      <c r="C7" s="465"/>
    </row>
    <row r="8" spans="1:3">
      <c r="A8" s="465" t="s">
        <v>308</v>
      </c>
      <c r="B8" s="465">
        <v>15.48</v>
      </c>
      <c r="C8" s="465"/>
    </row>
    <row r="9" spans="1:3">
      <c r="A9" s="465" t="s">
        <v>36</v>
      </c>
      <c r="B9" s="505">
        <v>11418000</v>
      </c>
      <c r="C9" s="465"/>
    </row>
    <row r="10" spans="1:3">
      <c r="A10" s="465" t="s">
        <v>40</v>
      </c>
      <c r="B10" s="506">
        <v>43000000</v>
      </c>
      <c r="C10" s="465"/>
    </row>
    <row r="11" spans="1:3">
      <c r="A11" s="465" t="s">
        <v>309</v>
      </c>
      <c r="B11" s="506">
        <v>2500000</v>
      </c>
      <c r="C11" s="465"/>
    </row>
    <row r="12" spans="1:3">
      <c r="A12" s="465" t="s">
        <v>310</v>
      </c>
      <c r="B12" s="502">
        <v>0.105</v>
      </c>
      <c r="C12" s="465"/>
    </row>
    <row r="13" spans="1:3">
      <c r="A13" s="465" t="s">
        <v>311</v>
      </c>
      <c r="B13" s="502">
        <v>7.1099999999999997E-2</v>
      </c>
      <c r="C13" s="465"/>
    </row>
    <row r="14" spans="1:3">
      <c r="A14" s="465" t="s">
        <v>312</v>
      </c>
      <c r="B14" s="504" t="s">
        <v>313</v>
      </c>
      <c r="C14" s="504"/>
    </row>
    <row r="15" spans="1:3">
      <c r="A15" s="499" t="s">
        <v>314</v>
      </c>
      <c r="B15" s="465" t="s">
        <v>315</v>
      </c>
      <c r="C15" s="503"/>
    </row>
    <row r="16" spans="1:3">
      <c r="A16" s="465" t="s">
        <v>327</v>
      </c>
      <c r="B16" s="465">
        <v>80</v>
      </c>
      <c r="C16" s="465"/>
    </row>
    <row r="17" spans="1:3">
      <c r="A17" s="465" t="s">
        <v>329</v>
      </c>
      <c r="B17" s="465">
        <v>1500</v>
      </c>
      <c r="C17" s="465"/>
    </row>
    <row r="18" spans="1:3">
      <c r="A18" s="465" t="s">
        <v>328</v>
      </c>
      <c r="B18" s="465">
        <v>50</v>
      </c>
      <c r="C18" s="465"/>
    </row>
    <row r="19" spans="1:3">
      <c r="A19" s="465" t="s">
        <v>330</v>
      </c>
      <c r="B19" s="465">
        <v>1000</v>
      </c>
      <c r="C19" s="465"/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Z233"/>
  <sheetViews>
    <sheetView tabSelected="1" zoomScale="88" zoomScaleNormal="88" workbookViewId="0">
      <selection activeCell="F10" sqref="F10:G10"/>
    </sheetView>
  </sheetViews>
  <sheetFormatPr defaultColWidth="8.90625" defaultRowHeight="12.5" outlineLevelCol="1"/>
  <cols>
    <col min="1" max="1" width="4.54296875" style="387" customWidth="1"/>
    <col min="2" max="2" width="8.90625" style="387"/>
    <col min="3" max="3" width="19.36328125" style="387" customWidth="1"/>
    <col min="4" max="4" width="40" style="387" customWidth="1"/>
    <col min="5" max="5" width="2.54296875" style="387" customWidth="1"/>
    <col min="6" max="7" width="15.453125" style="387" customWidth="1"/>
    <col min="8" max="8" width="1.6328125" style="387" customWidth="1"/>
    <col min="9" max="10" width="15.453125" style="387" customWidth="1"/>
    <col min="11" max="11" width="10.08984375" customWidth="1" outlineLevel="1"/>
    <col min="12" max="12" width="15.36328125" customWidth="1" outlineLevel="1"/>
    <col min="13" max="13" width="16.90625" customWidth="1" outlineLevel="1"/>
    <col min="14" max="14" width="21.1796875" customWidth="1" outlineLevel="1"/>
    <col min="15" max="15" width="14.453125" customWidth="1" outlineLevel="1"/>
    <col min="16" max="16" width="16.6328125" customWidth="1" outlineLevel="1"/>
    <col min="17" max="17" width="16.81640625" customWidth="1" outlineLevel="1"/>
    <col min="18" max="18" width="21.26953125" customWidth="1"/>
    <col min="19" max="19" width="15.08984375" style="387" bestFit="1" customWidth="1"/>
    <col min="20" max="20" width="16.6328125" style="387" bestFit="1" customWidth="1"/>
    <col min="21" max="21" width="19.08984375" style="387" bestFit="1" customWidth="1"/>
    <col min="22" max="22" width="14.08984375" style="387" bestFit="1" customWidth="1"/>
    <col min="23" max="23" width="10" style="387" bestFit="1" customWidth="1"/>
    <col min="24" max="25" width="14.08984375" style="387" bestFit="1" customWidth="1"/>
    <col min="26" max="26" width="14.90625" style="387" bestFit="1" customWidth="1"/>
    <col min="27" max="16384" width="8.90625" style="387"/>
  </cols>
  <sheetData>
    <row r="1" spans="1:10" ht="13.5" customHeight="1">
      <c r="A1" s="43"/>
      <c r="B1" s="633"/>
      <c r="C1" s="634"/>
      <c r="D1" s="634"/>
      <c r="E1" s="634"/>
      <c r="F1" s="634"/>
      <c r="G1" s="634"/>
      <c r="H1" s="634"/>
      <c r="I1" s="634"/>
      <c r="J1" s="635"/>
    </row>
    <row r="2" spans="1:10" ht="14.25" customHeight="1">
      <c r="A2" s="43"/>
      <c r="B2" s="636"/>
      <c r="C2" s="637"/>
      <c r="D2" s="637"/>
      <c r="E2" s="637"/>
      <c r="F2" s="637"/>
      <c r="G2" s="637"/>
      <c r="H2" s="637"/>
      <c r="I2" s="637"/>
      <c r="J2" s="638"/>
    </row>
    <row r="3" spans="1:10" ht="15" customHeight="1" thickBot="1">
      <c r="A3" s="43"/>
      <c r="B3" s="639"/>
      <c r="C3" s="640"/>
      <c r="D3" s="640"/>
      <c r="E3" s="640"/>
      <c r="F3" s="640"/>
      <c r="G3" s="640"/>
      <c r="H3" s="640"/>
      <c r="I3" s="637"/>
      <c r="J3" s="638"/>
    </row>
    <row r="4" spans="1:10" ht="13">
      <c r="A4" s="43"/>
      <c r="B4" s="658"/>
      <c r="C4" s="659"/>
      <c r="D4" s="659"/>
      <c r="E4" s="659"/>
      <c r="F4" s="659"/>
      <c r="G4" s="659"/>
      <c r="H4" s="389"/>
      <c r="I4" s="390"/>
      <c r="J4" s="391"/>
    </row>
    <row r="5" spans="1:10" ht="16">
      <c r="A5" s="43"/>
      <c r="B5" s="660" t="s">
        <v>66</v>
      </c>
      <c r="C5" s="661"/>
      <c r="D5" s="661"/>
      <c r="E5" s="661"/>
      <c r="F5" s="661"/>
      <c r="G5" s="662"/>
      <c r="H5" s="392"/>
      <c r="I5" s="469" t="s">
        <v>16</v>
      </c>
      <c r="J5" s="494">
        <v>105.02</v>
      </c>
    </row>
    <row r="6" spans="1:10" ht="13.5" thickBot="1">
      <c r="A6" s="43"/>
      <c r="B6" s="663"/>
      <c r="C6" s="664"/>
      <c r="D6" s="665"/>
      <c r="E6" s="44"/>
      <c r="F6" s="656">
        <v>10.763999999999999</v>
      </c>
      <c r="G6" s="657"/>
      <c r="H6" s="393"/>
      <c r="I6" s="647">
        <v>10.763999999999999</v>
      </c>
      <c r="J6" s="648"/>
    </row>
    <row r="7" spans="1:10" ht="26">
      <c r="A7" s="43"/>
      <c r="B7" s="470" t="s">
        <v>67</v>
      </c>
      <c r="C7" s="666" t="s">
        <v>68</v>
      </c>
      <c r="D7" s="667"/>
      <c r="E7" s="471"/>
      <c r="F7" s="471" t="s">
        <v>299</v>
      </c>
      <c r="G7" s="471" t="str">
        <f>+F7</f>
        <v>As on
 01/01/2026</v>
      </c>
      <c r="H7" s="389"/>
      <c r="I7" s="470" t="str">
        <f>F7</f>
        <v>As on
 01/01/2026</v>
      </c>
      <c r="J7" s="472" t="str">
        <f>I7</f>
        <v>As on
 01/01/2026</v>
      </c>
    </row>
    <row r="8" spans="1:10" ht="13">
      <c r="A8" s="43"/>
      <c r="B8" s="473"/>
      <c r="C8" s="474"/>
      <c r="D8" s="475"/>
      <c r="E8" s="476"/>
      <c r="F8" s="594" t="s">
        <v>69</v>
      </c>
      <c r="G8" s="595"/>
      <c r="H8" s="392"/>
      <c r="I8" s="596" t="s">
        <v>63</v>
      </c>
      <c r="J8" s="597"/>
    </row>
    <row r="9" spans="1:10" ht="13">
      <c r="A9" s="43"/>
      <c r="B9" s="596" t="s">
        <v>70</v>
      </c>
      <c r="C9" s="595"/>
      <c r="D9" s="611"/>
      <c r="E9" s="477"/>
      <c r="F9" s="364" t="s">
        <v>71</v>
      </c>
      <c r="G9" s="364" t="s">
        <v>72</v>
      </c>
      <c r="H9" s="392"/>
      <c r="I9" s="369" t="s">
        <v>71</v>
      </c>
      <c r="J9" s="236" t="s">
        <v>72</v>
      </c>
    </row>
    <row r="10" spans="1:10" ht="27" customHeight="1">
      <c r="A10" s="43"/>
      <c r="B10" s="478">
        <v>1</v>
      </c>
      <c r="C10" s="641" t="s">
        <v>73</v>
      </c>
      <c r="D10" s="642"/>
      <c r="E10" s="479"/>
      <c r="F10" s="653" t="s">
        <v>295</v>
      </c>
      <c r="G10" s="654"/>
      <c r="H10" s="392"/>
      <c r="I10" s="649" t="str">
        <f>+F10</f>
        <v>Chennai</v>
      </c>
      <c r="J10" s="650"/>
    </row>
    <row r="11" spans="1:10" ht="28.5" customHeight="1">
      <c r="A11" s="43"/>
      <c r="B11" s="154">
        <f>1+B10</f>
        <v>2</v>
      </c>
      <c r="C11" s="643" t="s">
        <v>74</v>
      </c>
      <c r="D11" s="644"/>
      <c r="E11" s="42"/>
      <c r="F11" s="653"/>
      <c r="G11" s="654"/>
      <c r="H11" s="392"/>
      <c r="I11" s="651">
        <f>+F11</f>
        <v>0</v>
      </c>
      <c r="J11" s="652"/>
    </row>
    <row r="12" spans="1:10" ht="27.75" customHeight="1">
      <c r="A12" s="43"/>
      <c r="B12" s="154">
        <f>1+B11</f>
        <v>3</v>
      </c>
      <c r="C12" s="604" t="s">
        <v>75</v>
      </c>
      <c r="D12" s="605"/>
      <c r="E12" s="480"/>
      <c r="F12" s="632"/>
      <c r="G12" s="627"/>
      <c r="H12" s="392"/>
      <c r="I12" s="628">
        <f>+F12</f>
        <v>0</v>
      </c>
      <c r="J12" s="629"/>
    </row>
    <row r="13" spans="1:10" ht="15.9" customHeight="1">
      <c r="A13" s="43"/>
      <c r="B13" s="154">
        <f t="shared" ref="B13:B30" si="0">1+B12</f>
        <v>4</v>
      </c>
      <c r="C13" s="604" t="s">
        <v>76</v>
      </c>
      <c r="D13" s="605"/>
      <c r="E13" s="42"/>
      <c r="F13" s="626"/>
      <c r="G13" s="627"/>
      <c r="H13" s="392"/>
      <c r="I13" s="628"/>
      <c r="J13" s="629"/>
    </row>
    <row r="14" spans="1:10" ht="48" customHeight="1">
      <c r="A14" s="43"/>
      <c r="B14" s="154">
        <f t="shared" si="0"/>
        <v>5</v>
      </c>
      <c r="C14" s="645" t="s">
        <v>77</v>
      </c>
      <c r="D14" s="646"/>
      <c r="E14" s="464"/>
      <c r="F14" s="632" t="s">
        <v>296</v>
      </c>
      <c r="G14" s="655"/>
      <c r="H14" s="392"/>
      <c r="I14" s="628" t="str">
        <f>+F14</f>
        <v>6th floor</v>
      </c>
      <c r="J14" s="629"/>
    </row>
    <row r="15" spans="1:10" ht="51.75" customHeight="1">
      <c r="A15" s="43"/>
      <c r="B15" s="154">
        <f t="shared" si="0"/>
        <v>6</v>
      </c>
      <c r="C15" s="604" t="s">
        <v>78</v>
      </c>
      <c r="D15" s="605"/>
      <c r="E15" s="50"/>
      <c r="F15" s="594"/>
      <c r="G15" s="595"/>
      <c r="H15" s="392"/>
      <c r="I15" s="596">
        <f>+F15</f>
        <v>0</v>
      </c>
      <c r="J15" s="597"/>
    </row>
    <row r="16" spans="1:10" ht="15.9" customHeight="1">
      <c r="A16" s="43"/>
      <c r="B16" s="154">
        <f t="shared" si="0"/>
        <v>7</v>
      </c>
      <c r="C16" s="604" t="s">
        <v>79</v>
      </c>
      <c r="D16" s="605"/>
      <c r="E16" s="50"/>
      <c r="F16" s="626"/>
      <c r="G16" s="627"/>
      <c r="H16" s="392"/>
      <c r="I16" s="628"/>
      <c r="J16" s="629"/>
    </row>
    <row r="17" spans="1:10" ht="15.9" customHeight="1">
      <c r="A17" s="43"/>
      <c r="B17" s="154">
        <f t="shared" si="0"/>
        <v>8</v>
      </c>
      <c r="C17" s="604" t="s">
        <v>80</v>
      </c>
      <c r="D17" s="605"/>
      <c r="E17" s="50"/>
      <c r="F17" s="632" t="s">
        <v>81</v>
      </c>
      <c r="G17" s="627"/>
      <c r="H17" s="392"/>
      <c r="I17" s="628" t="str">
        <f>+F17</f>
        <v>Warm Shell</v>
      </c>
      <c r="J17" s="629"/>
    </row>
    <row r="18" spans="1:10" ht="48" customHeight="1">
      <c r="A18" s="43"/>
      <c r="B18" s="154">
        <f t="shared" si="0"/>
        <v>9</v>
      </c>
      <c r="C18" s="604" t="s">
        <v>82</v>
      </c>
      <c r="D18" s="605"/>
      <c r="E18" s="155"/>
      <c r="F18" s="594">
        <f>F15</f>
        <v>0</v>
      </c>
      <c r="G18" s="595"/>
      <c r="H18" s="392"/>
      <c r="I18" s="596">
        <f>+F18</f>
        <v>0</v>
      </c>
      <c r="J18" s="597"/>
    </row>
    <row r="19" spans="1:10" ht="15.9" customHeight="1">
      <c r="A19" s="43"/>
      <c r="B19" s="154">
        <f t="shared" si="0"/>
        <v>10</v>
      </c>
      <c r="C19" s="604" t="s">
        <v>83</v>
      </c>
      <c r="D19" s="605"/>
      <c r="E19" s="155"/>
      <c r="F19" s="626"/>
      <c r="G19" s="627"/>
      <c r="H19" s="392"/>
      <c r="I19" s="628"/>
      <c r="J19" s="629"/>
    </row>
    <row r="20" spans="1:10" ht="15.9" customHeight="1">
      <c r="A20" s="43"/>
      <c r="B20" s="154">
        <f t="shared" si="0"/>
        <v>11</v>
      </c>
      <c r="C20" s="598" t="s">
        <v>84</v>
      </c>
      <c r="D20" s="605"/>
      <c r="E20" s="482"/>
      <c r="F20" s="48"/>
      <c r="G20" s="376"/>
      <c r="H20" s="392"/>
      <c r="I20" s="125">
        <f>+F20/J5</f>
        <v>0</v>
      </c>
      <c r="J20" s="49">
        <f>+G20/J5</f>
        <v>0</v>
      </c>
    </row>
    <row r="21" spans="1:10" ht="15.9" customHeight="1">
      <c r="A21" s="43"/>
      <c r="B21" s="154">
        <f t="shared" si="0"/>
        <v>12</v>
      </c>
      <c r="C21" s="604" t="s">
        <v>85</v>
      </c>
      <c r="D21" s="605"/>
      <c r="E21" s="482"/>
      <c r="F21" s="48">
        <f>Main!B3</f>
        <v>9515</v>
      </c>
      <c r="G21" s="376">
        <f>F21/F6</f>
        <v>883.96506874767749</v>
      </c>
      <c r="H21" s="392"/>
      <c r="I21" s="125">
        <f>+F21</f>
        <v>9515</v>
      </c>
      <c r="J21" s="49">
        <f>I21/I6</f>
        <v>883.96506874767749</v>
      </c>
    </row>
    <row r="22" spans="1:10" ht="15.9" customHeight="1">
      <c r="A22" s="483"/>
      <c r="B22" s="154">
        <f t="shared" si="0"/>
        <v>13</v>
      </c>
      <c r="C22" s="598" t="s">
        <v>86</v>
      </c>
      <c r="D22" s="605"/>
      <c r="E22" s="482"/>
      <c r="F22" s="48">
        <v>0</v>
      </c>
      <c r="G22" s="375">
        <v>0</v>
      </c>
      <c r="H22" s="392"/>
      <c r="I22" s="125">
        <f>+F22</f>
        <v>0</v>
      </c>
      <c r="J22" s="49">
        <f>I22/I6</f>
        <v>0</v>
      </c>
    </row>
    <row r="23" spans="1:10" ht="15.9" customHeight="1">
      <c r="A23" s="43"/>
      <c r="B23" s="154">
        <f t="shared" si="0"/>
        <v>14</v>
      </c>
      <c r="C23" s="604" t="s">
        <v>87</v>
      </c>
      <c r="D23" s="605"/>
      <c r="E23" s="482"/>
      <c r="F23" s="48">
        <f>+F21+F22</f>
        <v>9515</v>
      </c>
      <c r="G23" s="376">
        <f>+G21+G22</f>
        <v>883.96506874767749</v>
      </c>
      <c r="H23" s="392"/>
      <c r="I23" s="125">
        <f>+I21+I22</f>
        <v>9515</v>
      </c>
      <c r="J23" s="49">
        <f>+J21+J22</f>
        <v>883.96506874767749</v>
      </c>
    </row>
    <row r="24" spans="1:10" ht="15.9" customHeight="1">
      <c r="A24" s="484"/>
      <c r="B24" s="154">
        <f t="shared" si="0"/>
        <v>15</v>
      </c>
      <c r="C24" s="604" t="s">
        <v>88</v>
      </c>
      <c r="D24" s="605"/>
      <c r="E24" s="51"/>
      <c r="F24" s="48"/>
      <c r="G24" s="376">
        <f>F24</f>
        <v>0</v>
      </c>
      <c r="H24" s="392"/>
      <c r="I24" s="125">
        <f>+F24</f>
        <v>0</v>
      </c>
      <c r="J24" s="49">
        <f>I24</f>
        <v>0</v>
      </c>
    </row>
    <row r="25" spans="1:10" ht="15.9" customHeight="1">
      <c r="A25" s="484"/>
      <c r="B25" s="154">
        <f t="shared" si="0"/>
        <v>16</v>
      </c>
      <c r="C25" s="604" t="s">
        <v>89</v>
      </c>
      <c r="D25" s="605"/>
      <c r="E25" s="51"/>
      <c r="F25" s="48">
        <v>0</v>
      </c>
      <c r="G25" s="376">
        <f>+G23*G26</f>
        <v>0</v>
      </c>
      <c r="H25" s="392"/>
      <c r="I25" s="125">
        <f>+F25</f>
        <v>0</v>
      </c>
      <c r="J25" s="49">
        <f>+G25</f>
        <v>0</v>
      </c>
    </row>
    <row r="26" spans="1:10" ht="15.9" customHeight="1">
      <c r="A26" s="43"/>
      <c r="B26" s="154">
        <f>1+B25</f>
        <v>17</v>
      </c>
      <c r="C26" s="604" t="s">
        <v>90</v>
      </c>
      <c r="D26" s="605"/>
      <c r="E26" s="52"/>
      <c r="F26" s="53">
        <f>F25/F23</f>
        <v>0</v>
      </c>
      <c r="G26" s="187">
        <f>+F26</f>
        <v>0</v>
      </c>
      <c r="H26" s="392"/>
      <c r="I26" s="126">
        <f>+I25/I23</f>
        <v>0</v>
      </c>
      <c r="J26" s="54">
        <f>+I26</f>
        <v>0</v>
      </c>
    </row>
    <row r="27" spans="1:10" ht="15.9" customHeight="1">
      <c r="A27" s="43"/>
      <c r="B27" s="154">
        <f>1+B26</f>
        <v>18</v>
      </c>
      <c r="C27" s="598" t="s">
        <v>91</v>
      </c>
      <c r="D27" s="605"/>
      <c r="E27" s="50"/>
      <c r="F27" s="281">
        <f>'CAPEX and PM'!E3</f>
        <v>72</v>
      </c>
      <c r="G27" s="281">
        <f>+F27</f>
        <v>72</v>
      </c>
      <c r="H27" s="392"/>
      <c r="I27" s="281">
        <f>+F27</f>
        <v>72</v>
      </c>
      <c r="J27" s="281">
        <f>+I27</f>
        <v>72</v>
      </c>
    </row>
    <row r="28" spans="1:10" ht="15.9" customHeight="1">
      <c r="A28" s="43"/>
      <c r="B28" s="154">
        <f t="shared" si="0"/>
        <v>19</v>
      </c>
      <c r="C28" s="598" t="s">
        <v>92</v>
      </c>
      <c r="D28" s="605"/>
      <c r="E28" s="56"/>
      <c r="F28" s="56">
        <f>Main!B12</f>
        <v>0.105</v>
      </c>
      <c r="G28" s="188">
        <f>SUM(F28)</f>
        <v>0.105</v>
      </c>
      <c r="H28" s="392"/>
      <c r="I28" s="127">
        <f>+F28</f>
        <v>0.105</v>
      </c>
      <c r="J28" s="57">
        <f>SUM(I28)</f>
        <v>0.105</v>
      </c>
    </row>
    <row r="29" spans="1:10" ht="15.9" customHeight="1">
      <c r="A29" s="43"/>
      <c r="B29" s="154">
        <f t="shared" si="0"/>
        <v>20</v>
      </c>
      <c r="C29" s="598" t="s">
        <v>93</v>
      </c>
      <c r="D29" s="605"/>
      <c r="E29" s="56"/>
      <c r="F29" s="52">
        <f>Main!B13</f>
        <v>7.1099999999999997E-2</v>
      </c>
      <c r="G29" s="189">
        <f>F29</f>
        <v>7.1099999999999997E-2</v>
      </c>
      <c r="H29" s="392"/>
      <c r="I29" s="173">
        <f>F29</f>
        <v>7.1099999999999997E-2</v>
      </c>
      <c r="J29" s="172">
        <f>I29</f>
        <v>7.1099999999999997E-2</v>
      </c>
    </row>
    <row r="30" spans="1:10" ht="15.9" customHeight="1">
      <c r="A30" s="43"/>
      <c r="B30" s="154">
        <f t="shared" si="0"/>
        <v>21</v>
      </c>
      <c r="C30" s="604" t="s">
        <v>94</v>
      </c>
      <c r="D30" s="605"/>
      <c r="E30" s="50"/>
      <c r="F30" s="48">
        <v>0</v>
      </c>
      <c r="G30" s="376">
        <f>F30</f>
        <v>0</v>
      </c>
      <c r="H30" s="392"/>
      <c r="I30" s="125">
        <f>+F30/J5</f>
        <v>0</v>
      </c>
      <c r="J30" s="49">
        <f>+G30/J5</f>
        <v>0</v>
      </c>
    </row>
    <row r="31" spans="1:10" ht="15.9" customHeight="1">
      <c r="A31" s="43"/>
      <c r="B31" s="623" t="s">
        <v>95</v>
      </c>
      <c r="C31" s="624"/>
      <c r="D31" s="625"/>
      <c r="E31" s="485"/>
      <c r="F31" s="364" t="s">
        <v>71</v>
      </c>
      <c r="G31" s="364" t="s">
        <v>72</v>
      </c>
      <c r="H31" s="392"/>
      <c r="I31" s="369" t="s">
        <v>71</v>
      </c>
      <c r="J31" s="236" t="s">
        <v>72</v>
      </c>
    </row>
    <row r="32" spans="1:10" ht="15.9" customHeight="1">
      <c r="A32" s="43"/>
      <c r="B32" s="154">
        <v>1</v>
      </c>
      <c r="C32" s="598" t="s">
        <v>96</v>
      </c>
      <c r="D32" s="605"/>
      <c r="E32" s="51"/>
      <c r="F32" s="48">
        <f>Main!B9/(Main!B3*Main!B7)</f>
        <v>10</v>
      </c>
      <c r="G32" s="192">
        <f>+F32</f>
        <v>10</v>
      </c>
      <c r="H32" s="392"/>
      <c r="I32" s="130">
        <f>+F32/$J$5</f>
        <v>9.5219958103218441E-2</v>
      </c>
      <c r="J32" s="64">
        <f>+I32*$I$6</f>
        <v>1.0249476290230433</v>
      </c>
    </row>
    <row r="33" spans="1:10" ht="15.9" customHeight="1">
      <c r="A33" s="43"/>
      <c r="B33" s="154">
        <f>1+B32</f>
        <v>2</v>
      </c>
      <c r="C33" s="598" t="s">
        <v>97</v>
      </c>
      <c r="D33" s="605"/>
      <c r="E33" s="51"/>
      <c r="F33" s="48">
        <v>0</v>
      </c>
      <c r="G33" s="376">
        <f>+F33</f>
        <v>0</v>
      </c>
      <c r="H33" s="392"/>
      <c r="I33" s="125">
        <v>0</v>
      </c>
      <c r="J33" s="49">
        <f>+I33</f>
        <v>0</v>
      </c>
    </row>
    <row r="34" spans="1:10" ht="15.9" customHeight="1">
      <c r="A34" s="43"/>
      <c r="B34" s="154">
        <f t="shared" ref="B34:B47" si="1">1+B33</f>
        <v>3</v>
      </c>
      <c r="C34" s="598" t="s">
        <v>98</v>
      </c>
      <c r="D34" s="605"/>
      <c r="E34" s="51"/>
      <c r="F34" s="48">
        <v>0</v>
      </c>
      <c r="G34" s="376">
        <f>F34</f>
        <v>0</v>
      </c>
      <c r="H34" s="392"/>
      <c r="I34" s="125">
        <f>F34/J5</f>
        <v>0</v>
      </c>
      <c r="J34" s="49">
        <f>I34</f>
        <v>0</v>
      </c>
    </row>
    <row r="35" spans="1:10" ht="15.9" customHeight="1">
      <c r="A35" s="43"/>
      <c r="B35" s="154">
        <f t="shared" si="1"/>
        <v>4</v>
      </c>
      <c r="C35" s="604" t="s">
        <v>99</v>
      </c>
      <c r="D35" s="605"/>
      <c r="E35" s="486"/>
      <c r="F35" s="60">
        <v>0</v>
      </c>
      <c r="G35" s="191">
        <v>0</v>
      </c>
      <c r="H35" s="392"/>
      <c r="I35" s="129">
        <v>0</v>
      </c>
      <c r="J35" s="61">
        <v>0</v>
      </c>
    </row>
    <row r="36" spans="1:10" ht="15.9" customHeight="1">
      <c r="A36" s="43"/>
      <c r="B36" s="154">
        <f t="shared" si="1"/>
        <v>5</v>
      </c>
      <c r="C36" s="598" t="s">
        <v>100</v>
      </c>
      <c r="D36" s="605"/>
      <c r="E36" s="486"/>
      <c r="F36" s="62">
        <f>'Lease Rent'!H37</f>
        <v>120</v>
      </c>
      <c r="G36" s="376">
        <f>+F36*F6</f>
        <v>1291.6799999999998</v>
      </c>
      <c r="H36" s="392"/>
      <c r="I36" s="130">
        <f>+F36/$J$5</f>
        <v>1.1426394972386213</v>
      </c>
      <c r="J36" s="49">
        <f>+I36*$I$6</f>
        <v>12.29937154827652</v>
      </c>
    </row>
    <row r="37" spans="1:10" ht="15.9" customHeight="1">
      <c r="A37" s="43"/>
      <c r="B37" s="154">
        <f t="shared" si="1"/>
        <v>6</v>
      </c>
      <c r="C37" s="598" t="s">
        <v>101</v>
      </c>
      <c r="D37" s="605"/>
      <c r="E37" s="486"/>
      <c r="F37" s="62"/>
      <c r="G37" s="192">
        <f>F37*F3</f>
        <v>0</v>
      </c>
      <c r="H37" s="392"/>
      <c r="I37" s="130"/>
      <c r="J37" s="49"/>
    </row>
    <row r="38" spans="1:10" ht="15.9" customHeight="1">
      <c r="A38" s="43"/>
      <c r="B38" s="154">
        <f t="shared" si="1"/>
        <v>7</v>
      </c>
      <c r="C38" s="598" t="s">
        <v>102</v>
      </c>
      <c r="D38" s="605"/>
      <c r="E38" s="63"/>
      <c r="F38" s="62">
        <f>'Lease Rent'!J31</f>
        <v>15.48</v>
      </c>
      <c r="G38" s="192">
        <f>F38*F6</f>
        <v>166.62672000000001</v>
      </c>
      <c r="H38" s="392"/>
      <c r="I38" s="130">
        <f>+F38/$J$5</f>
        <v>0.14740049514378215</v>
      </c>
      <c r="J38" s="59">
        <f>+I38*$I$6</f>
        <v>1.5866189297276709</v>
      </c>
    </row>
    <row r="39" spans="1:10" ht="15.9" customHeight="1">
      <c r="A39" s="43"/>
      <c r="B39" s="154">
        <f t="shared" si="1"/>
        <v>8</v>
      </c>
      <c r="C39" s="598" t="s">
        <v>103</v>
      </c>
      <c r="D39" s="605"/>
      <c r="E39" s="486"/>
      <c r="F39" s="62">
        <f>F36</f>
        <v>120</v>
      </c>
      <c r="G39" s="376">
        <f>F39*F6</f>
        <v>1291.6799999999998</v>
      </c>
      <c r="H39" s="392"/>
      <c r="I39" s="130">
        <f>+F39/$J$5</f>
        <v>1.1426394972386213</v>
      </c>
      <c r="J39" s="49">
        <f>+I39*$I$6</f>
        <v>12.29937154827652</v>
      </c>
    </row>
    <row r="40" spans="1:10" ht="15.9" customHeight="1">
      <c r="A40" s="43"/>
      <c r="B40" s="154">
        <f t="shared" si="1"/>
        <v>9</v>
      </c>
      <c r="C40" s="598" t="s">
        <v>104</v>
      </c>
      <c r="D40" s="605"/>
      <c r="E40" s="486"/>
      <c r="F40" s="62">
        <v>0</v>
      </c>
      <c r="G40" s="192">
        <f>F40*F6</f>
        <v>0</v>
      </c>
      <c r="H40" s="392"/>
      <c r="I40" s="130">
        <f>+F40/$J$5</f>
        <v>0</v>
      </c>
      <c r="J40" s="49">
        <f>+I40*$I$6</f>
        <v>0</v>
      </c>
    </row>
    <row r="41" spans="1:10" ht="15.9" customHeight="1">
      <c r="A41" s="43"/>
      <c r="B41" s="154">
        <f t="shared" si="1"/>
        <v>10</v>
      </c>
      <c r="C41" s="598" t="s">
        <v>105</v>
      </c>
      <c r="D41" s="605"/>
      <c r="E41" s="50"/>
      <c r="F41" s="106">
        <f>F38</f>
        <v>15.48</v>
      </c>
      <c r="G41" s="192">
        <f>F41*F6</f>
        <v>166.62672000000001</v>
      </c>
      <c r="H41" s="392"/>
      <c r="I41" s="130">
        <f>+F41/$J$5</f>
        <v>0.14740049514378215</v>
      </c>
      <c r="J41" s="64">
        <f>I41*I6</f>
        <v>1.5866189297276709</v>
      </c>
    </row>
    <row r="42" spans="1:10" ht="15.9" customHeight="1">
      <c r="A42" s="43"/>
      <c r="B42" s="154">
        <f t="shared" si="1"/>
        <v>11</v>
      </c>
      <c r="C42" s="604" t="s">
        <v>106</v>
      </c>
      <c r="D42" s="605"/>
      <c r="E42" s="51"/>
      <c r="F42" s="101">
        <v>0</v>
      </c>
      <c r="G42" s="376">
        <f>+F42</f>
        <v>0</v>
      </c>
      <c r="H42" s="392"/>
      <c r="I42" s="136">
        <f>+F42</f>
        <v>0</v>
      </c>
      <c r="J42" s="49">
        <f>+I42</f>
        <v>0</v>
      </c>
    </row>
    <row r="43" spans="1:10" ht="15.9" customHeight="1">
      <c r="A43" s="43"/>
      <c r="B43" s="154">
        <f t="shared" si="1"/>
        <v>12</v>
      </c>
      <c r="C43" s="604" t="s">
        <v>107</v>
      </c>
      <c r="D43" s="605"/>
      <c r="E43" s="65"/>
      <c r="F43" s="60">
        <f>'Lease Rent'!D22</f>
        <v>80</v>
      </c>
      <c r="G43" s="191">
        <f>F43</f>
        <v>80</v>
      </c>
      <c r="H43" s="392"/>
      <c r="I43" s="129">
        <f>+F43</f>
        <v>80</v>
      </c>
      <c r="J43" s="61">
        <f>I43</f>
        <v>80</v>
      </c>
    </row>
    <row r="44" spans="1:10" ht="15.9" customHeight="1">
      <c r="A44" s="484"/>
      <c r="B44" s="154">
        <f t="shared" si="1"/>
        <v>13</v>
      </c>
      <c r="C44" s="604" t="s">
        <v>108</v>
      </c>
      <c r="D44" s="605"/>
      <c r="E44" s="51"/>
      <c r="F44" s="48">
        <f>'Lease Rent'!C22</f>
        <v>1500</v>
      </c>
      <c r="G44" s="376">
        <f>F44</f>
        <v>1500</v>
      </c>
      <c r="H44" s="392"/>
      <c r="I44" s="130">
        <f>+F44/$J$5</f>
        <v>14.282993715482766</v>
      </c>
      <c r="J44" s="61">
        <f>I44</f>
        <v>14.282993715482766</v>
      </c>
    </row>
    <row r="45" spans="1:10" ht="15.9" customHeight="1">
      <c r="A45" s="484"/>
      <c r="B45" s="154">
        <f t="shared" si="1"/>
        <v>14</v>
      </c>
      <c r="C45" s="598" t="s">
        <v>109</v>
      </c>
      <c r="D45" s="605"/>
      <c r="E45" s="51"/>
      <c r="F45" s="101">
        <v>0</v>
      </c>
      <c r="G45" s="376">
        <f>+F45</f>
        <v>0</v>
      </c>
      <c r="H45" s="392"/>
      <c r="I45" s="125"/>
      <c r="J45" s="49">
        <f>+I45</f>
        <v>0</v>
      </c>
    </row>
    <row r="46" spans="1:10" ht="15.9" customHeight="1">
      <c r="A46" s="484"/>
      <c r="B46" s="154">
        <f t="shared" si="1"/>
        <v>15</v>
      </c>
      <c r="C46" s="604" t="s">
        <v>331</v>
      </c>
      <c r="D46" s="605"/>
      <c r="E46" s="51"/>
      <c r="F46" s="48">
        <f>'Lease Rent'!D23</f>
        <v>50</v>
      </c>
      <c r="G46" s="376"/>
      <c r="H46" s="392"/>
      <c r="I46" s="125"/>
      <c r="J46" s="49"/>
    </row>
    <row r="47" spans="1:10" ht="15.9" customHeight="1">
      <c r="A47" s="484"/>
      <c r="B47" s="154">
        <f t="shared" si="1"/>
        <v>16</v>
      </c>
      <c r="C47" s="604" t="s">
        <v>332</v>
      </c>
      <c r="D47" s="605"/>
      <c r="E47" s="51"/>
      <c r="F47" s="48">
        <f>'Lease Rent'!C23</f>
        <v>1000</v>
      </c>
      <c r="G47" s="376"/>
      <c r="H47" s="392"/>
      <c r="I47" s="125"/>
      <c r="J47" s="49"/>
    </row>
    <row r="48" spans="1:10" ht="28.5" customHeight="1">
      <c r="A48" s="43"/>
      <c r="B48" s="670">
        <f>1+B47</f>
        <v>17</v>
      </c>
      <c r="C48" s="598" t="s">
        <v>110</v>
      </c>
      <c r="D48" s="605"/>
      <c r="E48" s="65"/>
      <c r="F48" s="614" t="str">
        <f>Main!B14</f>
        <v>15% every 3 years</v>
      </c>
      <c r="G48" s="615"/>
      <c r="H48" s="392"/>
      <c r="I48" s="628" t="str">
        <f>+F48</f>
        <v>15% every 3 years</v>
      </c>
      <c r="J48" s="629"/>
    </row>
    <row r="49" spans="1:18" ht="15.9" customHeight="1">
      <c r="A49" s="43"/>
      <c r="B49" s="671"/>
      <c r="C49" s="598" t="s">
        <v>111</v>
      </c>
      <c r="D49" s="605"/>
      <c r="E49" s="65"/>
      <c r="F49" s="614" t="str">
        <f>Main!B15</f>
        <v>5% every years</v>
      </c>
      <c r="G49" s="615"/>
      <c r="H49" s="392"/>
      <c r="I49" s="630" t="str">
        <f t="shared" ref="I49:I56" si="2">F49</f>
        <v>5% every years</v>
      </c>
      <c r="J49" s="631"/>
    </row>
    <row r="50" spans="1:18" ht="15.9" customHeight="1">
      <c r="A50" s="43"/>
      <c r="B50" s="154">
        <f>1+B48</f>
        <v>18</v>
      </c>
      <c r="C50" s="604" t="s">
        <v>112</v>
      </c>
      <c r="D50" s="605"/>
      <c r="E50" s="65"/>
      <c r="F50" s="612">
        <f>'Lease Rent'!B31</f>
        <v>46023</v>
      </c>
      <c r="G50" s="613"/>
      <c r="H50" s="392"/>
      <c r="I50" s="621">
        <f t="shared" si="2"/>
        <v>46023</v>
      </c>
      <c r="J50" s="622"/>
    </row>
    <row r="51" spans="1:18" ht="15.9" customHeight="1">
      <c r="A51" s="43"/>
      <c r="B51" s="154">
        <f t="shared" ref="B51:B57" si="3">1+B50</f>
        <v>19</v>
      </c>
      <c r="C51" s="598" t="s">
        <v>113</v>
      </c>
      <c r="D51" s="605"/>
      <c r="E51" s="65"/>
      <c r="F51" s="612">
        <f>'Lease Rent'!C102</f>
        <v>48213</v>
      </c>
      <c r="G51" s="613"/>
      <c r="H51" s="392"/>
      <c r="I51" s="621">
        <f>F51</f>
        <v>48213</v>
      </c>
      <c r="J51" s="622"/>
    </row>
    <row r="52" spans="1:18" ht="15.9" customHeight="1">
      <c r="A52" s="43"/>
      <c r="B52" s="154">
        <f t="shared" si="3"/>
        <v>20</v>
      </c>
      <c r="C52" s="598" t="s">
        <v>114</v>
      </c>
      <c r="D52" s="599"/>
      <c r="E52" s="65"/>
      <c r="F52" s="612">
        <f>F50</f>
        <v>46023</v>
      </c>
      <c r="G52" s="613"/>
      <c r="H52" s="392"/>
      <c r="I52" s="621">
        <f t="shared" si="2"/>
        <v>46023</v>
      </c>
      <c r="J52" s="622"/>
    </row>
    <row r="53" spans="1:18" ht="15.9" customHeight="1">
      <c r="A53" s="43"/>
      <c r="B53" s="154">
        <f t="shared" si="3"/>
        <v>21</v>
      </c>
      <c r="C53" s="598" t="s">
        <v>115</v>
      </c>
      <c r="D53" s="599"/>
      <c r="E53" s="65"/>
      <c r="F53" s="594">
        <v>0</v>
      </c>
      <c r="G53" s="595"/>
      <c r="H53" s="392"/>
      <c r="I53" s="596">
        <f>+F53</f>
        <v>0</v>
      </c>
      <c r="J53" s="597"/>
    </row>
    <row r="54" spans="1:18" ht="15.9" customHeight="1">
      <c r="A54" s="43"/>
      <c r="B54" s="154">
        <f t="shared" si="3"/>
        <v>22</v>
      </c>
      <c r="C54" s="604" t="s">
        <v>116</v>
      </c>
      <c r="D54" s="605"/>
      <c r="E54" s="50"/>
      <c r="F54" s="48">
        <f>(F51-F50)/365*12</f>
        <v>72</v>
      </c>
      <c r="G54" s="376">
        <f>F54</f>
        <v>72</v>
      </c>
      <c r="H54" s="392"/>
      <c r="I54" s="125">
        <f t="shared" si="2"/>
        <v>72</v>
      </c>
      <c r="J54" s="49">
        <f>I54</f>
        <v>72</v>
      </c>
      <c r="R54" s="532"/>
    </row>
    <row r="55" spans="1:18" ht="15.9" customHeight="1">
      <c r="A55" s="43"/>
      <c r="B55" s="154">
        <f t="shared" si="3"/>
        <v>23</v>
      </c>
      <c r="C55" s="604" t="s">
        <v>117</v>
      </c>
      <c r="D55" s="605"/>
      <c r="E55" s="63"/>
      <c r="F55" s="48">
        <v>0</v>
      </c>
      <c r="G55" s="376">
        <f>F55</f>
        <v>0</v>
      </c>
      <c r="H55" s="392"/>
      <c r="I55" s="125">
        <f t="shared" si="2"/>
        <v>0</v>
      </c>
      <c r="J55" s="49">
        <f>I55</f>
        <v>0</v>
      </c>
      <c r="R55" s="532"/>
    </row>
    <row r="56" spans="1:18" ht="15.9" customHeight="1">
      <c r="A56" s="43"/>
      <c r="B56" s="154">
        <f t="shared" si="3"/>
        <v>24</v>
      </c>
      <c r="C56" s="604" t="s">
        <v>118</v>
      </c>
      <c r="D56" s="605"/>
      <c r="E56" s="63"/>
      <c r="F56" s="290" t="s">
        <v>64</v>
      </c>
      <c r="G56" s="376" t="str">
        <f>+F56</f>
        <v xml:space="preserve"> </v>
      </c>
      <c r="H56" s="392"/>
      <c r="I56" s="125" t="str">
        <f t="shared" si="2"/>
        <v xml:space="preserve"> </v>
      </c>
      <c r="J56" s="49" t="str">
        <f>+I56</f>
        <v xml:space="preserve"> </v>
      </c>
      <c r="R56" s="532"/>
    </row>
    <row r="57" spans="1:18" ht="15.9" customHeight="1">
      <c r="A57" s="43"/>
      <c r="B57" s="154">
        <f t="shared" si="3"/>
        <v>25</v>
      </c>
      <c r="C57" s="604" t="s">
        <v>119</v>
      </c>
      <c r="D57" s="605"/>
      <c r="E57" s="63"/>
      <c r="F57" s="48"/>
      <c r="G57" s="376"/>
      <c r="H57" s="392"/>
      <c r="I57" s="125"/>
      <c r="J57" s="49"/>
      <c r="R57" s="532"/>
    </row>
    <row r="58" spans="1:18" ht="15.9" customHeight="1">
      <c r="A58" s="43"/>
      <c r="B58" s="369"/>
      <c r="C58" s="66"/>
      <c r="D58" s="66"/>
      <c r="E58" s="50"/>
      <c r="F58" s="594" t="s">
        <v>69</v>
      </c>
      <c r="G58" s="595"/>
      <c r="H58" s="392"/>
      <c r="I58" s="596" t="s">
        <v>63</v>
      </c>
      <c r="J58" s="597"/>
    </row>
    <row r="59" spans="1:18" ht="15.9" customHeight="1">
      <c r="A59" s="43"/>
      <c r="B59" s="668" t="s">
        <v>120</v>
      </c>
      <c r="C59" s="669"/>
      <c r="D59" s="669"/>
      <c r="E59" s="485"/>
      <c r="F59" s="364" t="s">
        <v>71</v>
      </c>
      <c r="G59" s="364" t="s">
        <v>72</v>
      </c>
      <c r="H59" s="392"/>
      <c r="I59" s="369" t="s">
        <v>71</v>
      </c>
      <c r="J59" s="236" t="s">
        <v>72</v>
      </c>
    </row>
    <row r="60" spans="1:18" ht="15.9" customHeight="1">
      <c r="A60" s="483"/>
      <c r="B60" s="154">
        <v>1</v>
      </c>
      <c r="C60" s="598" t="s">
        <v>121</v>
      </c>
      <c r="D60" s="605"/>
      <c r="E60" s="487"/>
      <c r="F60" s="62">
        <f>C220/F21/F54</f>
        <v>129</v>
      </c>
      <c r="G60" s="376">
        <f>+F60*F6</f>
        <v>1388.5559999999998</v>
      </c>
      <c r="H60" s="392"/>
      <c r="I60" s="130">
        <f>+F60/$J$5</f>
        <v>1.228337459531518</v>
      </c>
      <c r="J60" s="49">
        <f>+I60*$I$6</f>
        <v>13.221824414397259</v>
      </c>
    </row>
    <row r="61" spans="1:18" ht="15.9" customHeight="1">
      <c r="A61" s="483"/>
      <c r="B61" s="154">
        <f>1+B60</f>
        <v>2</v>
      </c>
      <c r="C61" s="598" t="s">
        <v>122</v>
      </c>
      <c r="D61" s="605"/>
      <c r="E61" s="487"/>
      <c r="F61" s="62">
        <v>0</v>
      </c>
      <c r="G61" s="376">
        <v>0</v>
      </c>
      <c r="H61" s="392"/>
      <c r="I61" s="130">
        <f>+F61/$J$5</f>
        <v>0</v>
      </c>
      <c r="J61" s="49">
        <f>G61/J5</f>
        <v>0</v>
      </c>
    </row>
    <row r="62" spans="1:18" ht="15.9" customHeight="1">
      <c r="A62" s="488"/>
      <c r="B62" s="154">
        <f t="shared" ref="B62:B83" si="4">1+B61</f>
        <v>3</v>
      </c>
      <c r="C62" s="600" t="s">
        <v>123</v>
      </c>
      <c r="D62" s="601"/>
      <c r="E62" s="67"/>
      <c r="F62" s="68">
        <f>F60+F61</f>
        <v>129</v>
      </c>
      <c r="G62" s="194">
        <f>+G60+G61</f>
        <v>1388.5559999999998</v>
      </c>
      <c r="H62" s="392"/>
      <c r="I62" s="131">
        <f>I60+I61</f>
        <v>1.228337459531518</v>
      </c>
      <c r="J62" s="47">
        <f>+J60+J61</f>
        <v>13.221824414397259</v>
      </c>
    </row>
    <row r="63" spans="1:18" ht="15.9" customHeight="1">
      <c r="A63" s="69"/>
      <c r="B63" s="154">
        <f t="shared" si="4"/>
        <v>4</v>
      </c>
      <c r="C63" s="598" t="s">
        <v>317</v>
      </c>
      <c r="D63" s="605"/>
      <c r="E63" s="48"/>
      <c r="F63" s="46">
        <f>F62*F21</f>
        <v>1227435</v>
      </c>
      <c r="G63" s="373">
        <f>+F63</f>
        <v>1227435</v>
      </c>
      <c r="H63" s="392"/>
      <c r="I63" s="124">
        <f>+F63/$J$5</f>
        <v>11687.630927442393</v>
      </c>
      <c r="J63" s="47">
        <f>+I63</f>
        <v>11687.630927442393</v>
      </c>
    </row>
    <row r="64" spans="1:18" ht="15.9" customHeight="1">
      <c r="A64" s="69"/>
      <c r="B64" s="154">
        <f t="shared" si="4"/>
        <v>5</v>
      </c>
      <c r="C64" s="598" t="s">
        <v>124</v>
      </c>
      <c r="D64" s="605"/>
      <c r="E64" s="48"/>
      <c r="F64" s="62">
        <f>I220/F21/F54</f>
        <v>17.548935056250006</v>
      </c>
      <c r="G64" s="376">
        <f>+F64*F6</f>
        <v>188.89673694547506</v>
      </c>
      <c r="H64" s="392"/>
      <c r="I64" s="130">
        <f>+F64/J5</f>
        <v>0.16710088608122267</v>
      </c>
      <c r="J64" s="64">
        <f>+I64*$I$6</f>
        <v>1.7986739377782808</v>
      </c>
    </row>
    <row r="65" spans="1:10" ht="15.9" customHeight="1">
      <c r="A65" s="489"/>
      <c r="B65" s="154">
        <f t="shared" si="4"/>
        <v>6</v>
      </c>
      <c r="C65" s="604" t="s">
        <v>318</v>
      </c>
      <c r="D65" s="605"/>
      <c r="E65" s="63"/>
      <c r="F65" s="46">
        <f>+F64*F21</f>
        <v>166978.11706021879</v>
      </c>
      <c r="G65" s="46">
        <f>+G64*G21*1.01</f>
        <v>168647.89823082101</v>
      </c>
      <c r="H65" s="392"/>
      <c r="I65" s="124">
        <f>+F65/$J$5</f>
        <v>1589.9649310628338</v>
      </c>
      <c r="J65" s="47">
        <f>+I65</f>
        <v>1589.9649310628338</v>
      </c>
    </row>
    <row r="66" spans="1:10" ht="15.9" customHeight="1">
      <c r="A66" s="43"/>
      <c r="B66" s="154">
        <f t="shared" si="4"/>
        <v>7</v>
      </c>
      <c r="C66" s="604" t="s">
        <v>319</v>
      </c>
      <c r="D66" s="605"/>
      <c r="E66" s="51"/>
      <c r="F66" s="48">
        <f>(+G220/F54)</f>
        <v>182750</v>
      </c>
      <c r="G66" s="376">
        <f>+F66</f>
        <v>182750</v>
      </c>
      <c r="H66" s="392"/>
      <c r="I66" s="125">
        <f t="shared" ref="I66:I82" si="5">+F66/$J$5</f>
        <v>1740.144734336317</v>
      </c>
      <c r="J66" s="49">
        <f>G66/J5</f>
        <v>1740.144734336317</v>
      </c>
    </row>
    <row r="67" spans="1:10" ht="15.9" customHeight="1">
      <c r="A67" s="69"/>
      <c r="B67" s="154">
        <f t="shared" si="4"/>
        <v>8</v>
      </c>
      <c r="C67" s="604" t="s">
        <v>125</v>
      </c>
      <c r="D67" s="605"/>
      <c r="E67" s="48"/>
      <c r="F67" s="48">
        <f>Main!B9</f>
        <v>11418000</v>
      </c>
      <c r="G67" s="376">
        <f>F67</f>
        <v>11418000</v>
      </c>
      <c r="H67" s="392"/>
      <c r="I67" s="130">
        <f t="shared" si="5"/>
        <v>108722.14816225482</v>
      </c>
      <c r="J67" s="49">
        <f>G67/J5</f>
        <v>108722.14816225482</v>
      </c>
    </row>
    <row r="68" spans="1:10" ht="13">
      <c r="A68" s="69"/>
      <c r="B68" s="154">
        <f t="shared" si="4"/>
        <v>9</v>
      </c>
      <c r="C68" s="604" t="s">
        <v>126</v>
      </c>
      <c r="D68" s="605"/>
      <c r="E68" s="48"/>
      <c r="F68" s="48">
        <v>0</v>
      </c>
      <c r="G68" s="376">
        <f>F68</f>
        <v>0</v>
      </c>
      <c r="H68" s="392"/>
      <c r="I68" s="130">
        <f t="shared" si="5"/>
        <v>0</v>
      </c>
      <c r="J68" s="49">
        <f>+G68/J5</f>
        <v>0</v>
      </c>
    </row>
    <row r="69" spans="1:10" ht="21.75" customHeight="1">
      <c r="A69" s="69"/>
      <c r="B69" s="154">
        <f t="shared" si="4"/>
        <v>10</v>
      </c>
      <c r="C69" s="598" t="s">
        <v>127</v>
      </c>
      <c r="D69" s="605"/>
      <c r="E69" s="48"/>
      <c r="F69" s="48">
        <v>500000</v>
      </c>
      <c r="G69" s="376">
        <f>+F69</f>
        <v>500000</v>
      </c>
      <c r="H69" s="392"/>
      <c r="I69" s="130">
        <f t="shared" si="5"/>
        <v>4760.9979051609216</v>
      </c>
      <c r="J69" s="49">
        <f t="shared" ref="J69:J81" si="6">+I69*$I$6</f>
        <v>51247.381451152156</v>
      </c>
    </row>
    <row r="70" spans="1:10" ht="13">
      <c r="A70" s="69"/>
      <c r="B70" s="154">
        <f t="shared" si="4"/>
        <v>11</v>
      </c>
      <c r="C70" s="604" t="s">
        <v>128</v>
      </c>
      <c r="D70" s="605"/>
      <c r="E70" s="48"/>
      <c r="F70" s="46">
        <v>0</v>
      </c>
      <c r="G70" s="373"/>
      <c r="H70" s="392"/>
      <c r="I70" s="130">
        <f t="shared" si="5"/>
        <v>0</v>
      </c>
      <c r="J70" s="49">
        <f t="shared" si="6"/>
        <v>0</v>
      </c>
    </row>
    <row r="71" spans="1:10" ht="15.9" customHeight="1">
      <c r="A71" s="43"/>
      <c r="B71" s="154">
        <f t="shared" si="4"/>
        <v>12</v>
      </c>
      <c r="C71" s="604" t="s">
        <v>129</v>
      </c>
      <c r="D71" s="605"/>
      <c r="E71" s="48"/>
      <c r="F71" s="46">
        <f>F38*F23*F33</f>
        <v>0</v>
      </c>
      <c r="G71" s="193">
        <f>F71</f>
        <v>0</v>
      </c>
      <c r="H71" s="392"/>
      <c r="I71" s="130">
        <f t="shared" si="5"/>
        <v>0</v>
      </c>
      <c r="J71" s="49">
        <f t="shared" si="6"/>
        <v>0</v>
      </c>
    </row>
    <row r="72" spans="1:10" ht="15.9" customHeight="1">
      <c r="A72" s="43"/>
      <c r="B72" s="154">
        <f t="shared" si="4"/>
        <v>13</v>
      </c>
      <c r="C72" s="604" t="s">
        <v>130</v>
      </c>
      <c r="D72" s="605"/>
      <c r="E72" s="48"/>
      <c r="F72" s="48">
        <v>0</v>
      </c>
      <c r="G72" s="191">
        <f>+F72</f>
        <v>0</v>
      </c>
      <c r="H72" s="392"/>
      <c r="I72" s="130">
        <f t="shared" si="5"/>
        <v>0</v>
      </c>
      <c r="J72" s="49">
        <f t="shared" si="6"/>
        <v>0</v>
      </c>
    </row>
    <row r="73" spans="1:10" ht="15.9" customHeight="1">
      <c r="A73" s="43"/>
      <c r="B73" s="154">
        <f t="shared" si="4"/>
        <v>14</v>
      </c>
      <c r="C73" s="598" t="s">
        <v>131</v>
      </c>
      <c r="D73" s="605"/>
      <c r="E73" s="486"/>
      <c r="F73" s="60">
        <f>+F35*F63</f>
        <v>0</v>
      </c>
      <c r="G73" s="191">
        <f>G35*G63</f>
        <v>0</v>
      </c>
      <c r="H73" s="392"/>
      <c r="I73" s="130">
        <f t="shared" si="5"/>
        <v>0</v>
      </c>
      <c r="J73" s="49">
        <f t="shared" si="6"/>
        <v>0</v>
      </c>
    </row>
    <row r="74" spans="1:10" ht="15.9" customHeight="1">
      <c r="A74" s="43"/>
      <c r="B74" s="154">
        <f t="shared" si="4"/>
        <v>15</v>
      </c>
      <c r="C74" s="462" t="s">
        <v>132</v>
      </c>
      <c r="D74" s="463"/>
      <c r="E74" s="486"/>
      <c r="F74" s="344">
        <f>F119</f>
        <v>699.78</v>
      </c>
      <c r="G74" s="448">
        <v>0</v>
      </c>
      <c r="H74" s="392"/>
      <c r="I74" s="130">
        <f>+F74/J5</f>
        <v>6.6633022281470193</v>
      </c>
      <c r="J74" s="49">
        <f t="shared" si="6"/>
        <v>71.72378518377451</v>
      </c>
    </row>
    <row r="75" spans="1:10" ht="15.9" customHeight="1">
      <c r="A75" s="43"/>
      <c r="B75" s="154">
        <f t="shared" si="4"/>
        <v>16</v>
      </c>
      <c r="C75" s="598" t="s">
        <v>133</v>
      </c>
      <c r="D75" s="605"/>
      <c r="E75" s="51"/>
      <c r="F75" s="48">
        <f>+F77/F23</f>
        <v>1471.3610089332633</v>
      </c>
      <c r="G75" s="191">
        <f>+G77/G23</f>
        <v>15837.729900157645</v>
      </c>
      <c r="H75" s="392"/>
      <c r="I75" s="130">
        <f t="shared" si="5"/>
        <v>14.010293362533455</v>
      </c>
      <c r="J75" s="49">
        <f t="shared" si="6"/>
        <v>150.80679775431011</v>
      </c>
    </row>
    <row r="76" spans="1:10" ht="15.9" customHeight="1">
      <c r="A76" s="43"/>
      <c r="B76" s="154">
        <f t="shared" si="4"/>
        <v>17</v>
      </c>
      <c r="C76" s="598" t="s">
        <v>134</v>
      </c>
      <c r="D76" s="605"/>
      <c r="E76" s="63"/>
      <c r="F76" s="43"/>
      <c r="G76" s="481"/>
      <c r="H76" s="392"/>
      <c r="I76" s="130">
        <f t="shared" si="5"/>
        <v>0</v>
      </c>
      <c r="J76" s="49">
        <f t="shared" si="6"/>
        <v>0</v>
      </c>
    </row>
    <row r="77" spans="1:10" ht="15.9" customHeight="1">
      <c r="A77" s="43"/>
      <c r="B77" s="154">
        <f t="shared" si="4"/>
        <v>18</v>
      </c>
      <c r="C77" s="598" t="s">
        <v>135</v>
      </c>
      <c r="D77" s="605"/>
      <c r="E77" s="63"/>
      <c r="F77" s="48">
        <f>'CAPEX and PM'!B6</f>
        <v>14000000</v>
      </c>
      <c r="G77" s="376">
        <f>F77</f>
        <v>14000000</v>
      </c>
      <c r="H77" s="392"/>
      <c r="I77" s="125">
        <f t="shared" si="5"/>
        <v>133307.94134450582</v>
      </c>
      <c r="J77" s="49">
        <f>+G77/J5</f>
        <v>133307.94134450582</v>
      </c>
    </row>
    <row r="78" spans="1:10" ht="15.9" customHeight="1">
      <c r="A78" s="43"/>
      <c r="B78" s="154">
        <f t="shared" si="4"/>
        <v>19</v>
      </c>
      <c r="C78" s="598" t="s">
        <v>136</v>
      </c>
      <c r="D78" s="605"/>
      <c r="E78" s="63"/>
      <c r="F78" s="48">
        <f>'CAPEX and PM'!B37</f>
        <v>43000000</v>
      </c>
      <c r="G78" s="376">
        <f>+F78</f>
        <v>43000000</v>
      </c>
      <c r="H78" s="392"/>
      <c r="I78" s="130">
        <f t="shared" si="5"/>
        <v>409445.81984383927</v>
      </c>
      <c r="J78" s="49">
        <f t="shared" si="6"/>
        <v>4407274.8047990855</v>
      </c>
    </row>
    <row r="79" spans="1:10" ht="15.9" customHeight="1">
      <c r="A79" s="43"/>
      <c r="B79" s="154">
        <f t="shared" si="4"/>
        <v>20</v>
      </c>
      <c r="C79" s="598" t="s">
        <v>137</v>
      </c>
      <c r="D79" s="605"/>
      <c r="E79" s="63"/>
      <c r="F79" s="48">
        <f>+'CAPEX and PM'!B104</f>
        <v>2500000</v>
      </c>
      <c r="G79" s="376">
        <f>F79</f>
        <v>2500000</v>
      </c>
      <c r="H79" s="392"/>
      <c r="I79" s="130">
        <f t="shared" si="5"/>
        <v>23804.989525804609</v>
      </c>
      <c r="J79" s="49">
        <f t="shared" si="6"/>
        <v>256236.9072557608</v>
      </c>
    </row>
    <row r="80" spans="1:10" ht="15.9" customHeight="1">
      <c r="A80" s="43"/>
      <c r="B80" s="154">
        <f t="shared" si="4"/>
        <v>21</v>
      </c>
      <c r="C80" s="598" t="s">
        <v>138</v>
      </c>
      <c r="D80" s="605"/>
      <c r="E80" s="63"/>
      <c r="F80" s="48"/>
      <c r="G80" s="376"/>
      <c r="H80" s="392"/>
      <c r="I80" s="130">
        <f t="shared" si="5"/>
        <v>0</v>
      </c>
      <c r="J80" s="49">
        <f t="shared" si="6"/>
        <v>0</v>
      </c>
    </row>
    <row r="81" spans="1:24" ht="15.9" customHeight="1">
      <c r="A81" s="43"/>
      <c r="B81" s="154">
        <f t="shared" si="4"/>
        <v>22</v>
      </c>
      <c r="C81" s="598" t="s">
        <v>139</v>
      </c>
      <c r="D81" s="599"/>
      <c r="E81" s="63"/>
      <c r="F81" s="48"/>
      <c r="G81" s="376"/>
      <c r="H81" s="392"/>
      <c r="I81" s="130">
        <f t="shared" si="5"/>
        <v>0</v>
      </c>
      <c r="J81" s="49">
        <f t="shared" si="6"/>
        <v>0</v>
      </c>
    </row>
    <row r="82" spans="1:24" ht="15.9" customHeight="1">
      <c r="A82" s="43"/>
      <c r="B82" s="154">
        <f t="shared" si="4"/>
        <v>23</v>
      </c>
      <c r="C82" s="598" t="s">
        <v>140</v>
      </c>
      <c r="D82" s="605"/>
      <c r="E82" s="51"/>
      <c r="F82" s="48">
        <f>+G207</f>
        <v>565315.30184775486</v>
      </c>
      <c r="G82" s="376">
        <f>+F82</f>
        <v>565315.30184775486</v>
      </c>
      <c r="H82" s="392"/>
      <c r="I82" s="125">
        <f t="shared" si="5"/>
        <v>5382.9299357051505</v>
      </c>
      <c r="J82" s="49">
        <f>G82/J5</f>
        <v>5382.9299357051505</v>
      </c>
    </row>
    <row r="83" spans="1:24" ht="22.5" customHeight="1">
      <c r="A83" s="43"/>
      <c r="B83" s="154">
        <f t="shared" si="4"/>
        <v>24</v>
      </c>
      <c r="C83" s="598" t="s">
        <v>320</v>
      </c>
      <c r="D83" s="605"/>
      <c r="E83" s="486"/>
      <c r="F83" s="48">
        <f>+F30</f>
        <v>0</v>
      </c>
      <c r="G83" s="376">
        <f>+F83</f>
        <v>0</v>
      </c>
      <c r="H83" s="392"/>
      <c r="I83" s="125">
        <v>4</v>
      </c>
      <c r="J83" s="49">
        <f>G83/J5</f>
        <v>0</v>
      </c>
    </row>
    <row r="84" spans="1:24" ht="15.9" customHeight="1">
      <c r="A84" s="43"/>
      <c r="B84" s="71"/>
      <c r="C84" s="43"/>
      <c r="D84" s="43"/>
      <c r="E84" s="72"/>
      <c r="F84" s="43"/>
      <c r="G84" s="43"/>
      <c r="H84" s="392"/>
      <c r="I84" s="86"/>
      <c r="J84" s="73"/>
    </row>
    <row r="85" spans="1:24" ht="15.9" customHeight="1">
      <c r="A85" s="43"/>
      <c r="B85" s="606" t="s">
        <v>141</v>
      </c>
      <c r="C85" s="607"/>
      <c r="D85" s="608"/>
      <c r="E85" s="377"/>
      <c r="F85" s="153" t="s">
        <v>71</v>
      </c>
      <c r="G85" s="153" t="s">
        <v>72</v>
      </c>
      <c r="H85" s="392"/>
      <c r="I85" s="362" t="s">
        <v>71</v>
      </c>
      <c r="J85" s="45" t="s">
        <v>72</v>
      </c>
    </row>
    <row r="86" spans="1:24" ht="15.9" customHeight="1">
      <c r="A86" s="69"/>
      <c r="B86" s="154">
        <v>1</v>
      </c>
      <c r="C86" s="598" t="s">
        <v>142</v>
      </c>
      <c r="D86" s="605"/>
      <c r="E86" s="63"/>
      <c r="F86" s="62">
        <f>+F62</f>
        <v>129</v>
      </c>
      <c r="G86" s="192">
        <f>+G62</f>
        <v>1388.5559999999998</v>
      </c>
      <c r="H86" s="392"/>
      <c r="I86" s="130">
        <f>+F86/J5</f>
        <v>1.228337459531518</v>
      </c>
      <c r="J86" s="64">
        <f>G86/J5</f>
        <v>13.221824414397256</v>
      </c>
      <c r="S86" s="388"/>
      <c r="T86" s="388"/>
      <c r="X86" s="394"/>
    </row>
    <row r="87" spans="1:24" ht="15.9" customHeight="1">
      <c r="A87" s="43"/>
      <c r="B87" s="154">
        <f>1+B86</f>
        <v>2</v>
      </c>
      <c r="C87" s="604" t="s">
        <v>143</v>
      </c>
      <c r="D87" s="605"/>
      <c r="E87" s="65"/>
      <c r="F87" s="48">
        <v>0</v>
      </c>
      <c r="G87" s="376">
        <v>0</v>
      </c>
      <c r="H87" s="392"/>
      <c r="I87" s="125">
        <v>0</v>
      </c>
      <c r="J87" s="49">
        <v>0</v>
      </c>
      <c r="T87" s="388"/>
    </row>
    <row r="88" spans="1:24" ht="15.9" customHeight="1">
      <c r="A88" s="43"/>
      <c r="B88" s="154">
        <f t="shared" ref="B88:B94" si="7">+B87+1</f>
        <v>3</v>
      </c>
      <c r="C88" s="604" t="s">
        <v>144</v>
      </c>
      <c r="D88" s="605"/>
      <c r="E88" s="65"/>
      <c r="F88" s="62">
        <f>(F66/F23)</f>
        <v>19.206516027325275</v>
      </c>
      <c r="G88" s="192">
        <f>+F88*F6</f>
        <v>206.73893851812926</v>
      </c>
      <c r="H88" s="392"/>
      <c r="I88" s="130">
        <f>+F88/J5</f>
        <v>0.1828843651430706</v>
      </c>
      <c r="J88" s="64">
        <f>+I88*I6</f>
        <v>1.9685673064000118</v>
      </c>
      <c r="S88" s="388"/>
      <c r="T88" s="388"/>
    </row>
    <row r="89" spans="1:24" ht="15.9" customHeight="1">
      <c r="A89" s="43"/>
      <c r="B89" s="154">
        <f t="shared" si="7"/>
        <v>4</v>
      </c>
      <c r="C89" s="604" t="s">
        <v>145</v>
      </c>
      <c r="D89" s="605"/>
      <c r="E89" s="65"/>
      <c r="F89" s="58">
        <f>'Security Deposit'!C17</f>
        <v>10.729900157645822</v>
      </c>
      <c r="G89" s="190">
        <f>F89*F6</f>
        <v>115.49664529689963</v>
      </c>
      <c r="H89" s="392"/>
      <c r="I89" s="130">
        <f>F89/$J$5</f>
        <v>0.10217006434627521</v>
      </c>
      <c r="J89" s="64">
        <f>I89*I6</f>
        <v>1.0997585726233063</v>
      </c>
      <c r="S89" s="388"/>
      <c r="T89" s="388"/>
    </row>
    <row r="90" spans="1:24" ht="15.9" customHeight="1">
      <c r="A90" s="43"/>
      <c r="B90" s="154">
        <f t="shared" si="7"/>
        <v>5</v>
      </c>
      <c r="C90" s="604" t="s">
        <v>285</v>
      </c>
      <c r="D90" s="605"/>
      <c r="E90" s="65"/>
      <c r="F90" s="190">
        <f>+F64</f>
        <v>17.548935056250006</v>
      </c>
      <c r="G90" s="376">
        <f>+F90*$F$6</f>
        <v>188.89673694547506</v>
      </c>
      <c r="H90" s="392"/>
      <c r="I90" s="130">
        <f>F90/$J$5</f>
        <v>0.16710088608122267</v>
      </c>
      <c r="J90" s="64">
        <f>I90*I6</f>
        <v>1.7986739377782808</v>
      </c>
      <c r="S90" s="388"/>
      <c r="T90" s="388"/>
    </row>
    <row r="91" spans="1:24" ht="15.9" customHeight="1">
      <c r="A91" s="157"/>
      <c r="B91" s="154">
        <f>+B89+1</f>
        <v>5</v>
      </c>
      <c r="C91" s="604" t="s">
        <v>146</v>
      </c>
      <c r="D91" s="605"/>
      <c r="E91" s="65"/>
      <c r="F91" s="58">
        <f>(+F83/F21/F54)</f>
        <v>0</v>
      </c>
      <c r="G91" s="190">
        <f>(+G83/G21/G54)</f>
        <v>0</v>
      </c>
      <c r="H91" s="392"/>
      <c r="I91" s="130">
        <f>F91/$J$5</f>
        <v>0</v>
      </c>
      <c r="J91" s="64">
        <f>+I91*$I$6</f>
        <v>0</v>
      </c>
      <c r="T91" s="388"/>
    </row>
    <row r="92" spans="1:24" ht="15.9" customHeight="1">
      <c r="A92" s="43"/>
      <c r="B92" s="154">
        <f t="shared" si="7"/>
        <v>6</v>
      </c>
      <c r="C92" s="604" t="s">
        <v>147</v>
      </c>
      <c r="D92" s="605"/>
      <c r="E92" s="65"/>
      <c r="F92" s="58">
        <f>F82/F21/F54</f>
        <v>0.82518144136123495</v>
      </c>
      <c r="G92" s="190">
        <f>G82/G21/G54</f>
        <v>8.882253034812333</v>
      </c>
      <c r="H92" s="392"/>
      <c r="I92" s="130">
        <f>+F92/J5</f>
        <v>7.8573742273970199E-3</v>
      </c>
      <c r="J92" s="64">
        <f>+I92*$I$6</f>
        <v>8.4576776183701519E-2</v>
      </c>
      <c r="S92" s="388"/>
      <c r="T92" s="388"/>
    </row>
    <row r="93" spans="1:24" ht="15.9" customHeight="1">
      <c r="A93" s="43"/>
      <c r="B93" s="154">
        <f t="shared" si="7"/>
        <v>7</v>
      </c>
      <c r="C93" s="598" t="s">
        <v>148</v>
      </c>
      <c r="D93" s="605"/>
      <c r="E93" s="63"/>
      <c r="F93" s="58">
        <f>+G93/F6</f>
        <v>21.957509844757084</v>
      </c>
      <c r="G93" s="190">
        <f>(+SUM(G86:G92)+G103)*7%</f>
        <v>236.35063596896524</v>
      </c>
      <c r="H93" s="392"/>
      <c r="I93" s="130">
        <f>+F93/J5</f>
        <v>0.2090793167468776</v>
      </c>
      <c r="J93" s="59">
        <f>I93*I6</f>
        <v>2.2505297654633902</v>
      </c>
      <c r="S93" s="388"/>
      <c r="T93" s="388"/>
    </row>
    <row r="94" spans="1:24" ht="15.9" customHeight="1">
      <c r="A94" s="43"/>
      <c r="B94" s="154">
        <f t="shared" si="7"/>
        <v>8</v>
      </c>
      <c r="C94" s="600" t="s">
        <v>65</v>
      </c>
      <c r="D94" s="601"/>
      <c r="E94" s="70"/>
      <c r="F94" s="201">
        <f>SUM(F86:F93)</f>
        <v>199.26804252733942</v>
      </c>
      <c r="G94" s="46">
        <f>SUM(G86:G93)</f>
        <v>2144.9212097642817</v>
      </c>
      <c r="H94" s="398"/>
      <c r="I94" s="180">
        <f>SUM(I86:I93)</f>
        <v>1.8974294660763611</v>
      </c>
      <c r="J94" s="181">
        <f>SUM(J86:J93)</f>
        <v>20.423930772845949</v>
      </c>
      <c r="S94" s="388"/>
      <c r="T94" s="388"/>
    </row>
    <row r="95" spans="1:24" ht="15.9" customHeight="1">
      <c r="A95" s="43"/>
      <c r="B95" s="369"/>
      <c r="C95" s="595"/>
      <c r="D95" s="595"/>
      <c r="E95" s="76"/>
      <c r="F95" s="77"/>
      <c r="G95" s="77"/>
      <c r="H95" s="392"/>
      <c r="I95" s="132"/>
      <c r="J95" s="78"/>
    </row>
    <row r="96" spans="1:24" ht="15.9" customHeight="1">
      <c r="A96" s="43"/>
      <c r="B96" s="602" t="s">
        <v>149</v>
      </c>
      <c r="C96" s="603"/>
      <c r="D96" s="603"/>
      <c r="E96" s="79"/>
      <c r="F96" s="153" t="s">
        <v>71</v>
      </c>
      <c r="G96" s="153" t="s">
        <v>72</v>
      </c>
      <c r="H96" s="392"/>
      <c r="I96" s="362" t="s">
        <v>71</v>
      </c>
      <c r="J96" s="45" t="s">
        <v>72</v>
      </c>
      <c r="W96" s="404"/>
    </row>
    <row r="97" spans="1:26" ht="15.9" customHeight="1">
      <c r="A97" s="43"/>
      <c r="B97" s="154">
        <v>1</v>
      </c>
      <c r="C97" s="604" t="str">
        <f>+C76</f>
        <v>Siemens Standard Fitout (Existing)</v>
      </c>
      <c r="D97" s="605"/>
      <c r="E97" s="80"/>
      <c r="F97" s="58">
        <v>0</v>
      </c>
      <c r="G97" s="192">
        <f>+F97*F6</f>
        <v>0</v>
      </c>
      <c r="H97" s="392"/>
      <c r="I97" s="125">
        <f>F97/J5</f>
        <v>0</v>
      </c>
      <c r="J97" s="49">
        <f>+I97*I6</f>
        <v>0</v>
      </c>
      <c r="Z97" s="453"/>
    </row>
    <row r="98" spans="1:26" ht="15.9" customHeight="1">
      <c r="A98" s="43"/>
      <c r="B98" s="154">
        <f t="shared" ref="B98:B103" si="8">+B97+1</f>
        <v>2</v>
      </c>
      <c r="C98" s="604" t="str">
        <f>+C77</f>
        <v>Siemens Standard Fitout (New)</v>
      </c>
      <c r="D98" s="605"/>
      <c r="E98" s="63"/>
      <c r="F98" s="58">
        <f>'CAPEX and PM'!B29</f>
        <v>57.834863568245076</v>
      </c>
      <c r="G98" s="192">
        <f>+F98*F6</f>
        <v>622.53447144859001</v>
      </c>
      <c r="H98" s="392"/>
      <c r="I98" s="130">
        <f>+F98/$J$5</f>
        <v>0.55070332858736504</v>
      </c>
      <c r="J98" s="64">
        <f>+I98*$I$6</f>
        <v>5.9277706289143968</v>
      </c>
      <c r="S98" s="388"/>
      <c r="Z98" s="394"/>
    </row>
    <row r="99" spans="1:26" ht="15.9" customHeight="1">
      <c r="A99" s="43"/>
      <c r="B99" s="154">
        <f t="shared" si="8"/>
        <v>3</v>
      </c>
      <c r="C99" s="604" t="str">
        <f>+C78</f>
        <v>Capex over the period of lease period</v>
      </c>
      <c r="D99" s="605"/>
      <c r="E99" s="63"/>
      <c r="F99" s="58">
        <f>'CAPEX and PM'!B98</f>
        <v>73.736884743387648</v>
      </c>
      <c r="G99" s="192">
        <f>+F99*F6</f>
        <v>793.70382737782461</v>
      </c>
      <c r="H99" s="392"/>
      <c r="I99" s="130">
        <f>+F99/$J$5</f>
        <v>0.70212230759272187</v>
      </c>
      <c r="J99" s="64">
        <f>+I99*$I$6</f>
        <v>7.5576445189280577</v>
      </c>
      <c r="T99" s="388"/>
      <c r="W99" s="404"/>
    </row>
    <row r="100" spans="1:26" ht="15.9" customHeight="1">
      <c r="A100" s="43"/>
      <c r="B100" s="154">
        <f t="shared" si="8"/>
        <v>4</v>
      </c>
      <c r="C100" s="604" t="str">
        <f>+C79</f>
        <v>PM cost over the period of lease period</v>
      </c>
      <c r="D100" s="605"/>
      <c r="E100" s="63"/>
      <c r="F100" s="58">
        <f>+'CAPEX and PM'!B105</f>
        <v>3.6492088515209904</v>
      </c>
      <c r="G100" s="192">
        <f>+F100*F6</f>
        <v>39.280084077771939</v>
      </c>
      <c r="H100" s="392"/>
      <c r="I100" s="130">
        <f>+F100/$J$5</f>
        <v>3.4747751395172256E-2</v>
      </c>
      <c r="J100" s="64">
        <f>+I100*$I$6</f>
        <v>0.37402479601763416</v>
      </c>
      <c r="S100" s="388"/>
      <c r="T100" s="388"/>
    </row>
    <row r="101" spans="1:26" ht="15.9" customHeight="1">
      <c r="A101" s="43"/>
      <c r="B101" s="154">
        <f t="shared" si="8"/>
        <v>5</v>
      </c>
      <c r="C101" s="604" t="str">
        <f>+C80</f>
        <v>Asset Retirement Obligation ( Removal &amp; Restoration Obligation)</v>
      </c>
      <c r="D101" s="605"/>
      <c r="E101" s="63"/>
      <c r="F101" s="58">
        <f>'Security Deposit'!D25</f>
        <v>1.1472222222222224</v>
      </c>
      <c r="G101" s="192">
        <f>F101*10.764</f>
        <v>12.348700000000001</v>
      </c>
      <c r="H101" s="392"/>
      <c r="I101" s="128">
        <f>+F101/J5</f>
        <v>1.0923845193508117E-2</v>
      </c>
      <c r="J101" s="59">
        <f>+G101/J5</f>
        <v>0.11758426966292136</v>
      </c>
      <c r="S101" s="388"/>
      <c r="T101" s="388"/>
      <c r="V101" s="404"/>
      <c r="W101" s="461"/>
      <c r="Z101" s="453"/>
    </row>
    <row r="102" spans="1:26" ht="15.9" customHeight="1">
      <c r="A102" s="43"/>
      <c r="B102" s="154">
        <f t="shared" si="8"/>
        <v>6</v>
      </c>
      <c r="C102" s="598" t="s">
        <v>150</v>
      </c>
      <c r="D102" s="605"/>
      <c r="E102" s="65"/>
      <c r="F102" s="58">
        <f>+F81/F21/F27</f>
        <v>0</v>
      </c>
      <c r="G102" s="192">
        <f>+F102*F6</f>
        <v>0</v>
      </c>
      <c r="H102" s="392"/>
      <c r="I102" s="130">
        <f>+F102/J5</f>
        <v>0</v>
      </c>
      <c r="J102" s="64">
        <f>+I102*I6</f>
        <v>0</v>
      </c>
      <c r="U102" s="452"/>
      <c r="Z102" s="394"/>
    </row>
    <row r="103" spans="1:26" ht="15.9" customHeight="1">
      <c r="A103" s="43"/>
      <c r="B103" s="154">
        <f t="shared" si="8"/>
        <v>7</v>
      </c>
      <c r="C103" s="600" t="s">
        <v>151</v>
      </c>
      <c r="D103" s="601"/>
      <c r="E103" s="70"/>
      <c r="F103" s="46">
        <f>SUM(F97:F102)</f>
        <v>136.36817938537592</v>
      </c>
      <c r="G103" s="46">
        <f>SUM(G97:G102)</f>
        <v>1467.8670829041866</v>
      </c>
      <c r="H103" s="392"/>
      <c r="I103" s="131">
        <f>SUM(I97:I102)</f>
        <v>1.2984972327687672</v>
      </c>
      <c r="J103" s="131">
        <f>SUM(J97:J102)</f>
        <v>13.977024213523011</v>
      </c>
      <c r="S103" s="388"/>
      <c r="T103" s="388"/>
    </row>
    <row r="104" spans="1:26" ht="15.9" customHeight="1">
      <c r="A104" s="43"/>
      <c r="B104" s="369"/>
      <c r="C104" s="75"/>
      <c r="D104" s="75"/>
      <c r="E104" s="76"/>
      <c r="F104" s="374"/>
      <c r="G104" s="374"/>
      <c r="H104" s="392"/>
      <c r="I104" s="371"/>
      <c r="J104" s="372"/>
      <c r="S104" s="455"/>
    </row>
    <row r="105" spans="1:26" ht="15.9" customHeight="1">
      <c r="A105" s="43"/>
      <c r="B105" s="609" t="s">
        <v>152</v>
      </c>
      <c r="C105" s="610"/>
      <c r="D105" s="610"/>
      <c r="E105" s="79"/>
      <c r="F105" s="153" t="s">
        <v>71</v>
      </c>
      <c r="G105" s="153" t="s">
        <v>72</v>
      </c>
      <c r="H105" s="392"/>
      <c r="I105" s="362" t="s">
        <v>71</v>
      </c>
      <c r="J105" s="45" t="s">
        <v>72</v>
      </c>
    </row>
    <row r="106" spans="1:26" ht="15.9" customHeight="1">
      <c r="A106" s="43"/>
      <c r="B106" s="154">
        <v>1</v>
      </c>
      <c r="C106" s="598" t="s">
        <v>65</v>
      </c>
      <c r="D106" s="605"/>
      <c r="E106" s="63"/>
      <c r="F106" s="48">
        <f>+F94</f>
        <v>199.26804252733942</v>
      </c>
      <c r="G106" s="48">
        <f>+G94</f>
        <v>2144.9212097642817</v>
      </c>
      <c r="H106" s="392"/>
      <c r="I106" s="128">
        <f>+I94</f>
        <v>1.8974294660763611</v>
      </c>
      <c r="J106" s="64">
        <f>+J94</f>
        <v>20.423930772845949</v>
      </c>
      <c r="S106" s="388"/>
      <c r="T106" s="388"/>
    </row>
    <row r="107" spans="1:26" ht="15.9" customHeight="1">
      <c r="A107" s="43"/>
      <c r="B107" s="154">
        <f>+B106+1</f>
        <v>2</v>
      </c>
      <c r="C107" s="598" t="s">
        <v>151</v>
      </c>
      <c r="D107" s="599"/>
      <c r="E107" s="63"/>
      <c r="F107" s="48">
        <f>+F103</f>
        <v>136.36817938537592</v>
      </c>
      <c r="G107" s="376">
        <f>+G103</f>
        <v>1467.8670829041866</v>
      </c>
      <c r="H107" s="392"/>
      <c r="I107" s="128">
        <f>+I103</f>
        <v>1.2984972327687672</v>
      </c>
      <c r="J107" s="64">
        <f>+J103</f>
        <v>13.977024213523011</v>
      </c>
      <c r="S107" s="388"/>
      <c r="W107" s="451"/>
    </row>
    <row r="108" spans="1:26" ht="15.9" customHeight="1">
      <c r="A108" s="69"/>
      <c r="B108" s="154">
        <f>+B107+1</f>
        <v>3</v>
      </c>
      <c r="C108" s="600" t="s">
        <v>153</v>
      </c>
      <c r="D108" s="601"/>
      <c r="E108" s="70"/>
      <c r="F108" s="46">
        <f>SUM(F106:F107)</f>
        <v>335.63622191271531</v>
      </c>
      <c r="G108" s="46">
        <f>SUM(G106:G107)</f>
        <v>3612.7882926684683</v>
      </c>
      <c r="H108" s="392"/>
      <c r="I108" s="180">
        <f>SUM(I106:I107)</f>
        <v>3.1959266988451285</v>
      </c>
      <c r="J108" s="74">
        <f>SUM(J106:J107)</f>
        <v>34.400954986368959</v>
      </c>
      <c r="S108" s="388"/>
      <c r="T108" s="388"/>
      <c r="U108" s="388"/>
      <c r="V108" s="394"/>
      <c r="W108" s="394"/>
      <c r="X108" s="394"/>
      <c r="Y108" s="388"/>
    </row>
    <row r="109" spans="1:26" ht="15.9" customHeight="1">
      <c r="A109" s="43"/>
      <c r="B109" s="602" t="s">
        <v>154</v>
      </c>
      <c r="C109" s="603"/>
      <c r="D109" s="603"/>
      <c r="E109" s="81"/>
      <c r="F109" s="153" t="s">
        <v>71</v>
      </c>
      <c r="G109" s="153" t="s">
        <v>72</v>
      </c>
      <c r="H109" s="392"/>
      <c r="I109" s="362" t="s">
        <v>71</v>
      </c>
      <c r="J109" s="45" t="s">
        <v>72</v>
      </c>
      <c r="U109" s="394"/>
    </row>
    <row r="110" spans="1:26" ht="15.9" customHeight="1">
      <c r="A110" s="43"/>
      <c r="B110" s="237">
        <v>1</v>
      </c>
      <c r="C110" s="598" t="s">
        <v>155</v>
      </c>
      <c r="D110" s="599"/>
      <c r="E110" s="75"/>
      <c r="F110" s="364"/>
      <c r="G110" s="364"/>
      <c r="H110" s="392"/>
      <c r="I110" s="369"/>
      <c r="J110" s="236"/>
    </row>
    <row r="111" spans="1:26" ht="15.9" customHeight="1">
      <c r="A111" s="43"/>
      <c r="B111" s="154">
        <f t="shared" ref="B111:B119" si="9">1+B110</f>
        <v>2</v>
      </c>
      <c r="C111" s="598" t="s">
        <v>156</v>
      </c>
      <c r="D111" s="599"/>
      <c r="E111" s="75"/>
      <c r="F111" s="364"/>
      <c r="G111" s="364"/>
      <c r="H111" s="392"/>
      <c r="I111" s="369"/>
      <c r="J111" s="236"/>
      <c r="X111" s="388"/>
      <c r="Y111" s="396"/>
    </row>
    <row r="112" spans="1:26" ht="15.9" customHeight="1">
      <c r="A112" s="43"/>
      <c r="B112" s="154">
        <f t="shared" si="9"/>
        <v>3</v>
      </c>
      <c r="C112" s="598" t="s">
        <v>157</v>
      </c>
      <c r="D112" s="599"/>
      <c r="E112" s="75"/>
      <c r="F112" s="376">
        <f>+F64*0</f>
        <v>0</v>
      </c>
      <c r="G112" s="195">
        <f>+F112*$F$6</f>
        <v>0</v>
      </c>
      <c r="H112" s="392"/>
      <c r="I112" s="148">
        <f>+F112/$J$5</f>
        <v>0</v>
      </c>
      <c r="J112" s="186">
        <f>+I112*$F$6</f>
        <v>0</v>
      </c>
      <c r="X112" s="388"/>
      <c r="Y112" s="388"/>
    </row>
    <row r="113" spans="1:26" ht="15.9" customHeight="1">
      <c r="A113" s="43"/>
      <c r="B113" s="154">
        <f t="shared" si="9"/>
        <v>4</v>
      </c>
      <c r="C113" s="598" t="s">
        <v>158</v>
      </c>
      <c r="D113" s="599"/>
      <c r="E113" s="75"/>
      <c r="F113" s="364"/>
      <c r="G113" s="364"/>
      <c r="H113" s="392"/>
      <c r="I113" s="369"/>
      <c r="J113" s="236"/>
    </row>
    <row r="114" spans="1:26" ht="15.9" customHeight="1">
      <c r="A114" s="43"/>
      <c r="B114" s="154">
        <f t="shared" si="9"/>
        <v>5</v>
      </c>
      <c r="C114" s="598" t="s">
        <v>159</v>
      </c>
      <c r="D114" s="599"/>
      <c r="E114" s="75"/>
      <c r="F114" s="364"/>
      <c r="G114" s="364"/>
      <c r="H114" s="392"/>
      <c r="I114" s="369"/>
      <c r="J114" s="236"/>
    </row>
    <row r="115" spans="1:26" ht="15.9" customHeight="1">
      <c r="A115" s="43"/>
      <c r="B115" s="154">
        <f t="shared" si="9"/>
        <v>6</v>
      </c>
      <c r="C115" s="598" t="s">
        <v>160</v>
      </c>
      <c r="D115" s="599"/>
      <c r="E115" s="75"/>
      <c r="F115" s="364"/>
      <c r="G115" s="364"/>
      <c r="H115" s="392"/>
      <c r="I115" s="369"/>
      <c r="J115" s="236"/>
    </row>
    <row r="116" spans="1:26" ht="15.9" customHeight="1">
      <c r="A116" s="43"/>
      <c r="B116" s="154">
        <f t="shared" si="9"/>
        <v>7</v>
      </c>
      <c r="C116" s="598" t="s">
        <v>161</v>
      </c>
      <c r="D116" s="599"/>
      <c r="E116" s="75"/>
      <c r="F116" s="364"/>
      <c r="G116" s="364"/>
      <c r="H116" s="392"/>
      <c r="I116" s="369"/>
      <c r="J116" s="236"/>
    </row>
    <row r="117" spans="1:26" ht="15.9" customHeight="1">
      <c r="A117" s="43"/>
      <c r="B117" s="154">
        <f t="shared" si="9"/>
        <v>8</v>
      </c>
      <c r="C117" s="598" t="s">
        <v>162</v>
      </c>
      <c r="D117" s="605"/>
      <c r="E117" s="240"/>
      <c r="F117" s="348">
        <v>654</v>
      </c>
      <c r="G117" s="195">
        <f>F117*I6</f>
        <v>7039.6559999999999</v>
      </c>
      <c r="H117" s="392"/>
      <c r="I117" s="148">
        <f>+F117/$J$5</f>
        <v>6.227385259950486</v>
      </c>
      <c r="J117" s="123">
        <f>+I117*I6</f>
        <v>67.031574938107028</v>
      </c>
      <c r="T117" s="397"/>
    </row>
    <row r="118" spans="1:26" ht="15.9" customHeight="1">
      <c r="A118" s="43"/>
      <c r="B118" s="154">
        <f t="shared" si="9"/>
        <v>9</v>
      </c>
      <c r="C118" s="598" t="s">
        <v>163</v>
      </c>
      <c r="D118" s="599"/>
      <c r="E118" s="240"/>
      <c r="F118" s="82">
        <f>F117*7%</f>
        <v>45.78</v>
      </c>
      <c r="G118" s="82">
        <f>G117*7%</f>
        <v>492.77592000000004</v>
      </c>
      <c r="H118" s="392"/>
      <c r="I118" s="148">
        <f>+F118/$J$5</f>
        <v>0.43591696819653403</v>
      </c>
      <c r="J118" s="123">
        <f>+I118*I6</f>
        <v>4.6922102456674919</v>
      </c>
    </row>
    <row r="119" spans="1:26" ht="15.9" customHeight="1">
      <c r="A119" s="69"/>
      <c r="B119" s="154">
        <f t="shared" si="9"/>
        <v>10</v>
      </c>
      <c r="C119" s="600" t="s">
        <v>164</v>
      </c>
      <c r="D119" s="601"/>
      <c r="E119" s="241"/>
      <c r="F119" s="46">
        <f>SUM(F110:F118)</f>
        <v>699.78</v>
      </c>
      <c r="G119" s="373">
        <f>SUM(G110:G118)</f>
        <v>7532.43192</v>
      </c>
      <c r="H119" s="392"/>
      <c r="I119" s="180">
        <f>SUM(I110:I118)</f>
        <v>6.6633022281470202</v>
      </c>
      <c r="J119" s="74">
        <f>G119/$J$5</f>
        <v>71.723785183774524</v>
      </c>
      <c r="S119" s="388"/>
      <c r="T119" s="388"/>
      <c r="U119" s="388"/>
    </row>
    <row r="120" spans="1:26" ht="15.9" customHeight="1">
      <c r="A120" s="69"/>
      <c r="B120" s="154"/>
      <c r="C120" s="594"/>
      <c r="D120" s="611"/>
      <c r="E120" s="70"/>
      <c r="F120" s="46"/>
      <c r="G120" s="373"/>
      <c r="H120" s="392"/>
      <c r="I120" s="180"/>
      <c r="J120" s="74"/>
      <c r="U120" s="395"/>
      <c r="X120" s="394"/>
      <c r="Y120" s="394"/>
      <c r="Z120" s="394"/>
    </row>
    <row r="121" spans="1:26" ht="15.9" customHeight="1">
      <c r="A121" s="69"/>
      <c r="B121" s="602" t="s">
        <v>165</v>
      </c>
      <c r="C121" s="603"/>
      <c r="D121" s="603"/>
      <c r="E121" s="81"/>
      <c r="F121" s="153" t="s">
        <v>71</v>
      </c>
      <c r="G121" s="153" t="s">
        <v>72</v>
      </c>
      <c r="H121" s="392"/>
      <c r="I121" s="362" t="s">
        <v>71</v>
      </c>
      <c r="J121" s="45" t="s">
        <v>72</v>
      </c>
      <c r="T121" s="394"/>
      <c r="U121" s="394"/>
    </row>
    <row r="122" spans="1:26" ht="15.9" customHeight="1">
      <c r="A122" s="69"/>
      <c r="B122" s="239">
        <v>1</v>
      </c>
      <c r="C122" s="598" t="s">
        <v>166</v>
      </c>
      <c r="D122" s="599"/>
      <c r="E122" s="70"/>
      <c r="F122" s="46"/>
      <c r="G122" s="373"/>
      <c r="H122" s="392"/>
      <c r="I122" s="180"/>
      <c r="J122" s="74"/>
    </row>
    <row r="123" spans="1:26" ht="15.9" customHeight="1">
      <c r="A123" s="69"/>
      <c r="B123" s="154">
        <v>2</v>
      </c>
      <c r="C123" s="600" t="s">
        <v>167</v>
      </c>
      <c r="D123" s="601"/>
      <c r="E123" s="70"/>
      <c r="F123" s="46">
        <f>SUM(F122)</f>
        <v>0</v>
      </c>
      <c r="G123" s="373">
        <f>SUM(G122)</f>
        <v>0</v>
      </c>
      <c r="H123" s="392"/>
      <c r="I123" s="180">
        <f>SUM(I122)</f>
        <v>0</v>
      </c>
      <c r="J123" s="74">
        <f>SUM(J122)</f>
        <v>0</v>
      </c>
    </row>
    <row r="124" spans="1:26" ht="15.9" customHeight="1">
      <c r="A124" s="69"/>
      <c r="B124" s="154"/>
      <c r="C124" s="594"/>
      <c r="D124" s="611"/>
      <c r="E124" s="55"/>
      <c r="F124" s="46"/>
      <c r="G124" s="373"/>
      <c r="H124" s="392"/>
      <c r="I124" s="124"/>
      <c r="J124" s="47"/>
    </row>
    <row r="125" spans="1:26" ht="15.9" customHeight="1">
      <c r="A125" s="69"/>
      <c r="B125" s="602" t="s">
        <v>168</v>
      </c>
      <c r="C125" s="603"/>
      <c r="D125" s="603"/>
      <c r="E125" s="81"/>
      <c r="F125" s="153" t="s">
        <v>71</v>
      </c>
      <c r="G125" s="153" t="s">
        <v>72</v>
      </c>
      <c r="H125" s="392"/>
      <c r="I125" s="362" t="s">
        <v>71</v>
      </c>
      <c r="J125" s="45" t="s">
        <v>72</v>
      </c>
    </row>
    <row r="126" spans="1:26" ht="15.9" customHeight="1">
      <c r="A126" s="69"/>
      <c r="B126" s="237">
        <v>1</v>
      </c>
      <c r="C126" s="598" t="s">
        <v>169</v>
      </c>
      <c r="D126" s="599"/>
      <c r="E126" s="238"/>
      <c r="F126" s="373"/>
      <c r="G126" s="373"/>
      <c r="H126" s="392"/>
      <c r="I126" s="371"/>
      <c r="J126" s="47"/>
    </row>
    <row r="127" spans="1:26" ht="15.9" customHeight="1">
      <c r="A127" s="69"/>
      <c r="B127" s="239">
        <f>1+B126</f>
        <v>2</v>
      </c>
      <c r="C127" s="598" t="s">
        <v>170</v>
      </c>
      <c r="D127" s="599"/>
      <c r="E127" s="238"/>
      <c r="F127" s="373"/>
      <c r="G127" s="373"/>
      <c r="H127" s="392"/>
      <c r="I127" s="371"/>
      <c r="J127" s="47"/>
    </row>
    <row r="128" spans="1:26" ht="15.9" customHeight="1">
      <c r="A128" s="69"/>
      <c r="B128" s="239">
        <f>1+B127</f>
        <v>3</v>
      </c>
      <c r="C128" s="598" t="s">
        <v>171</v>
      </c>
      <c r="D128" s="599"/>
      <c r="E128" s="238"/>
      <c r="F128" s="373"/>
      <c r="G128" s="373"/>
      <c r="H128" s="392"/>
      <c r="I128" s="371"/>
      <c r="J128" s="47"/>
    </row>
    <row r="129" spans="1:20" ht="15.9" customHeight="1">
      <c r="A129" s="69"/>
      <c r="B129" s="239">
        <f>1+B128</f>
        <v>4</v>
      </c>
      <c r="C129" s="598" t="s">
        <v>172</v>
      </c>
      <c r="D129" s="599"/>
      <c r="E129" s="238"/>
      <c r="F129" s="373"/>
      <c r="G129" s="373"/>
      <c r="H129" s="392"/>
      <c r="I129" s="371"/>
      <c r="J129" s="47"/>
    </row>
    <row r="130" spans="1:20" ht="15.9" customHeight="1">
      <c r="A130" s="69"/>
      <c r="B130" s="239">
        <f>1+B129</f>
        <v>5</v>
      </c>
      <c r="C130" s="598" t="s">
        <v>173</v>
      </c>
      <c r="D130" s="599"/>
      <c r="E130" s="238"/>
      <c r="F130" s="373"/>
      <c r="G130" s="373"/>
      <c r="H130" s="392"/>
      <c r="I130" s="371"/>
      <c r="J130" s="47"/>
    </row>
    <row r="131" spans="1:20" ht="15.9" customHeight="1">
      <c r="A131" s="69"/>
      <c r="B131" s="239">
        <f>1+B130</f>
        <v>6</v>
      </c>
      <c r="C131" s="598" t="s">
        <v>174</v>
      </c>
      <c r="D131" s="599"/>
      <c r="E131" s="238"/>
      <c r="F131" s="373"/>
      <c r="G131" s="373"/>
      <c r="H131" s="392"/>
      <c r="I131" s="371"/>
      <c r="J131" s="47"/>
    </row>
    <row r="132" spans="1:20" ht="15.9" customHeight="1">
      <c r="A132" s="69"/>
      <c r="B132" s="369">
        <v>7</v>
      </c>
      <c r="C132" s="600" t="s">
        <v>175</v>
      </c>
      <c r="D132" s="601"/>
      <c r="E132" s="238"/>
      <c r="F132" s="373">
        <f>SUM(F126:F131)</f>
        <v>0</v>
      </c>
      <c r="G132" s="373">
        <f>SUM(G126:G131)</f>
        <v>0</v>
      </c>
      <c r="H132" s="392"/>
      <c r="I132" s="371">
        <f>SUM(I126:I131)</f>
        <v>0</v>
      </c>
      <c r="J132" s="47">
        <f>SUM(J126:J131)</f>
        <v>0</v>
      </c>
    </row>
    <row r="133" spans="1:20" ht="15.9" customHeight="1">
      <c r="A133" s="69"/>
      <c r="B133" s="154"/>
      <c r="C133" s="595"/>
      <c r="D133" s="611"/>
      <c r="E133" s="238"/>
      <c r="F133" s="373"/>
      <c r="G133" s="373"/>
      <c r="H133" s="392"/>
      <c r="I133" s="371"/>
      <c r="J133" s="47"/>
    </row>
    <row r="134" spans="1:20" ht="15.9" customHeight="1">
      <c r="A134" s="43"/>
      <c r="B134" s="602" t="s">
        <v>176</v>
      </c>
      <c r="C134" s="603"/>
      <c r="D134" s="603"/>
      <c r="E134" s="81"/>
      <c r="F134" s="153" t="s">
        <v>71</v>
      </c>
      <c r="G134" s="153" t="s">
        <v>72</v>
      </c>
      <c r="H134" s="392"/>
      <c r="I134" s="362" t="s">
        <v>71</v>
      </c>
      <c r="J134" s="45" t="s">
        <v>72</v>
      </c>
    </row>
    <row r="135" spans="1:20" ht="15.9" customHeight="1">
      <c r="A135" s="69"/>
      <c r="B135" s="154">
        <v>1</v>
      </c>
      <c r="C135" s="600" t="s">
        <v>177</v>
      </c>
      <c r="D135" s="601"/>
      <c r="E135" s="70"/>
      <c r="F135" s="46">
        <f>F119+F108+F123+F132</f>
        <v>1035.4162219127152</v>
      </c>
      <c r="G135" s="373">
        <f>G119+G108+G123+G132</f>
        <v>11145.220212668468</v>
      </c>
      <c r="H135" s="392"/>
      <c r="I135" s="180">
        <f>I119+I108+I123+I132</f>
        <v>9.8592289269921487</v>
      </c>
      <c r="J135" s="181">
        <f>J119+J108+J123+J132</f>
        <v>106.12474017014348</v>
      </c>
      <c r="S135" s="396"/>
      <c r="T135" s="394"/>
    </row>
    <row r="136" spans="1:20" ht="15.9" customHeight="1">
      <c r="A136" s="69"/>
      <c r="B136" s="154"/>
      <c r="C136" s="594"/>
      <c r="D136" s="611"/>
      <c r="E136" s="70"/>
      <c r="F136" s="46"/>
      <c r="G136" s="373"/>
      <c r="H136" s="392"/>
      <c r="I136" s="124"/>
      <c r="J136" s="47"/>
    </row>
    <row r="137" spans="1:20" ht="15.9" customHeight="1">
      <c r="A137" s="69"/>
      <c r="B137" s="369"/>
      <c r="C137" s="368"/>
      <c r="D137" s="365"/>
      <c r="E137" s="159"/>
      <c r="F137" s="594" t="s">
        <v>69</v>
      </c>
      <c r="G137" s="595"/>
      <c r="H137" s="392"/>
      <c r="I137" s="596" t="s">
        <v>63</v>
      </c>
      <c r="J137" s="597"/>
    </row>
    <row r="138" spans="1:20" ht="15.9" hidden="1" customHeight="1">
      <c r="A138" s="43"/>
      <c r="B138" s="602" t="s">
        <v>178</v>
      </c>
      <c r="C138" s="603"/>
      <c r="D138" s="618"/>
      <c r="E138" s="153"/>
      <c r="F138" s="153" t="s">
        <v>71</v>
      </c>
      <c r="G138" s="153" t="s">
        <v>72</v>
      </c>
      <c r="H138" s="392"/>
      <c r="I138" s="362" t="s">
        <v>71</v>
      </c>
      <c r="J138" s="45" t="s">
        <v>72</v>
      </c>
    </row>
    <row r="139" spans="1:20" ht="15.9" hidden="1" customHeight="1">
      <c r="A139" s="43"/>
      <c r="B139" s="83"/>
      <c r="C139" s="619"/>
      <c r="D139" s="620"/>
      <c r="E139" s="155"/>
      <c r="F139" s="46"/>
      <c r="G139" s="373"/>
      <c r="H139" s="392"/>
      <c r="I139" s="124"/>
      <c r="J139" s="47"/>
    </row>
    <row r="140" spans="1:20" ht="15.9" hidden="1" customHeight="1">
      <c r="A140" s="43"/>
      <c r="B140" s="83"/>
      <c r="C140" s="598" t="s">
        <v>179</v>
      </c>
      <c r="D140" s="605"/>
      <c r="E140" s="50"/>
      <c r="F140" s="231">
        <f>F21</f>
        <v>9515</v>
      </c>
      <c r="G140" s="232">
        <f>F140/F6</f>
        <v>883.96506874767749</v>
      </c>
      <c r="H140" s="399"/>
      <c r="I140" s="229">
        <f>I21</f>
        <v>9515</v>
      </c>
      <c r="J140" s="230">
        <f>I140/I6</f>
        <v>883.96506874767749</v>
      </c>
    </row>
    <row r="141" spans="1:20" ht="15.9" hidden="1" customHeight="1">
      <c r="A141" s="43"/>
      <c r="B141" s="83"/>
      <c r="C141" s="604" t="s">
        <v>180</v>
      </c>
      <c r="D141" s="605"/>
      <c r="E141" s="51"/>
      <c r="F141" s="48">
        <f>F24</f>
        <v>0</v>
      </c>
      <c r="G141" s="376">
        <f>G24</f>
        <v>0</v>
      </c>
      <c r="H141" s="392"/>
      <c r="I141" s="125">
        <f>I24</f>
        <v>0</v>
      </c>
      <c r="J141" s="49">
        <f>J24</f>
        <v>0</v>
      </c>
    </row>
    <row r="142" spans="1:20" ht="15.9" hidden="1" customHeight="1">
      <c r="A142" s="43"/>
      <c r="B142" s="83"/>
      <c r="C142" s="604" t="s">
        <v>181</v>
      </c>
      <c r="D142" s="605"/>
      <c r="E142" s="65"/>
      <c r="F142" s="48" t="e">
        <f>+#REF!</f>
        <v>#REF!</v>
      </c>
      <c r="G142" s="376" t="e">
        <f>+#REF!</f>
        <v>#REF!</v>
      </c>
      <c r="H142" s="392"/>
      <c r="I142" s="229" t="e">
        <f>+#REF!</f>
        <v>#REF!</v>
      </c>
      <c r="J142" s="230" t="e">
        <f>+#REF!</f>
        <v>#REF!</v>
      </c>
    </row>
    <row r="143" spans="1:20" ht="15.9" hidden="1" customHeight="1">
      <c r="A143" s="43"/>
      <c r="B143" s="83"/>
      <c r="C143" s="598" t="s">
        <v>182</v>
      </c>
      <c r="D143" s="605"/>
      <c r="E143" s="65"/>
      <c r="F143" s="48">
        <f>F108</f>
        <v>335.63622191271531</v>
      </c>
      <c r="G143" s="376">
        <f>+G108</f>
        <v>3612.7882926684683</v>
      </c>
      <c r="H143" s="392"/>
      <c r="I143" s="125">
        <f>I108</f>
        <v>3.1959266988451285</v>
      </c>
      <c r="J143" s="64">
        <f>+J108</f>
        <v>34.400954986368959</v>
      </c>
    </row>
    <row r="144" spans="1:20" ht="15.9" hidden="1" customHeight="1">
      <c r="A144" s="43"/>
      <c r="B144" s="83"/>
      <c r="C144" s="689" t="s">
        <v>183</v>
      </c>
      <c r="D144" s="690"/>
      <c r="E144" s="84"/>
      <c r="F144" s="85">
        <f>F119</f>
        <v>699.78</v>
      </c>
      <c r="G144" s="196">
        <f>G119</f>
        <v>7532.43192</v>
      </c>
      <c r="H144" s="392"/>
      <c r="I144" s="133">
        <f>I119</f>
        <v>6.6633022281470202</v>
      </c>
      <c r="J144" s="122">
        <f>J119</f>
        <v>71.723785183774524</v>
      </c>
    </row>
    <row r="145" spans="1:10" ht="15.9" hidden="1" customHeight="1">
      <c r="A145" s="69"/>
      <c r="B145" s="154"/>
      <c r="C145" s="600" t="s">
        <v>184</v>
      </c>
      <c r="D145" s="601"/>
      <c r="E145" s="70"/>
      <c r="F145" s="233" t="e">
        <f>F135*#REF!</f>
        <v>#REF!</v>
      </c>
      <c r="G145" s="234" t="e">
        <f>G135*#REF!</f>
        <v>#REF!</v>
      </c>
      <c r="H145" s="392"/>
      <c r="I145" s="124" t="e">
        <f>I135*#REF!</f>
        <v>#REF!</v>
      </c>
      <c r="J145" s="47" t="e">
        <f>J135*#REF!</f>
        <v>#REF!</v>
      </c>
    </row>
    <row r="146" spans="1:10" ht="15.9" customHeight="1">
      <c r="A146" s="43"/>
      <c r="B146" s="86"/>
      <c r="C146" s="87"/>
      <c r="D146" s="43"/>
      <c r="E146" s="88"/>
      <c r="F146" s="89"/>
      <c r="G146" s="89"/>
      <c r="H146" s="392"/>
      <c r="I146" s="134"/>
      <c r="J146" s="90"/>
    </row>
    <row r="147" spans="1:10" ht="15.9" customHeight="1">
      <c r="A147" s="69"/>
      <c r="B147" s="602" t="s">
        <v>185</v>
      </c>
      <c r="C147" s="603"/>
      <c r="D147" s="618"/>
      <c r="E147" s="367"/>
      <c r="F147" s="367" t="s">
        <v>186</v>
      </c>
      <c r="G147" s="153" t="s">
        <v>186</v>
      </c>
      <c r="H147" s="392"/>
      <c r="I147" s="370" t="s">
        <v>63</v>
      </c>
      <c r="J147" s="45" t="s">
        <v>63</v>
      </c>
    </row>
    <row r="148" spans="1:10" ht="15.9" customHeight="1">
      <c r="A148" s="43"/>
      <c r="B148" s="91"/>
      <c r="C148" s="619"/>
      <c r="D148" s="620"/>
      <c r="E148" s="92"/>
      <c r="F148" s="93"/>
      <c r="G148" s="197"/>
      <c r="H148" s="392"/>
      <c r="I148" s="135"/>
      <c r="J148" s="94"/>
    </row>
    <row r="149" spans="1:10" ht="15.9" customHeight="1">
      <c r="A149" s="43"/>
      <c r="B149" s="91"/>
      <c r="C149" s="604" t="s">
        <v>187</v>
      </c>
      <c r="D149" s="605"/>
      <c r="E149" s="92"/>
      <c r="F149" s="93">
        <f>(+F63)*115%</f>
        <v>1411550.25</v>
      </c>
      <c r="G149" s="93">
        <f>+F149</f>
        <v>1411550.25</v>
      </c>
      <c r="H149" s="392"/>
      <c r="I149" s="135">
        <f>F149/$J$5</f>
        <v>13440.775566558752</v>
      </c>
      <c r="J149" s="94">
        <f>+I149</f>
        <v>13440.775566558752</v>
      </c>
    </row>
    <row r="150" spans="1:10" ht="15.9" customHeight="1">
      <c r="A150" s="43"/>
      <c r="B150" s="91"/>
      <c r="C150" s="604" t="s">
        <v>188</v>
      </c>
      <c r="D150" s="605"/>
      <c r="E150" s="92"/>
      <c r="F150" s="93">
        <v>0</v>
      </c>
      <c r="G150" s="197">
        <v>0</v>
      </c>
      <c r="H150" s="392"/>
      <c r="I150" s="135">
        <v>0</v>
      </c>
      <c r="J150" s="94">
        <v>0</v>
      </c>
    </row>
    <row r="151" spans="1:10" ht="15.9" customHeight="1">
      <c r="A151" s="43"/>
      <c r="B151" s="91"/>
      <c r="C151" s="604" t="s">
        <v>189</v>
      </c>
      <c r="D151" s="605"/>
      <c r="E151" s="92"/>
      <c r="F151" s="93">
        <f>(+F65)*115%</f>
        <v>192024.8346192516</v>
      </c>
      <c r="G151" s="197">
        <f>+F151</f>
        <v>192024.8346192516</v>
      </c>
      <c r="H151" s="392"/>
      <c r="I151" s="135">
        <f>F151/$J$5</f>
        <v>1828.4596707222588</v>
      </c>
      <c r="J151" s="94">
        <f>+I151</f>
        <v>1828.4596707222588</v>
      </c>
    </row>
    <row r="152" spans="1:10" ht="15.9" customHeight="1">
      <c r="A152" s="43"/>
      <c r="B152" s="91"/>
      <c r="C152" s="604" t="s">
        <v>190</v>
      </c>
      <c r="D152" s="605"/>
      <c r="E152" s="92"/>
      <c r="F152" s="93">
        <f>(+F66)*115%</f>
        <v>210162.49999999997</v>
      </c>
      <c r="G152" s="197">
        <f>+F152</f>
        <v>210162.49999999997</v>
      </c>
      <c r="H152" s="392"/>
      <c r="I152" s="135">
        <f>F152/J5</f>
        <v>2001.1664444867642</v>
      </c>
      <c r="J152" s="94">
        <f>G152/J5</f>
        <v>2001.1664444867642</v>
      </c>
    </row>
    <row r="153" spans="1:10" ht="15.9" customHeight="1">
      <c r="A153" s="43"/>
      <c r="B153" s="91"/>
      <c r="C153" s="598" t="s">
        <v>191</v>
      </c>
      <c r="D153" s="605"/>
      <c r="E153" s="95"/>
      <c r="F153" s="96">
        <f>SUM(F149:F152)</f>
        <v>1813737.5846192515</v>
      </c>
      <c r="G153" s="198">
        <f>SUM(G149:G152)</f>
        <v>1813737.5846192515</v>
      </c>
      <c r="H153" s="392"/>
      <c r="I153" s="449">
        <f>SUM(I149:I152)</f>
        <v>17270.401681767777</v>
      </c>
      <c r="J153" s="450">
        <f>SUM(J149:J152)</f>
        <v>17270.401681767777</v>
      </c>
    </row>
    <row r="154" spans="1:10" ht="15.9" customHeight="1">
      <c r="A154" s="43"/>
      <c r="B154" s="91"/>
      <c r="C154" s="598" t="s">
        <v>192</v>
      </c>
      <c r="D154" s="605"/>
      <c r="E154" s="97"/>
      <c r="F154" s="93">
        <f>+F153*12</f>
        <v>21764851.015431017</v>
      </c>
      <c r="G154" s="197">
        <f>+G153*12</f>
        <v>21764851.015431017</v>
      </c>
      <c r="H154" s="392"/>
      <c r="I154" s="135">
        <f>+I153*12</f>
        <v>207244.82018121332</v>
      </c>
      <c r="J154" s="94">
        <f>+J153*12</f>
        <v>207244.82018121332</v>
      </c>
    </row>
    <row r="155" spans="1:10" ht="15.9" customHeight="1">
      <c r="A155" s="43"/>
      <c r="B155" s="91"/>
      <c r="C155" s="619"/>
      <c r="D155" s="620"/>
      <c r="E155" s="97"/>
      <c r="F155" s="93"/>
      <c r="G155" s="197"/>
      <c r="H155" s="392"/>
      <c r="I155" s="135"/>
      <c r="J155" s="94"/>
    </row>
    <row r="156" spans="1:10" ht="15.9" customHeight="1">
      <c r="A156" s="43"/>
      <c r="B156" s="602" t="s">
        <v>193</v>
      </c>
      <c r="C156" s="603"/>
      <c r="D156" s="618"/>
      <c r="E156" s="363"/>
      <c r="F156" s="367" t="s">
        <v>186</v>
      </c>
      <c r="G156" s="153" t="s">
        <v>186</v>
      </c>
      <c r="H156" s="392"/>
      <c r="I156" s="370" t="s">
        <v>63</v>
      </c>
      <c r="J156" s="45" t="s">
        <v>63</v>
      </c>
    </row>
    <row r="157" spans="1:10" ht="15.9" customHeight="1">
      <c r="A157" s="43"/>
      <c r="B157" s="91"/>
      <c r="C157" s="619"/>
      <c r="D157" s="620"/>
      <c r="E157" s="97"/>
      <c r="F157" s="93"/>
      <c r="G157" s="197"/>
      <c r="H157" s="392"/>
      <c r="I157" s="135"/>
      <c r="J157" s="94"/>
    </row>
    <row r="158" spans="1:10" ht="15.9" customHeight="1">
      <c r="A158" s="43"/>
      <c r="B158" s="91"/>
      <c r="C158" s="687" t="s">
        <v>194</v>
      </c>
      <c r="D158" s="688"/>
      <c r="E158" s="97"/>
      <c r="F158" s="93">
        <f t="shared" ref="F158:G160" si="10">+F77</f>
        <v>14000000</v>
      </c>
      <c r="G158" s="197">
        <f t="shared" si="10"/>
        <v>14000000</v>
      </c>
      <c r="H158" s="221"/>
      <c r="I158" s="135">
        <f t="shared" ref="I158:J160" si="11">+I77</f>
        <v>133307.94134450582</v>
      </c>
      <c r="J158" s="94">
        <f t="shared" si="11"/>
        <v>133307.94134450582</v>
      </c>
    </row>
    <row r="159" spans="1:10" ht="15.9" customHeight="1">
      <c r="A159" s="43"/>
      <c r="B159" s="91"/>
      <c r="C159" s="598" t="s">
        <v>195</v>
      </c>
      <c r="D159" s="599"/>
      <c r="E159" s="97"/>
      <c r="F159" s="93">
        <f t="shared" si="10"/>
        <v>43000000</v>
      </c>
      <c r="G159" s="197">
        <f t="shared" si="10"/>
        <v>43000000</v>
      </c>
      <c r="H159" s="221"/>
      <c r="I159" s="135">
        <f t="shared" si="11"/>
        <v>409445.81984383927</v>
      </c>
      <c r="J159" s="94">
        <f t="shared" si="11"/>
        <v>4407274.8047990855</v>
      </c>
    </row>
    <row r="160" spans="1:10" ht="15.9" customHeight="1">
      <c r="A160" s="43"/>
      <c r="B160" s="91"/>
      <c r="C160" s="598" t="s">
        <v>196</v>
      </c>
      <c r="D160" s="599"/>
      <c r="E160" s="97"/>
      <c r="F160" s="93">
        <f t="shared" si="10"/>
        <v>2500000</v>
      </c>
      <c r="G160" s="197">
        <f t="shared" si="10"/>
        <v>2500000</v>
      </c>
      <c r="H160" s="221"/>
      <c r="I160" s="135">
        <f t="shared" si="11"/>
        <v>23804.989525804609</v>
      </c>
      <c r="J160" s="94">
        <f t="shared" si="11"/>
        <v>256236.9072557608</v>
      </c>
    </row>
    <row r="161" spans="1:22" ht="15.9" customHeight="1">
      <c r="A161" s="43"/>
      <c r="B161" s="91"/>
      <c r="C161" s="600" t="s">
        <v>29</v>
      </c>
      <c r="D161" s="601"/>
      <c r="E161" s="97"/>
      <c r="F161" s="225">
        <f>SUM(F158:F160)</f>
        <v>59500000</v>
      </c>
      <c r="G161" s="225">
        <f>SUM(G158:G160)</f>
        <v>59500000</v>
      </c>
      <c r="H161" s="226"/>
      <c r="I161" s="227">
        <f>SUM(I158:I160)</f>
        <v>566558.75071414968</v>
      </c>
      <c r="J161" s="102">
        <f>SUM(J158:J160)</f>
        <v>4796819.653399352</v>
      </c>
    </row>
    <row r="162" spans="1:22" ht="15.9" customHeight="1">
      <c r="A162" s="43"/>
      <c r="B162" s="91"/>
      <c r="C162" s="619"/>
      <c r="D162" s="620"/>
      <c r="E162" s="97"/>
      <c r="F162" s="93"/>
      <c r="G162" s="197"/>
      <c r="H162" s="392"/>
      <c r="I162" s="135"/>
      <c r="J162" s="94"/>
    </row>
    <row r="163" spans="1:22" ht="15.9" customHeight="1">
      <c r="A163" s="98"/>
      <c r="B163" s="606" t="s">
        <v>197</v>
      </c>
      <c r="C163" s="607"/>
      <c r="D163" s="608"/>
      <c r="E163" s="616"/>
      <c r="F163" s="153" t="s">
        <v>71</v>
      </c>
      <c r="G163" s="153" t="s">
        <v>72</v>
      </c>
      <c r="H163" s="392"/>
      <c r="I163" s="362" t="s">
        <v>71</v>
      </c>
      <c r="J163" s="45" t="s">
        <v>72</v>
      </c>
    </row>
    <row r="164" spans="1:22" ht="15.9" customHeight="1">
      <c r="A164" s="98"/>
      <c r="B164" s="684"/>
      <c r="C164" s="685"/>
      <c r="D164" s="686"/>
      <c r="E164" s="617"/>
      <c r="F164" s="153" t="s">
        <v>69</v>
      </c>
      <c r="G164" s="153" t="s">
        <v>69</v>
      </c>
      <c r="H164" s="392"/>
      <c r="I164" s="362" t="s">
        <v>63</v>
      </c>
      <c r="J164" s="45" t="s">
        <v>63</v>
      </c>
    </row>
    <row r="165" spans="1:22" ht="15.9" customHeight="1">
      <c r="A165" s="99"/>
      <c r="B165" s="91"/>
      <c r="C165" s="619"/>
      <c r="D165" s="620"/>
      <c r="E165" s="51"/>
      <c r="F165" s="48"/>
      <c r="G165" s="376"/>
      <c r="H165" s="392"/>
      <c r="I165" s="125"/>
      <c r="J165" s="49"/>
    </row>
    <row r="166" spans="1:22" ht="15.9" customHeight="1">
      <c r="A166" s="99"/>
      <c r="B166" s="91"/>
      <c r="C166" s="682" t="str">
        <f>+C106</f>
        <v>Net Rent I</v>
      </c>
      <c r="D166" s="683"/>
      <c r="E166" s="51"/>
      <c r="F166" s="48">
        <f>+F106</f>
        <v>199.26804252733942</v>
      </c>
      <c r="G166" s="376">
        <f>+G106</f>
        <v>2144.9212097642817</v>
      </c>
      <c r="H166" s="392"/>
      <c r="I166" s="128">
        <f>+I106</f>
        <v>1.8974294660763611</v>
      </c>
      <c r="J166" s="59">
        <f>+J106</f>
        <v>20.423930772845949</v>
      </c>
      <c r="T166" s="397"/>
    </row>
    <row r="167" spans="1:22" ht="15.9" customHeight="1">
      <c r="A167" s="99"/>
      <c r="B167" s="91"/>
      <c r="C167" s="682" t="str">
        <f>+C107</f>
        <v>Net Rent II</v>
      </c>
      <c r="D167" s="683"/>
      <c r="E167" s="51"/>
      <c r="F167" s="48">
        <f>+F107</f>
        <v>136.36817938537592</v>
      </c>
      <c r="G167" s="376">
        <f>+G107</f>
        <v>1467.8670829041866</v>
      </c>
      <c r="H167" s="392"/>
      <c r="I167" s="128">
        <f>+I107</f>
        <v>1.2984972327687672</v>
      </c>
      <c r="J167" s="59">
        <f>+J107</f>
        <v>13.977024213523011</v>
      </c>
      <c r="T167" s="397"/>
    </row>
    <row r="168" spans="1:22" ht="15.9" customHeight="1">
      <c r="A168" s="99"/>
      <c r="B168" s="139"/>
      <c r="C168" s="678" t="s">
        <v>198</v>
      </c>
      <c r="D168" s="679"/>
      <c r="E168" s="140"/>
      <c r="F168" s="141">
        <f>SUM(F166:F167)</f>
        <v>335.63622191271531</v>
      </c>
      <c r="G168" s="199">
        <f>SUM(G166:G167)</f>
        <v>3612.7882926684683</v>
      </c>
      <c r="H168" s="200"/>
      <c r="I168" s="222">
        <f>SUM(I166:I167)</f>
        <v>3.1959266988451285</v>
      </c>
      <c r="J168" s="202">
        <f>SUM(J166:J167)</f>
        <v>34.400954986368959</v>
      </c>
      <c r="T168" s="397"/>
      <c r="V168" s="397"/>
    </row>
    <row r="169" spans="1:22" ht="15.9" customHeight="1">
      <c r="A169" s="99"/>
      <c r="B169" s="154"/>
      <c r="C169" s="680"/>
      <c r="D169" s="681"/>
      <c r="E169" s="67"/>
      <c r="F169" s="46"/>
      <c r="G169" s="373"/>
      <c r="H169" s="267"/>
      <c r="I169" s="180"/>
      <c r="J169" s="181"/>
      <c r="U169" s="397"/>
      <c r="V169" s="388"/>
    </row>
    <row r="170" spans="1:22" ht="15.9" customHeight="1">
      <c r="A170" s="99"/>
      <c r="B170" s="91"/>
      <c r="C170" s="682" t="str">
        <f>+C119</f>
        <v xml:space="preserve">OpEx I </v>
      </c>
      <c r="D170" s="683"/>
      <c r="E170" s="51"/>
      <c r="F170" s="48">
        <f>+F119</f>
        <v>699.78</v>
      </c>
      <c r="G170" s="48">
        <f>+G119</f>
        <v>7532.43192</v>
      </c>
      <c r="H170" s="392"/>
      <c r="I170" s="128">
        <f>F170/J5</f>
        <v>6.6633022281470193</v>
      </c>
      <c r="J170" s="59">
        <f>G170/J5</f>
        <v>71.723785183774524</v>
      </c>
      <c r="T170" s="397"/>
    </row>
    <row r="171" spans="1:22" ht="15.9" customHeight="1">
      <c r="A171" s="99"/>
      <c r="B171" s="91"/>
      <c r="C171" s="682" t="str">
        <f>+C123</f>
        <v xml:space="preserve">OpEx II </v>
      </c>
      <c r="D171" s="683"/>
      <c r="E171" s="51"/>
      <c r="F171" s="48">
        <f>+F123</f>
        <v>0</v>
      </c>
      <c r="G171" s="376">
        <f>+G123</f>
        <v>0</v>
      </c>
      <c r="H171" s="392"/>
      <c r="I171" s="128">
        <f>+I123</f>
        <v>0</v>
      </c>
      <c r="J171" s="59">
        <f>+J123</f>
        <v>0</v>
      </c>
    </row>
    <row r="172" spans="1:22" ht="15.9" customHeight="1">
      <c r="A172" s="99"/>
      <c r="B172" s="142"/>
      <c r="C172" s="678" t="s">
        <v>199</v>
      </c>
      <c r="D172" s="679"/>
      <c r="E172" s="143"/>
      <c r="F172" s="144">
        <f>SUM(F170:F171)</f>
        <v>699.78</v>
      </c>
      <c r="G172" s="266">
        <f>SUM(G170:G171)</f>
        <v>7532.43192</v>
      </c>
      <c r="H172" s="401"/>
      <c r="I172" s="145">
        <f>SUM(I170:I171)</f>
        <v>6.6633022281470193</v>
      </c>
      <c r="J172" s="235">
        <f>SUM(J170:J171)</f>
        <v>71.723785183774524</v>
      </c>
    </row>
    <row r="173" spans="1:22" ht="15.9" customHeight="1">
      <c r="A173" s="99"/>
      <c r="B173" s="91"/>
      <c r="C173" s="137"/>
      <c r="D173" s="138"/>
      <c r="E173" s="262"/>
      <c r="F173" s="263"/>
      <c r="G173" s="268"/>
      <c r="H173" s="402"/>
      <c r="I173" s="264"/>
      <c r="J173" s="265"/>
    </row>
    <row r="174" spans="1:22" ht="15.9" customHeight="1">
      <c r="A174" s="99"/>
      <c r="B174" s="91"/>
      <c r="C174" s="682" t="str">
        <f>+C132</f>
        <v xml:space="preserve">Services </v>
      </c>
      <c r="D174" s="683"/>
      <c r="E174" s="51"/>
      <c r="F174" s="48">
        <f>+F132</f>
        <v>0</v>
      </c>
      <c r="G174" s="376">
        <f>+G132</f>
        <v>0</v>
      </c>
      <c r="H174" s="392"/>
      <c r="I174" s="128">
        <f>+I132</f>
        <v>0</v>
      </c>
      <c r="J174" s="59">
        <f>+J132</f>
        <v>0</v>
      </c>
    </row>
    <row r="175" spans="1:22" ht="15.9" customHeight="1">
      <c r="A175" s="99"/>
      <c r="B175" s="142"/>
      <c r="C175" s="678" t="s">
        <v>200</v>
      </c>
      <c r="D175" s="679"/>
      <c r="E175" s="143"/>
      <c r="F175" s="144">
        <f>SUM(F174)</f>
        <v>0</v>
      </c>
      <c r="G175" s="266">
        <f>SUM(G174)</f>
        <v>0</v>
      </c>
      <c r="H175" s="401"/>
      <c r="I175" s="145">
        <f>SUM(I174)</f>
        <v>0</v>
      </c>
      <c r="J175" s="235">
        <f>SUM(J174)</f>
        <v>0</v>
      </c>
    </row>
    <row r="176" spans="1:22" ht="15.9" customHeight="1">
      <c r="A176" s="99"/>
      <c r="B176" s="91"/>
      <c r="C176" s="619"/>
      <c r="D176" s="620"/>
      <c r="E176" s="51"/>
      <c r="F176" s="48"/>
      <c r="G176" s="376"/>
      <c r="H176" s="392"/>
      <c r="I176" s="130"/>
      <c r="J176" s="64"/>
    </row>
    <row r="177" spans="1:19" ht="15.9" customHeight="1">
      <c r="A177" s="99"/>
      <c r="B177" s="142"/>
      <c r="C177" s="678" t="s">
        <v>201</v>
      </c>
      <c r="D177" s="679"/>
      <c r="E177" s="146"/>
      <c r="F177" s="141">
        <f>+F168+F172+F175</f>
        <v>1035.4162219127152</v>
      </c>
      <c r="G177" s="199">
        <f>+G168+G172+G175</f>
        <v>11145.220212668468</v>
      </c>
      <c r="H177" s="403"/>
      <c r="I177" s="222">
        <f>+I168+I172+I175</f>
        <v>9.8592289269921487</v>
      </c>
      <c r="J177" s="202">
        <f>+J168+J172+J175</f>
        <v>106.12474017014348</v>
      </c>
      <c r="S177" s="396"/>
    </row>
    <row r="178" spans="1:19" ht="15.9" customHeight="1">
      <c r="A178" s="99"/>
      <c r="B178" s="91"/>
      <c r="C178" s="137"/>
      <c r="D178" s="138"/>
      <c r="E178" s="51"/>
      <c r="F178" s="48"/>
      <c r="G178" s="376"/>
      <c r="H178" s="392"/>
      <c r="I178" s="125"/>
      <c r="J178" s="49"/>
    </row>
    <row r="179" spans="1:19" ht="15.9" customHeight="1">
      <c r="A179" s="99"/>
      <c r="B179" s="602" t="s">
        <v>202</v>
      </c>
      <c r="C179" s="603"/>
      <c r="D179" s="618"/>
      <c r="E179" s="367"/>
      <c r="F179" s="367" t="s">
        <v>186</v>
      </c>
      <c r="G179" s="153" t="s">
        <v>186</v>
      </c>
      <c r="H179" s="392"/>
      <c r="I179" s="370" t="s">
        <v>63</v>
      </c>
      <c r="J179" s="45" t="s">
        <v>63</v>
      </c>
    </row>
    <row r="180" spans="1:19" ht="15.9" customHeight="1">
      <c r="A180" s="99"/>
      <c r="B180" s="91"/>
      <c r="C180" s="619"/>
      <c r="D180" s="620"/>
      <c r="E180" s="51"/>
      <c r="F180" s="48"/>
      <c r="G180" s="376"/>
      <c r="H180" s="392"/>
      <c r="I180" s="125"/>
      <c r="J180" s="49"/>
    </row>
    <row r="181" spans="1:19" ht="15.9" customHeight="1">
      <c r="A181" s="99"/>
      <c r="B181" s="91"/>
      <c r="C181" s="604" t="s">
        <v>203</v>
      </c>
      <c r="D181" s="605"/>
      <c r="E181" s="92"/>
      <c r="F181" s="93"/>
      <c r="G181" s="197">
        <f>+G168*G21</f>
        <v>3193578.651499487</v>
      </c>
      <c r="H181" s="392"/>
      <c r="I181" s="135"/>
      <c r="J181" s="94">
        <f>+G181/$J$5</f>
        <v>30409.242539511401</v>
      </c>
    </row>
    <row r="182" spans="1:19" ht="15.9" customHeight="1">
      <c r="A182" s="99"/>
      <c r="B182" s="91"/>
      <c r="C182" s="598" t="s">
        <v>204</v>
      </c>
      <c r="D182" s="605"/>
      <c r="E182" s="92"/>
      <c r="F182" s="93"/>
      <c r="G182" s="197">
        <f>+G172*G21</f>
        <v>6658406.7000000002</v>
      </c>
      <c r="H182" s="392"/>
      <c r="I182" s="135"/>
      <c r="J182" s="94">
        <f>+G182/$J$5</f>
        <v>63401.320700818898</v>
      </c>
    </row>
    <row r="183" spans="1:19" ht="15.9" customHeight="1">
      <c r="A183" s="99"/>
      <c r="B183" s="91"/>
      <c r="C183" s="598" t="s">
        <v>205</v>
      </c>
      <c r="D183" s="599"/>
      <c r="E183" s="92"/>
      <c r="F183" s="93"/>
      <c r="G183" s="197">
        <f>+G175*G21</f>
        <v>0</v>
      </c>
      <c r="H183" s="392"/>
      <c r="I183" s="135"/>
      <c r="J183" s="94"/>
    </row>
    <row r="184" spans="1:19" ht="15.9" customHeight="1">
      <c r="A184" s="99"/>
      <c r="B184" s="91"/>
      <c r="C184" s="598" t="s">
        <v>206</v>
      </c>
      <c r="D184" s="605"/>
      <c r="E184" s="92"/>
      <c r="F184" s="93"/>
      <c r="G184" s="197">
        <f>SUM(G181:G183)</f>
        <v>9851985.3514994867</v>
      </c>
      <c r="H184" s="392"/>
      <c r="I184" s="135"/>
      <c r="J184" s="94">
        <f>SUM(J181:J183)</f>
        <v>93810.563240330303</v>
      </c>
    </row>
    <row r="185" spans="1:19" ht="15.9" customHeight="1">
      <c r="A185" s="99"/>
      <c r="B185" s="91"/>
      <c r="C185" s="598" t="s">
        <v>207</v>
      </c>
      <c r="D185" s="605"/>
      <c r="E185" s="92"/>
      <c r="F185" s="93"/>
      <c r="G185" s="197">
        <f>+G184*12</f>
        <v>118223824.21799384</v>
      </c>
      <c r="H185" s="392"/>
      <c r="I185" s="135"/>
      <c r="J185" s="94">
        <f>+J184*12</f>
        <v>1125726.7588839636</v>
      </c>
    </row>
    <row r="186" spans="1:19" ht="15.9" customHeight="1" thickBot="1">
      <c r="A186" s="99"/>
      <c r="B186" s="71"/>
      <c r="C186" s="43"/>
      <c r="D186" s="43"/>
      <c r="E186" s="100"/>
      <c r="F186" s="101"/>
      <c r="G186" s="101"/>
      <c r="H186" s="393"/>
      <c r="I186" s="223"/>
      <c r="J186" s="224"/>
    </row>
    <row r="187" spans="1:19" ht="15.9" customHeight="1" thickBot="1">
      <c r="A187" s="99"/>
      <c r="B187" s="675" t="s">
        <v>208</v>
      </c>
      <c r="C187" s="676"/>
      <c r="D187" s="676"/>
      <c r="E187" s="676"/>
      <c r="F187" s="676"/>
      <c r="G187" s="676"/>
      <c r="H187" s="676"/>
      <c r="I187" s="676"/>
      <c r="J187" s="677"/>
    </row>
    <row r="188" spans="1:19" ht="15.9" customHeight="1">
      <c r="A188" s="43"/>
      <c r="B188" s="156"/>
      <c r="C188" s="617" t="s">
        <v>209</v>
      </c>
      <c r="D188" s="617"/>
      <c r="E188" s="366"/>
      <c r="F188" s="366" t="s">
        <v>186</v>
      </c>
      <c r="G188" s="160" t="s">
        <v>186</v>
      </c>
      <c r="H188" s="672"/>
      <c r="I188" s="217" t="s">
        <v>63</v>
      </c>
      <c r="J188" s="218" t="s">
        <v>63</v>
      </c>
    </row>
    <row r="189" spans="1:19" ht="15.9" customHeight="1">
      <c r="A189" s="43"/>
      <c r="B189" s="154"/>
      <c r="C189" s="604" t="s">
        <v>210</v>
      </c>
      <c r="D189" s="605"/>
      <c r="E189" s="155"/>
      <c r="F189" s="155"/>
      <c r="G189" s="94">
        <f>+G20</f>
        <v>0</v>
      </c>
      <c r="H189" s="673"/>
      <c r="I189" s="154"/>
      <c r="J189" s="94">
        <f>+G189/J5</f>
        <v>0</v>
      </c>
    </row>
    <row r="190" spans="1:19" ht="15.9" customHeight="1">
      <c r="A190" s="43"/>
      <c r="B190" s="154"/>
      <c r="C190" s="604" t="s">
        <v>211</v>
      </c>
      <c r="D190" s="605"/>
      <c r="E190" s="155"/>
      <c r="F190" s="155"/>
      <c r="G190" s="94">
        <f>+G189*G23</f>
        <v>0</v>
      </c>
      <c r="H190" s="673"/>
      <c r="I190" s="154"/>
      <c r="J190" s="94">
        <f>+J189*J23</f>
        <v>0</v>
      </c>
    </row>
    <row r="191" spans="1:19" ht="15.9" customHeight="1">
      <c r="A191" s="43"/>
      <c r="B191" s="154"/>
      <c r="C191" s="642" t="s">
        <v>212</v>
      </c>
      <c r="D191" s="642"/>
      <c r="E191" s="155"/>
      <c r="F191" s="155"/>
      <c r="G191" s="94">
        <f>+G190*25%</f>
        <v>0</v>
      </c>
      <c r="H191" s="673"/>
      <c r="I191" s="154"/>
      <c r="J191" s="94">
        <f>+J190*25%</f>
        <v>0</v>
      </c>
    </row>
    <row r="192" spans="1:19" ht="15.9" customHeight="1">
      <c r="A192" s="43"/>
      <c r="B192" s="154"/>
      <c r="C192" s="598" t="s">
        <v>213</v>
      </c>
      <c r="D192" s="605"/>
      <c r="E192" s="155"/>
      <c r="F192" s="155"/>
      <c r="G192" s="94">
        <f>+G191*1%</f>
        <v>0</v>
      </c>
      <c r="H192" s="673"/>
      <c r="I192" s="154"/>
      <c r="J192" s="94">
        <f>G192/J5</f>
        <v>0</v>
      </c>
    </row>
    <row r="193" spans="1:20" ht="15.9" customHeight="1">
      <c r="A193" s="43"/>
      <c r="B193" s="154"/>
      <c r="C193" s="598" t="s">
        <v>214</v>
      </c>
      <c r="D193" s="605"/>
      <c r="E193" s="155"/>
      <c r="F193" s="155"/>
      <c r="G193" s="94">
        <f>G192*0.5</f>
        <v>0</v>
      </c>
      <c r="H193" s="673"/>
      <c r="I193" s="154"/>
      <c r="J193" s="94">
        <f>G193/J5</f>
        <v>0</v>
      </c>
    </row>
    <row r="194" spans="1:20" ht="15.9" customHeight="1" thickBot="1">
      <c r="A194" s="43"/>
      <c r="B194" s="154"/>
      <c r="C194" s="642" t="s">
        <v>215</v>
      </c>
      <c r="D194" s="642"/>
      <c r="E194" s="155"/>
      <c r="F194" s="155"/>
      <c r="G194" s="102">
        <f>G82</f>
        <v>565315.30184775486</v>
      </c>
      <c r="H194" s="673"/>
      <c r="I194" s="154"/>
      <c r="J194" s="102">
        <f>+J192+J193</f>
        <v>0</v>
      </c>
    </row>
    <row r="195" spans="1:20" ht="15.9" customHeight="1">
      <c r="A195" s="158"/>
      <c r="B195" s="370"/>
      <c r="C195" s="610"/>
      <c r="D195" s="610"/>
      <c r="E195" s="367"/>
      <c r="F195" s="367" t="s">
        <v>186</v>
      </c>
      <c r="G195" s="45" t="s">
        <v>186</v>
      </c>
      <c r="H195" s="673"/>
      <c r="I195" s="217" t="s">
        <v>63</v>
      </c>
      <c r="J195" s="218" t="s">
        <v>63</v>
      </c>
    </row>
    <row r="196" spans="1:20" ht="15.9" customHeight="1">
      <c r="A196" s="66"/>
      <c r="B196" s="91"/>
      <c r="C196" s="604" t="s">
        <v>216</v>
      </c>
      <c r="D196" s="605"/>
      <c r="E196" s="50"/>
      <c r="F196" s="42"/>
      <c r="G196" s="94">
        <f>+G54</f>
        <v>72</v>
      </c>
      <c r="H196" s="673"/>
      <c r="I196" s="83"/>
      <c r="J196" s="94">
        <f>+J54</f>
        <v>72</v>
      </c>
    </row>
    <row r="197" spans="1:20" ht="15.9" customHeight="1">
      <c r="A197" s="66"/>
      <c r="B197" s="91"/>
      <c r="C197" s="604" t="s">
        <v>217</v>
      </c>
      <c r="D197" s="605"/>
      <c r="E197" s="50"/>
      <c r="F197" s="42"/>
      <c r="G197" s="94">
        <f>F140</f>
        <v>9515</v>
      </c>
      <c r="H197" s="673"/>
      <c r="I197" s="83"/>
      <c r="J197" s="94">
        <f>I140</f>
        <v>9515</v>
      </c>
    </row>
    <row r="198" spans="1:20" ht="15.9" customHeight="1">
      <c r="A198" s="112"/>
      <c r="B198" s="91"/>
      <c r="C198" s="604" t="s">
        <v>218</v>
      </c>
      <c r="D198" s="605"/>
      <c r="E198" s="50"/>
      <c r="F198" s="42"/>
      <c r="G198" s="103">
        <f>+F60</f>
        <v>129</v>
      </c>
      <c r="H198" s="673"/>
      <c r="I198" s="83"/>
      <c r="J198" s="103">
        <f>+I60</f>
        <v>1.228337459531518</v>
      </c>
    </row>
    <row r="199" spans="1:20" ht="15.9" customHeight="1">
      <c r="A199" s="66"/>
      <c r="B199" s="91"/>
      <c r="C199" s="604" t="s">
        <v>218</v>
      </c>
      <c r="D199" s="605"/>
      <c r="E199" s="50"/>
      <c r="F199" s="42"/>
      <c r="G199" s="94">
        <f>(G197*G198*G196)</f>
        <v>88375320</v>
      </c>
      <c r="H199" s="673"/>
      <c r="I199" s="83"/>
      <c r="J199" s="94">
        <f>+G199/$J$5</f>
        <v>841509.42677585222</v>
      </c>
    </row>
    <row r="200" spans="1:20" ht="15.9" customHeight="1">
      <c r="A200" s="66"/>
      <c r="B200" s="91"/>
      <c r="C200" s="604" t="s">
        <v>219</v>
      </c>
      <c r="D200" s="605"/>
      <c r="E200" s="50"/>
      <c r="F200" s="42"/>
      <c r="G200" s="94">
        <f>G199/G196*12</f>
        <v>14729220</v>
      </c>
      <c r="H200" s="673"/>
      <c r="I200" s="83"/>
      <c r="J200" s="94">
        <f>+G200/$J$5</f>
        <v>140251.57112930872</v>
      </c>
    </row>
    <row r="201" spans="1:20" ht="15.9" customHeight="1">
      <c r="A201" s="66"/>
      <c r="B201" s="91"/>
      <c r="C201" s="604" t="s">
        <v>220</v>
      </c>
      <c r="D201" s="605"/>
      <c r="E201" s="50"/>
      <c r="F201" s="42"/>
      <c r="G201" s="94">
        <f>(+G220*115%)/5</f>
        <v>3026339.9999999995</v>
      </c>
      <c r="H201" s="673"/>
      <c r="I201" s="83"/>
      <c r="J201" s="94">
        <f>+G201/$J$5</f>
        <v>28816.796800609405</v>
      </c>
    </row>
    <row r="202" spans="1:20" ht="15.9" customHeight="1">
      <c r="A202" s="66"/>
      <c r="B202" s="91"/>
      <c r="C202" s="604" t="s">
        <v>221</v>
      </c>
      <c r="D202" s="605"/>
      <c r="E202" s="50"/>
      <c r="F202" s="42"/>
      <c r="G202" s="94">
        <f>(+I220*115%)/5</f>
        <v>2765157.6185172233</v>
      </c>
      <c r="H202" s="673"/>
      <c r="I202" s="83"/>
      <c r="J202" s="94">
        <f>+G202/$J$5</f>
        <v>26329.819258400526</v>
      </c>
    </row>
    <row r="203" spans="1:20" ht="15.9" customHeight="1">
      <c r="A203" s="66"/>
      <c r="B203" s="91"/>
      <c r="C203" s="604" t="s">
        <v>36</v>
      </c>
      <c r="D203" s="605"/>
      <c r="E203" s="50"/>
      <c r="F203" s="42"/>
      <c r="G203" s="94">
        <f>+G67</f>
        <v>11418000</v>
      </c>
      <c r="H203" s="673"/>
      <c r="I203" s="83"/>
      <c r="J203" s="94">
        <f>+G203/$J$5</f>
        <v>108722.14816225482</v>
      </c>
    </row>
    <row r="204" spans="1:20" ht="15.9" customHeight="1">
      <c r="A204" s="66"/>
      <c r="B204" s="91"/>
      <c r="C204" s="598" t="s">
        <v>222</v>
      </c>
      <c r="D204" s="605"/>
      <c r="E204" s="50"/>
      <c r="F204" s="42"/>
      <c r="G204" s="94">
        <f>(G200+G201+G202+G203)*1.18</f>
        <v>37687686.789850324</v>
      </c>
      <c r="H204" s="673"/>
      <c r="I204" s="83"/>
      <c r="J204" s="94">
        <f>+J200+J201+J202+J203</f>
        <v>304120.33535057347</v>
      </c>
    </row>
    <row r="205" spans="1:20" ht="15.9" customHeight="1">
      <c r="A205" s="66"/>
      <c r="B205" s="91"/>
      <c r="C205" s="598" t="s">
        <v>223</v>
      </c>
      <c r="D205" s="605"/>
      <c r="E205" s="50"/>
      <c r="F205" s="42"/>
      <c r="G205" s="94">
        <f>G204*1%</f>
        <v>376876.86789850326</v>
      </c>
      <c r="H205" s="673"/>
      <c r="I205" s="83"/>
      <c r="J205" s="94">
        <f>J204*1%</f>
        <v>3041.2033535057349</v>
      </c>
    </row>
    <row r="206" spans="1:20" ht="15.9" customHeight="1">
      <c r="A206" s="66"/>
      <c r="B206" s="91"/>
      <c r="C206" s="604" t="s">
        <v>224</v>
      </c>
      <c r="D206" s="605"/>
      <c r="E206" s="50"/>
      <c r="F206" s="42"/>
      <c r="G206" s="94">
        <f>G204*0.5%</f>
        <v>188438.43394925163</v>
      </c>
      <c r="H206" s="673"/>
      <c r="I206" s="83"/>
      <c r="J206" s="94">
        <f>J204*0.5%</f>
        <v>1520.6016767528674</v>
      </c>
    </row>
    <row r="207" spans="1:20" ht="15.9" customHeight="1">
      <c r="A207" s="66"/>
      <c r="B207" s="91"/>
      <c r="C207" s="600" t="s">
        <v>215</v>
      </c>
      <c r="D207" s="601"/>
      <c r="E207" s="50"/>
      <c r="F207" s="42"/>
      <c r="G207" s="94">
        <f>G205+G206</f>
        <v>565315.30184775486</v>
      </c>
      <c r="H207" s="673"/>
      <c r="I207" s="83"/>
      <c r="J207" s="94">
        <v>0</v>
      </c>
      <c r="T207" s="395"/>
    </row>
    <row r="208" spans="1:20" ht="15.9" customHeight="1">
      <c r="A208" s="43"/>
      <c r="B208" s="71"/>
      <c r="C208" s="43"/>
      <c r="D208" s="43"/>
      <c r="E208" s="72"/>
      <c r="F208" s="43"/>
      <c r="G208" s="325"/>
      <c r="H208" s="673"/>
      <c r="I208" s="86"/>
      <c r="J208" s="73"/>
    </row>
    <row r="209" spans="1:24" ht="32.25" customHeight="1">
      <c r="A209" s="43"/>
      <c r="B209" s="362" t="s">
        <v>225</v>
      </c>
      <c r="C209" s="367" t="s">
        <v>226</v>
      </c>
      <c r="D209" s="370" t="s">
        <v>227</v>
      </c>
      <c r="E209" s="104"/>
      <c r="F209" s="45" t="s">
        <v>228</v>
      </c>
      <c r="G209" s="153" t="s">
        <v>229</v>
      </c>
      <c r="H209" s="673"/>
      <c r="I209" s="367" t="s">
        <v>230</v>
      </c>
      <c r="J209" s="45" t="s">
        <v>231</v>
      </c>
    </row>
    <row r="210" spans="1:24" ht="15.9" customHeight="1">
      <c r="A210" s="43"/>
      <c r="B210" s="91">
        <v>1</v>
      </c>
      <c r="C210" s="93">
        <f>'Lease Rent'!N39</f>
        <v>9134400</v>
      </c>
      <c r="D210" s="135"/>
      <c r="E210" s="50"/>
      <c r="F210" s="272">
        <v>0</v>
      </c>
      <c r="G210" s="93">
        <f>'Lease Rent'!P39</f>
        <v>1360000</v>
      </c>
      <c r="H210" s="673"/>
      <c r="I210" s="93">
        <f>'Lease Rent'!O39</f>
        <v>1178337.5999999999</v>
      </c>
      <c r="J210" s="94"/>
      <c r="S210" s="395"/>
      <c r="T210" s="394"/>
      <c r="U210" s="395"/>
      <c r="V210" s="394"/>
    </row>
    <row r="211" spans="1:24" ht="15.9" customHeight="1">
      <c r="A211" s="43"/>
      <c r="B211" s="91">
        <v>2</v>
      </c>
      <c r="C211" s="93">
        <f>'Lease Rent'!N51</f>
        <v>13701600</v>
      </c>
      <c r="D211" s="269"/>
      <c r="E211" s="50"/>
      <c r="F211" s="272">
        <f>F210</f>
        <v>0</v>
      </c>
      <c r="G211" s="93">
        <f>'Lease Rent'!P51</f>
        <v>2040000</v>
      </c>
      <c r="H211" s="673"/>
      <c r="I211" s="93">
        <f>'Lease Rent'!O51</f>
        <v>1826423.2800000005</v>
      </c>
      <c r="J211" s="94"/>
      <c r="S211" s="395"/>
      <c r="T211" s="394"/>
      <c r="U211" s="395"/>
    </row>
    <row r="212" spans="1:24" ht="15.9" customHeight="1">
      <c r="A212" s="43"/>
      <c r="B212" s="91">
        <v>3</v>
      </c>
      <c r="C212" s="93">
        <f>'Lease Rent'!N63</f>
        <v>13701600</v>
      </c>
      <c r="D212" s="269"/>
      <c r="E212" s="50"/>
      <c r="F212" s="272">
        <f>F211</f>
        <v>0</v>
      </c>
      <c r="G212" s="93">
        <f>'Lease Rent'!P63</f>
        <v>2040000</v>
      </c>
      <c r="H212" s="673"/>
      <c r="I212" s="93">
        <f>'Lease Rent'!O63</f>
        <v>1917744.4440000001</v>
      </c>
      <c r="J212" s="94"/>
      <c r="S212" s="395"/>
      <c r="T212" s="394"/>
      <c r="U212" s="395"/>
    </row>
    <row r="213" spans="1:24" ht="15.9" customHeight="1">
      <c r="A213" s="43"/>
      <c r="B213" s="91">
        <v>4</v>
      </c>
      <c r="C213" s="93">
        <f>'Lease Rent'!N75</f>
        <v>15071760</v>
      </c>
      <c r="D213" s="269"/>
      <c r="E213" s="50"/>
      <c r="F213" s="272">
        <f>+F212*115%</f>
        <v>0</v>
      </c>
      <c r="G213" s="93">
        <f>'Lease Rent'!P75</f>
        <v>2244000</v>
      </c>
      <c r="H213" s="673"/>
      <c r="I213" s="93">
        <f>'Lease Rent'!O75</f>
        <v>2013631.6662000006</v>
      </c>
      <c r="J213" s="94"/>
      <c r="S213" s="395"/>
      <c r="T213" s="394"/>
      <c r="U213" s="395"/>
    </row>
    <row r="214" spans="1:24" ht="15.9" customHeight="1">
      <c r="A214" s="43"/>
      <c r="B214" s="91">
        <v>5</v>
      </c>
      <c r="C214" s="93">
        <f>'Lease Rent'!N87</f>
        <v>15756840</v>
      </c>
      <c r="D214" s="269"/>
      <c r="E214" s="50"/>
      <c r="F214" s="272">
        <f>+F213</f>
        <v>0</v>
      </c>
      <c r="G214" s="93">
        <f>'Lease Rent'!P87</f>
        <v>2345999.9999999995</v>
      </c>
      <c r="H214" s="673"/>
      <c r="I214" s="93">
        <f>'Lease Rent'!O87</f>
        <v>2114313.2495100005</v>
      </c>
      <c r="J214" s="94"/>
      <c r="S214" s="395"/>
      <c r="T214" s="394"/>
      <c r="U214" s="395"/>
    </row>
    <row r="215" spans="1:24" ht="15.9" customHeight="1">
      <c r="A215" s="43"/>
      <c r="B215" s="107">
        <v>6</v>
      </c>
      <c r="C215" s="93">
        <f>'Lease Rent'!N99</f>
        <v>15756840</v>
      </c>
      <c r="D215" s="269"/>
      <c r="E215" s="109"/>
      <c r="F215" s="272">
        <f>+F214</f>
        <v>0</v>
      </c>
      <c r="G215" s="573">
        <f>'Lease Rent'!P99</f>
        <v>2345999.9999999995</v>
      </c>
      <c r="H215" s="673"/>
      <c r="I215" s="93">
        <f>'Lease Rent'!O99</f>
        <v>2220028.9119855007</v>
      </c>
      <c r="J215" s="94"/>
      <c r="T215" s="394"/>
      <c r="U215" s="395"/>
    </row>
    <row r="216" spans="1:24" ht="15.9" customHeight="1">
      <c r="A216" s="43"/>
      <c r="B216" s="107">
        <v>7</v>
      </c>
      <c r="C216" s="93">
        <f>'Lease Rent'!N103</f>
        <v>5252280</v>
      </c>
      <c r="D216" s="269"/>
      <c r="E216" s="109"/>
      <c r="F216" s="272">
        <f>+F215*115%</f>
        <v>0</v>
      </c>
      <c r="G216" s="573">
        <f>'Lease Rent'!P103</f>
        <v>781999.99999999988</v>
      </c>
      <c r="H216" s="673"/>
      <c r="I216" s="93">
        <f>'Lease Rent'!O103</f>
        <v>751945.27664025011</v>
      </c>
      <c r="J216" s="103"/>
    </row>
    <row r="217" spans="1:24" ht="15.9" customHeight="1">
      <c r="A217" s="43"/>
      <c r="B217" s="107">
        <v>8</v>
      </c>
      <c r="C217" s="93"/>
      <c r="D217" s="270"/>
      <c r="E217" s="109"/>
      <c r="F217" s="273">
        <f>F216</f>
        <v>0</v>
      </c>
      <c r="G217" s="105">
        <f>'Lease Rent'!R10</f>
        <v>0</v>
      </c>
      <c r="H217" s="673"/>
      <c r="I217" s="289"/>
      <c r="J217" s="103"/>
    </row>
    <row r="218" spans="1:24" ht="15.9" customHeight="1">
      <c r="A218" s="43"/>
      <c r="B218" s="107">
        <v>9</v>
      </c>
      <c r="C218" s="108"/>
      <c r="D218" s="270"/>
      <c r="E218" s="109"/>
      <c r="F218" s="273">
        <f>F217</f>
        <v>0</v>
      </c>
      <c r="G218" s="110"/>
      <c r="H218" s="673"/>
      <c r="I218" s="93"/>
      <c r="J218" s="103"/>
    </row>
    <row r="219" spans="1:24" ht="15.9" customHeight="1">
      <c r="A219" s="43"/>
      <c r="B219" s="107">
        <v>10</v>
      </c>
      <c r="C219" s="108"/>
      <c r="D219" s="219"/>
      <c r="E219" s="109"/>
      <c r="F219" s="220"/>
      <c r="G219" s="110"/>
      <c r="H219" s="673"/>
      <c r="I219" s="93"/>
      <c r="J219" s="103"/>
    </row>
    <row r="220" spans="1:24" ht="15.9" customHeight="1" thickBot="1">
      <c r="A220" s="43"/>
      <c r="B220" s="111" t="s">
        <v>29</v>
      </c>
      <c r="C220" s="271">
        <f>SUM(C210:C219)</f>
        <v>88375320</v>
      </c>
      <c r="D220" s="271"/>
      <c r="E220" s="44"/>
      <c r="F220" s="271">
        <f>+AVERAGE(F210:F219)</f>
        <v>0</v>
      </c>
      <c r="G220" s="271">
        <f>SUM(G210:G219)</f>
        <v>13158000</v>
      </c>
      <c r="H220" s="674"/>
      <c r="I220" s="271">
        <f>SUM(I210:I219)</f>
        <v>12022424.428335754</v>
      </c>
      <c r="J220" s="271">
        <f>SUM(J210:J219)</f>
        <v>0</v>
      </c>
      <c r="S220" s="396"/>
      <c r="X220" s="396"/>
    </row>
    <row r="221" spans="1:24">
      <c r="S221" s="394"/>
    </row>
    <row r="222" spans="1:24">
      <c r="C222" s="396"/>
      <c r="D222" s="388"/>
      <c r="G222" s="396"/>
      <c r="I222" s="396"/>
    </row>
    <row r="223" spans="1:24">
      <c r="C223" s="394"/>
      <c r="D223" s="394"/>
      <c r="F223" s="395"/>
      <c r="I223" s="395"/>
    </row>
    <row r="224" spans="1:24">
      <c r="C224" s="394"/>
      <c r="D224" s="400"/>
      <c r="I224" s="394"/>
      <c r="J224" s="400"/>
    </row>
    <row r="225" spans="3:10">
      <c r="C225" s="394"/>
      <c r="I225" s="394"/>
    </row>
    <row r="226" spans="3:10">
      <c r="C226" s="396"/>
      <c r="D226" s="394"/>
      <c r="I226" s="396"/>
      <c r="J226" s="394"/>
    </row>
    <row r="227" spans="3:10">
      <c r="C227" s="394"/>
    </row>
    <row r="228" spans="3:10">
      <c r="C228" s="394"/>
    </row>
    <row r="229" spans="3:10">
      <c r="C229" s="394"/>
    </row>
    <row r="230" spans="3:10">
      <c r="C230" s="394"/>
    </row>
    <row r="231" spans="3:10">
      <c r="C231" s="394"/>
      <c r="D231" s="394"/>
      <c r="F231" s="394"/>
      <c r="I231" s="394"/>
    </row>
    <row r="232" spans="3:10">
      <c r="I232" s="394"/>
    </row>
    <row r="233" spans="3:10">
      <c r="I233" s="394"/>
      <c r="J233" s="394"/>
    </row>
  </sheetData>
  <mergeCells count="237">
    <mergeCell ref="C204:D204"/>
    <mergeCell ref="C203:D203"/>
    <mergeCell ref="C161:D161"/>
    <mergeCell ref="B138:D138"/>
    <mergeCell ref="C141:D141"/>
    <mergeCell ref="C120:D120"/>
    <mergeCell ref="C192:D192"/>
    <mergeCell ref="C193:D193"/>
    <mergeCell ref="C80:D80"/>
    <mergeCell ref="C99:D99"/>
    <mergeCell ref="C100:D100"/>
    <mergeCell ref="C91:D91"/>
    <mergeCell ref="C92:D92"/>
    <mergeCell ref="C87:D87"/>
    <mergeCell ref="C82:D82"/>
    <mergeCell ref="C83:D83"/>
    <mergeCell ref="C89:D89"/>
    <mergeCell ref="C189:D189"/>
    <mergeCell ref="C101:D101"/>
    <mergeCell ref="C160:D160"/>
    <mergeCell ref="C190:D190"/>
    <mergeCell ref="B179:D179"/>
    <mergeCell ref="C162:D162"/>
    <mergeCell ref="C165:D165"/>
    <mergeCell ref="C205:D205"/>
    <mergeCell ref="C206:D206"/>
    <mergeCell ref="C207:D207"/>
    <mergeCell ref="C45:D45"/>
    <mergeCell ref="C46:D46"/>
    <mergeCell ref="C47:D47"/>
    <mergeCell ref="C49:D49"/>
    <mergeCell ref="C174:D174"/>
    <mergeCell ref="C197:D197"/>
    <mergeCell ref="C142:D142"/>
    <mergeCell ref="C199:D199"/>
    <mergeCell ref="C200:D200"/>
    <mergeCell ref="C201:D201"/>
    <mergeCell ref="C202:D202"/>
    <mergeCell ref="C188:D188"/>
    <mergeCell ref="C191:D191"/>
    <mergeCell ref="C194:D194"/>
    <mergeCell ref="C195:D195"/>
    <mergeCell ref="C196:D196"/>
    <mergeCell ref="C69:D69"/>
    <mergeCell ref="C70:D70"/>
    <mergeCell ref="C71:D71"/>
    <mergeCell ref="C72:D72"/>
    <mergeCell ref="C73:D73"/>
    <mergeCell ref="C181:D181"/>
    <mergeCell ref="C185:D185"/>
    <mergeCell ref="C168:D168"/>
    <mergeCell ref="C116:D116"/>
    <mergeCell ref="C169:D169"/>
    <mergeCell ref="C183:D183"/>
    <mergeCell ref="C170:D170"/>
    <mergeCell ref="C140:D140"/>
    <mergeCell ref="C132:D132"/>
    <mergeCell ref="C122:D122"/>
    <mergeCell ref="C171:D171"/>
    <mergeCell ref="C167:D167"/>
    <mergeCell ref="B147:D147"/>
    <mergeCell ref="B163:D164"/>
    <mergeCell ref="B125:D125"/>
    <mergeCell ref="C158:D158"/>
    <mergeCell ref="C126:D126"/>
    <mergeCell ref="C155:D155"/>
    <mergeCell ref="C144:D144"/>
    <mergeCell ref="C139:D139"/>
    <mergeCell ref="C166:D166"/>
    <mergeCell ref="C182:D182"/>
    <mergeCell ref="H188:H220"/>
    <mergeCell ref="C159:D159"/>
    <mergeCell ref="C22:D22"/>
    <mergeCell ref="B187:J187"/>
    <mergeCell ref="C172:D172"/>
    <mergeCell ref="C176:D176"/>
    <mergeCell ref="C177:D177"/>
    <mergeCell ref="C180:D180"/>
    <mergeCell ref="C157:D157"/>
    <mergeCell ref="C198:D198"/>
    <mergeCell ref="C175:D175"/>
    <mergeCell ref="C149:D149"/>
    <mergeCell ref="C150:D150"/>
    <mergeCell ref="F50:G50"/>
    <mergeCell ref="I52:J52"/>
    <mergeCell ref="C95:D95"/>
    <mergeCell ref="F58:G58"/>
    <mergeCell ref="I58:J58"/>
    <mergeCell ref="B121:D121"/>
    <mergeCell ref="C143:D143"/>
    <mergeCell ref="C184:D184"/>
    <mergeCell ref="C113:D113"/>
    <mergeCell ref="C50:D50"/>
    <mergeCell ref="C51:D51"/>
    <mergeCell ref="C34:D34"/>
    <mergeCell ref="C35:D35"/>
    <mergeCell ref="C81:D81"/>
    <mergeCell ref="C62:D62"/>
    <mergeCell ref="C63:D63"/>
    <mergeCell ref="C54:D54"/>
    <mergeCell ref="C55:D55"/>
    <mergeCell ref="C75:D75"/>
    <mergeCell ref="C76:D76"/>
    <mergeCell ref="C68:D68"/>
    <mergeCell ref="C52:D52"/>
    <mergeCell ref="C53:D53"/>
    <mergeCell ref="C56:D56"/>
    <mergeCell ref="C64:D64"/>
    <mergeCell ref="C65:D65"/>
    <mergeCell ref="C66:D66"/>
    <mergeCell ref="C67:D67"/>
    <mergeCell ref="C60:D60"/>
    <mergeCell ref="C61:D61"/>
    <mergeCell ref="C57:D57"/>
    <mergeCell ref="B59:D59"/>
    <mergeCell ref="B48:B49"/>
    <mergeCell ref="B1:J3"/>
    <mergeCell ref="C10:D10"/>
    <mergeCell ref="C11:D11"/>
    <mergeCell ref="C12:D12"/>
    <mergeCell ref="C13:D13"/>
    <mergeCell ref="C14:D14"/>
    <mergeCell ref="I6:J6"/>
    <mergeCell ref="I8:J8"/>
    <mergeCell ref="I10:J10"/>
    <mergeCell ref="I11:J11"/>
    <mergeCell ref="B9:D9"/>
    <mergeCell ref="F10:G10"/>
    <mergeCell ref="F11:G11"/>
    <mergeCell ref="F12:G12"/>
    <mergeCell ref="F14:G14"/>
    <mergeCell ref="F13:G13"/>
    <mergeCell ref="F6:G6"/>
    <mergeCell ref="F8:G8"/>
    <mergeCell ref="B4:G4"/>
    <mergeCell ref="B5:G5"/>
    <mergeCell ref="B6:D6"/>
    <mergeCell ref="C7:D7"/>
    <mergeCell ref="I13:J13"/>
    <mergeCell ref="I12:J12"/>
    <mergeCell ref="C21:D21"/>
    <mergeCell ref="C27:D27"/>
    <mergeCell ref="C28:D28"/>
    <mergeCell ref="C23:D23"/>
    <mergeCell ref="C24:D24"/>
    <mergeCell ref="C26:D26"/>
    <mergeCell ref="C25:D25"/>
    <mergeCell ref="C18:D18"/>
    <mergeCell ref="C19:D19"/>
    <mergeCell ref="C20:D20"/>
    <mergeCell ref="C15:D15"/>
    <mergeCell ref="I14:J14"/>
    <mergeCell ref="F15:G15"/>
    <mergeCell ref="I15:J15"/>
    <mergeCell ref="C16:D16"/>
    <mergeCell ref="F16:G16"/>
    <mergeCell ref="I16:J16"/>
    <mergeCell ref="F17:G17"/>
    <mergeCell ref="I17:J17"/>
    <mergeCell ref="C17:D17"/>
    <mergeCell ref="I51:J51"/>
    <mergeCell ref="I18:J18"/>
    <mergeCell ref="I50:J50"/>
    <mergeCell ref="C36:D36"/>
    <mergeCell ref="C44:D44"/>
    <mergeCell ref="C30:D30"/>
    <mergeCell ref="B31:D31"/>
    <mergeCell ref="C29:D29"/>
    <mergeCell ref="C41:D41"/>
    <mergeCell ref="C38:D38"/>
    <mergeCell ref="C39:D39"/>
    <mergeCell ref="C40:D40"/>
    <mergeCell ref="C37:D37"/>
    <mergeCell ref="F19:G19"/>
    <mergeCell ref="I19:J19"/>
    <mergeCell ref="F18:G18"/>
    <mergeCell ref="I48:J48"/>
    <mergeCell ref="I49:J49"/>
    <mergeCell ref="F51:G51"/>
    <mergeCell ref="C42:D42"/>
    <mergeCell ref="C43:D43"/>
    <mergeCell ref="C32:D32"/>
    <mergeCell ref="C33:D33"/>
    <mergeCell ref="C48:D48"/>
    <mergeCell ref="F52:G52"/>
    <mergeCell ref="F48:G48"/>
    <mergeCell ref="F49:G49"/>
    <mergeCell ref="I53:J53"/>
    <mergeCell ref="F53:G53"/>
    <mergeCell ref="E163:E164"/>
    <mergeCell ref="C110:D110"/>
    <mergeCell ref="C111:D111"/>
    <mergeCell ref="C112:D112"/>
    <mergeCell ref="C127:D127"/>
    <mergeCell ref="C123:D123"/>
    <mergeCell ref="C118:D118"/>
    <mergeCell ref="C154:D154"/>
    <mergeCell ref="C129:D129"/>
    <mergeCell ref="C130:D130"/>
    <mergeCell ref="B156:D156"/>
    <mergeCell ref="C151:D151"/>
    <mergeCell ref="C152:D152"/>
    <mergeCell ref="C153:D153"/>
    <mergeCell ref="C145:D145"/>
    <mergeCell ref="C148:D148"/>
    <mergeCell ref="C135:D135"/>
    <mergeCell ref="C136:D136"/>
    <mergeCell ref="C133:D133"/>
    <mergeCell ref="C86:D86"/>
    <mergeCell ref="B134:D134"/>
    <mergeCell ref="C106:D106"/>
    <mergeCell ref="C77:D77"/>
    <mergeCell ref="B85:D85"/>
    <mergeCell ref="C78:D78"/>
    <mergeCell ref="C79:D79"/>
    <mergeCell ref="C119:D119"/>
    <mergeCell ref="C103:D103"/>
    <mergeCell ref="B105:D105"/>
    <mergeCell ref="C124:D124"/>
    <mergeCell ref="C117:D117"/>
    <mergeCell ref="C114:D114"/>
    <mergeCell ref="C90:D90"/>
    <mergeCell ref="F137:G137"/>
    <mergeCell ref="I137:J137"/>
    <mergeCell ref="C128:D128"/>
    <mergeCell ref="C108:D108"/>
    <mergeCell ref="B109:D109"/>
    <mergeCell ref="C97:D97"/>
    <mergeCell ref="C98:D98"/>
    <mergeCell ref="C88:D88"/>
    <mergeCell ref="B96:D96"/>
    <mergeCell ref="C93:D93"/>
    <mergeCell ref="C94:D94"/>
    <mergeCell ref="C131:D131"/>
    <mergeCell ref="C115:D115"/>
    <mergeCell ref="C102:D102"/>
    <mergeCell ref="C107:D107"/>
  </mergeCells>
  <pageMargins left="0.5" right="0.25" top="0.75" bottom="0.25" header="0.3" footer="0.3"/>
  <pageSetup paperSize="9" scale="58" orientation="portrait" r:id="rId1"/>
  <headerFooter>
    <oddFooter>&amp;LRestricted</oddFooter>
  </headerFooter>
  <rowBreaks count="2" manualBreakCount="2">
    <brk id="57" max="16383" man="1"/>
    <brk id="136" max="16383" man="1"/>
  </rowBreaks>
  <colBreaks count="1" manualBreakCount="1">
    <brk id="15" max="1048575" man="1"/>
  </colBreaks>
  <customProperties>
    <customPr name="_pios_id" r:id="rId2"/>
    <customPr name="Epm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  <pageSetUpPr fitToPage="1"/>
  </sheetPr>
  <dimension ref="A1:AB68"/>
  <sheetViews>
    <sheetView topLeftCell="Q8" zoomScale="112" zoomScaleNormal="112" workbookViewId="0">
      <selection activeCell="Z28" sqref="Z28"/>
    </sheetView>
  </sheetViews>
  <sheetFormatPr defaultColWidth="9.36328125" defaultRowHeight="10"/>
  <cols>
    <col min="1" max="1" width="24.36328125" style="1" customWidth="1"/>
    <col min="2" max="2" width="14" style="1" bestFit="1" customWidth="1"/>
    <col min="3" max="5" width="14" style="1" customWidth="1"/>
    <col min="6" max="6" width="15.36328125" style="1" bestFit="1" customWidth="1"/>
    <col min="7" max="7" width="13" style="1" bestFit="1" customWidth="1"/>
    <col min="8" max="8" width="12" style="2" customWidth="1"/>
    <col min="9" max="9" width="14.08984375" style="2" customWidth="1"/>
    <col min="10" max="12" width="12" style="2" customWidth="1"/>
    <col min="13" max="13" width="17.90625" style="2" customWidth="1"/>
    <col min="14" max="14" width="18.54296875" style="2" customWidth="1"/>
    <col min="15" max="15" width="2.08984375" style="2" customWidth="1"/>
    <col min="16" max="16" width="28.54296875" style="2" customWidth="1"/>
    <col min="17" max="17" width="13.6328125" style="2" bestFit="1" customWidth="1"/>
    <col min="18" max="18" width="13" style="2" bestFit="1" customWidth="1"/>
    <col min="19" max="19" width="13.6328125" style="2" bestFit="1" customWidth="1"/>
    <col min="20" max="26" width="13.6328125" style="1" bestFit="1" customWidth="1"/>
    <col min="27" max="27" width="14.54296875" style="1" bestFit="1" customWidth="1"/>
    <col min="28" max="28" width="14" style="1" bestFit="1" customWidth="1"/>
    <col min="29" max="29" width="10.6328125" style="1" bestFit="1" customWidth="1"/>
    <col min="30" max="30" width="10.6328125" style="1" customWidth="1"/>
    <col min="31" max="31" width="10.6328125" style="1" bestFit="1" customWidth="1"/>
    <col min="32" max="32" width="10.90625" style="1" bestFit="1" customWidth="1"/>
    <col min="33" max="33" width="9.36328125" style="1"/>
    <col min="34" max="34" width="9.90625" style="1" bestFit="1" customWidth="1"/>
    <col min="35" max="35" width="9.36328125" style="1"/>
    <col min="36" max="36" width="9.90625" style="1" bestFit="1" customWidth="1"/>
    <col min="37" max="16384" width="9.36328125" style="1"/>
  </cols>
  <sheetData>
    <row r="1" spans="1:27" ht="10.5" thickBot="1">
      <c r="H1" s="1"/>
      <c r="I1" s="1"/>
      <c r="J1" s="1"/>
      <c r="K1" s="1"/>
      <c r="L1" s="1"/>
      <c r="M1" s="1"/>
      <c r="N1" s="1"/>
      <c r="P1" s="1"/>
      <c r="Q1" s="1"/>
      <c r="R1" s="1"/>
      <c r="S1" s="1"/>
    </row>
    <row r="2" spans="1:27" ht="11.25" customHeight="1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59"/>
      <c r="P2" s="659"/>
      <c r="Q2" s="659"/>
      <c r="R2" s="659"/>
      <c r="S2" s="659"/>
      <c r="T2" s="659"/>
      <c r="U2" s="659"/>
      <c r="V2" s="659"/>
      <c r="W2" s="659"/>
      <c r="X2" s="659"/>
      <c r="Y2" s="659"/>
      <c r="Z2" s="659"/>
      <c r="AA2" s="695"/>
    </row>
    <row r="3" spans="1:27" ht="11.25" customHeight="1">
      <c r="A3" s="696"/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  <c r="Y3" s="697"/>
      <c r="Z3" s="697"/>
      <c r="AA3" s="698"/>
    </row>
    <row r="4" spans="1:27" ht="12" customHeight="1" thickBot="1">
      <c r="A4" s="699"/>
      <c r="B4" s="700"/>
      <c r="C4" s="700"/>
      <c r="D4" s="700"/>
      <c r="E4" s="700"/>
      <c r="F4" s="700"/>
      <c r="G4" s="700"/>
      <c r="H4" s="700"/>
      <c r="I4" s="700"/>
      <c r="J4" s="700"/>
      <c r="K4" s="700"/>
      <c r="L4" s="700"/>
      <c r="M4" s="700"/>
      <c r="N4" s="700"/>
      <c r="O4" s="700"/>
      <c r="P4" s="700"/>
      <c r="Q4" s="700"/>
      <c r="R4" s="700"/>
      <c r="S4" s="700"/>
      <c r="T4" s="700"/>
      <c r="U4" s="700"/>
      <c r="V4" s="700"/>
      <c r="W4" s="700"/>
      <c r="X4" s="700"/>
      <c r="Y4" s="700"/>
      <c r="Z4" s="700"/>
      <c r="AA4" s="701"/>
    </row>
    <row r="5" spans="1:27" ht="12.75" customHeight="1">
      <c r="A5" s="658" t="s">
        <v>0</v>
      </c>
      <c r="B5" s="659"/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95"/>
    </row>
    <row r="6" spans="1:27" ht="13.5" customHeight="1">
      <c r="A6" s="702"/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703"/>
      <c r="M6" s="703"/>
      <c r="N6" s="703"/>
      <c r="O6" s="703"/>
      <c r="P6" s="703"/>
      <c r="Q6" s="703"/>
      <c r="R6" s="703"/>
      <c r="S6" s="703"/>
      <c r="T6" s="703"/>
      <c r="U6" s="703"/>
      <c r="V6" s="703"/>
      <c r="W6" s="703"/>
      <c r="X6" s="703"/>
      <c r="Y6" s="703"/>
      <c r="Z6" s="703"/>
      <c r="AA6" s="704"/>
    </row>
    <row r="7" spans="1:27" ht="13.5" customHeight="1" thickBot="1">
      <c r="A7" s="705" t="s">
        <v>292</v>
      </c>
      <c r="B7" s="706"/>
      <c r="C7" s="706"/>
      <c r="D7" s="706"/>
      <c r="E7" s="706"/>
      <c r="F7" s="706"/>
      <c r="G7" s="706"/>
      <c r="H7" s="706"/>
      <c r="I7" s="706"/>
      <c r="J7" s="706"/>
      <c r="K7" s="706"/>
      <c r="L7" s="706"/>
      <c r="M7" s="706"/>
      <c r="N7" s="706"/>
      <c r="O7" s="706"/>
      <c r="P7" s="707"/>
      <c r="Q7" s="707"/>
      <c r="R7" s="707"/>
      <c r="S7" s="707"/>
      <c r="T7" s="707"/>
      <c r="U7" s="707"/>
      <c r="V7" s="707"/>
      <c r="W7" s="707"/>
      <c r="X7" s="707"/>
      <c r="Y7" s="707"/>
      <c r="Z7" s="707"/>
      <c r="AA7" s="708"/>
    </row>
    <row r="8" spans="1:27" ht="12.75" customHeight="1" thickBot="1">
      <c r="A8" s="709" t="s">
        <v>1</v>
      </c>
      <c r="B8" s="710"/>
      <c r="C8" s="710"/>
      <c r="D8" s="710"/>
      <c r="E8" s="710"/>
      <c r="F8" s="710"/>
      <c r="G8" s="710"/>
      <c r="H8" s="710"/>
      <c r="I8" s="710"/>
      <c r="J8" s="710"/>
      <c r="K8" s="710"/>
      <c r="L8" s="710"/>
      <c r="M8" s="710"/>
      <c r="N8" s="711"/>
      <c r="O8" s="6"/>
      <c r="P8" s="709" t="s">
        <v>2</v>
      </c>
      <c r="Q8" s="710"/>
      <c r="R8" s="710"/>
      <c r="S8" s="710"/>
      <c r="T8" s="710"/>
      <c r="U8" s="710"/>
      <c r="V8" s="710"/>
      <c r="W8" s="710"/>
      <c r="X8" s="710"/>
      <c r="Y8" s="710"/>
      <c r="Z8" s="710"/>
      <c r="AA8" s="712"/>
    </row>
    <row r="9" spans="1:27" s="203" customFormat="1" ht="45.75" customHeight="1">
      <c r="A9" s="204">
        <f>+'Rent Calculation'!B1</f>
        <v>0</v>
      </c>
      <c r="B9" s="205" t="s">
        <v>3</v>
      </c>
      <c r="C9" s="205" t="s">
        <v>4</v>
      </c>
      <c r="D9" s="205" t="s">
        <v>5</v>
      </c>
      <c r="E9" s="205" t="s">
        <v>294</v>
      </c>
      <c r="F9" s="205" t="s">
        <v>6</v>
      </c>
      <c r="G9" s="205" t="s">
        <v>7</v>
      </c>
      <c r="H9" s="206" t="s">
        <v>8</v>
      </c>
      <c r="I9" s="205" t="s">
        <v>9</v>
      </c>
      <c r="J9" s="205" t="s">
        <v>10</v>
      </c>
      <c r="K9" s="205" t="s">
        <v>11</v>
      </c>
      <c r="L9" s="206" t="s">
        <v>12</v>
      </c>
      <c r="M9" s="205" t="s">
        <v>13</v>
      </c>
      <c r="N9" s="205" t="s">
        <v>14</v>
      </c>
      <c r="O9" s="207"/>
      <c r="P9" s="208" t="s">
        <v>15</v>
      </c>
      <c r="Q9" s="209">
        <f>+'Rent Calculation'!F28</f>
        <v>0.105</v>
      </c>
      <c r="R9" s="210"/>
      <c r="S9" s="208" t="s">
        <v>16</v>
      </c>
      <c r="T9" s="211">
        <f>'Rent Calculation'!J5</f>
        <v>105.02</v>
      </c>
      <c r="U9" s="212"/>
      <c r="V9" s="213"/>
      <c r="W9" s="213"/>
      <c r="X9" s="213"/>
      <c r="Y9" s="213"/>
      <c r="Z9" s="213"/>
      <c r="AA9" s="214"/>
    </row>
    <row r="10" spans="1:27">
      <c r="A10" s="7" t="s">
        <v>17</v>
      </c>
      <c r="B10" s="8">
        <f>+'Rent Calculation'!F39</f>
        <v>120</v>
      </c>
      <c r="C10" s="8"/>
      <c r="D10" s="8">
        <f>(+'Rent Calculation'!F210*114.5%)/'Rent Calculation'!F21/12</f>
        <v>0</v>
      </c>
      <c r="E10" s="8">
        <f>+((+'Rent Calculation'!F43*'Rent Calculation'!F44)/'Rent Calculation'!F23)</f>
        <v>12.611665790856541</v>
      </c>
      <c r="F10" s="8">
        <f>+'Rent Calculation'!F41</f>
        <v>15.48</v>
      </c>
      <c r="G10" s="8">
        <f t="shared" ref="G10:G15" si="0">SUM(B10:F10)</f>
        <v>148.09166579085652</v>
      </c>
      <c r="H10" s="10"/>
      <c r="I10" s="10"/>
      <c r="J10" s="10"/>
      <c r="K10" s="10"/>
      <c r="L10" s="10"/>
      <c r="M10" s="10"/>
      <c r="N10" s="10"/>
      <c r="P10" s="1"/>
      <c r="Q10" s="1"/>
      <c r="R10" s="1"/>
      <c r="S10" s="1"/>
      <c r="U10" s="4"/>
      <c r="V10" s="11"/>
      <c r="W10" s="11"/>
      <c r="X10" s="11"/>
      <c r="Y10" s="11"/>
      <c r="Z10" s="11"/>
      <c r="AA10" s="12"/>
    </row>
    <row r="11" spans="1:27" ht="10.5">
      <c r="A11" s="7" t="s">
        <v>18</v>
      </c>
      <c r="B11" s="9">
        <f>+B10*'Rent Calculation'!F21</f>
        <v>1141800</v>
      </c>
      <c r="C11" s="9"/>
      <c r="D11" s="9">
        <f>+D10*'Rent Calculation'!F21</f>
        <v>0</v>
      </c>
      <c r="E11" s="9">
        <f>+E10*'Rent Calculation'!F21</f>
        <v>119999.99999999999</v>
      </c>
      <c r="F11" s="9">
        <f>F10*'Rent Calculation'!F21</f>
        <v>147292.20000000001</v>
      </c>
      <c r="G11" s="9">
        <f t="shared" si="0"/>
        <v>1409092.2</v>
      </c>
      <c r="H11" s="5"/>
      <c r="I11" s="5"/>
      <c r="J11" s="5"/>
      <c r="K11" s="5"/>
      <c r="L11" s="5"/>
      <c r="M11" s="5"/>
      <c r="N11" s="5"/>
      <c r="P11" s="10"/>
      <c r="Q11" s="13" t="s">
        <v>19</v>
      </c>
      <c r="R11" s="13" t="s">
        <v>20</v>
      </c>
      <c r="S11" s="13" t="s">
        <v>21</v>
      </c>
      <c r="T11" s="13" t="s">
        <v>22</v>
      </c>
      <c r="U11" s="13" t="s">
        <v>23</v>
      </c>
      <c r="V11" s="13" t="s">
        <v>24</v>
      </c>
      <c r="W11" s="13" t="s">
        <v>25</v>
      </c>
      <c r="X11" s="15" t="s">
        <v>26</v>
      </c>
      <c r="Y11" s="15" t="s">
        <v>27</v>
      </c>
      <c r="Z11" s="15" t="s">
        <v>28</v>
      </c>
      <c r="AA11" s="14" t="s">
        <v>29</v>
      </c>
    </row>
    <row r="12" spans="1:27" ht="10.5">
      <c r="A12" s="7" t="s">
        <v>30</v>
      </c>
      <c r="B12" s="9">
        <f>+'Rent Calculation'!C210</f>
        <v>9134400</v>
      </c>
      <c r="C12" s="9"/>
      <c r="D12" s="9">
        <f>+D11*6</f>
        <v>0</v>
      </c>
      <c r="E12" s="9">
        <f>+'Rent Calculation'!G210</f>
        <v>1360000</v>
      </c>
      <c r="F12" s="9">
        <f>+'Rent Calculation'!I210</f>
        <v>1178337.5999999999</v>
      </c>
      <c r="G12" s="9">
        <f t="shared" si="0"/>
        <v>11672737.6</v>
      </c>
      <c r="H12" s="5">
        <f>G12/$T$9</f>
        <v>111147.75852218625</v>
      </c>
      <c r="I12" s="345">
        <f>+Q28</f>
        <v>14000000</v>
      </c>
      <c r="J12" s="345">
        <f>+Q27</f>
        <v>1500000</v>
      </c>
      <c r="K12" s="5">
        <f>+G12+I12+J12</f>
        <v>27172737.600000001</v>
      </c>
      <c r="L12" s="345">
        <f>+K12/$T$9</f>
        <v>258738.69358217483</v>
      </c>
      <c r="M12" s="5"/>
      <c r="N12" s="5"/>
      <c r="P12" s="10"/>
      <c r="Q12" s="13"/>
      <c r="R12" s="13"/>
      <c r="S12" s="13"/>
      <c r="T12" s="13"/>
      <c r="U12" s="13"/>
      <c r="V12" s="15"/>
      <c r="W12" s="15"/>
      <c r="X12" s="15"/>
      <c r="Y12" s="15"/>
      <c r="Z12" s="15"/>
      <c r="AA12" s="14"/>
    </row>
    <row r="13" spans="1:27" ht="10.5">
      <c r="A13" s="7" t="s">
        <v>31</v>
      </c>
      <c r="B13" s="9">
        <f>+'Rent Calculation'!C211</f>
        <v>13701600</v>
      </c>
      <c r="C13" s="9"/>
      <c r="D13" s="9">
        <f>+D11*12</f>
        <v>0</v>
      </c>
      <c r="E13" s="9">
        <f>+'Rent Calculation'!G211</f>
        <v>2040000</v>
      </c>
      <c r="F13" s="9">
        <f>+'Rent Calculation'!I211</f>
        <v>1826423.2800000005</v>
      </c>
      <c r="G13" s="9">
        <f t="shared" si="0"/>
        <v>17568023.280000001</v>
      </c>
      <c r="H13" s="5">
        <f>G13/$T$9</f>
        <v>167282.64406779662</v>
      </c>
      <c r="I13" s="345">
        <f>+R28</f>
        <v>12000000</v>
      </c>
      <c r="J13" s="345">
        <f>+R27</f>
        <v>200000</v>
      </c>
      <c r="K13" s="5">
        <f t="shared" ref="K13:K21" si="1">+G13+I13+J13</f>
        <v>29768023.280000001</v>
      </c>
      <c r="L13" s="345">
        <f t="shared" ref="L13:L21" si="2">+K13/$T$9</f>
        <v>283450.99295372312</v>
      </c>
      <c r="M13" s="5"/>
      <c r="N13" s="5"/>
      <c r="P13" s="10"/>
      <c r="Q13" s="13" t="s">
        <v>32</v>
      </c>
      <c r="R13" s="13" t="s">
        <v>32</v>
      </c>
      <c r="S13" s="13" t="s">
        <v>32</v>
      </c>
      <c r="T13" s="13" t="s">
        <v>32</v>
      </c>
      <c r="U13" s="13" t="s">
        <v>32</v>
      </c>
      <c r="V13" s="13" t="s">
        <v>32</v>
      </c>
      <c r="W13" s="13" t="s">
        <v>32</v>
      </c>
      <c r="X13" s="13" t="s">
        <v>32</v>
      </c>
      <c r="Y13" s="13" t="s">
        <v>32</v>
      </c>
      <c r="Z13" s="13" t="s">
        <v>32</v>
      </c>
      <c r="AA13" s="14" t="s">
        <v>32</v>
      </c>
    </row>
    <row r="14" spans="1:27">
      <c r="A14" s="7" t="s">
        <v>33</v>
      </c>
      <c r="B14" s="9">
        <f>+'Rent Calculation'!C212</f>
        <v>13701600</v>
      </c>
      <c r="C14" s="9"/>
      <c r="D14" s="9">
        <f>+D13</f>
        <v>0</v>
      </c>
      <c r="E14" s="9">
        <f>+'Rent Calculation'!G212</f>
        <v>2040000</v>
      </c>
      <c r="F14" s="9">
        <f>+'Rent Calculation'!I212</f>
        <v>1917744.4440000001</v>
      </c>
      <c r="G14" s="9">
        <f t="shared" si="0"/>
        <v>17659344.443999998</v>
      </c>
      <c r="H14" s="5">
        <f t="shared" ref="H14:H21" si="3">G14/$T$9</f>
        <v>168152.20380879831</v>
      </c>
      <c r="I14" s="345">
        <f>+S28</f>
        <v>5000000</v>
      </c>
      <c r="J14" s="345">
        <f>+S27</f>
        <v>200000</v>
      </c>
      <c r="K14" s="5">
        <f t="shared" si="1"/>
        <v>22859344.443999998</v>
      </c>
      <c r="L14" s="345">
        <f t="shared" si="2"/>
        <v>217666.58202247191</v>
      </c>
      <c r="M14" s="5"/>
      <c r="N14" s="5"/>
      <c r="P14" s="10" t="s">
        <v>34</v>
      </c>
      <c r="Q14" s="16">
        <f>+H12</f>
        <v>111147.75852218625</v>
      </c>
      <c r="R14" s="16">
        <f>H13</f>
        <v>167282.64406779662</v>
      </c>
      <c r="S14" s="16">
        <f>H14</f>
        <v>168152.20380879831</v>
      </c>
      <c r="T14" s="16">
        <f>H15</f>
        <v>184054.38646162636</v>
      </c>
      <c r="U14" s="16">
        <f>+H16</f>
        <v>192507.64853846887</v>
      </c>
      <c r="V14" s="16">
        <f>+H17</f>
        <v>193514.272633646</v>
      </c>
      <c r="W14" s="16">
        <f>+H18</f>
        <v>64618.408652068661</v>
      </c>
      <c r="X14" s="16">
        <f>+H19</f>
        <v>0</v>
      </c>
      <c r="Y14" s="179">
        <f>H20</f>
        <v>0</v>
      </c>
      <c r="Z14" s="179">
        <f>H21</f>
        <v>0</v>
      </c>
      <c r="AA14" s="17">
        <f>SUM(Q14:Z14)</f>
        <v>1081277.3226845912</v>
      </c>
    </row>
    <row r="15" spans="1:27">
      <c r="A15" s="7" t="s">
        <v>35</v>
      </c>
      <c r="B15" s="9">
        <f>+'Rent Calculation'!C213</f>
        <v>15071760</v>
      </c>
      <c r="C15" s="9"/>
      <c r="D15" s="9">
        <f>+D12+(D12*115%)</f>
        <v>0</v>
      </c>
      <c r="E15" s="9">
        <f>+'Rent Calculation'!G213</f>
        <v>2244000</v>
      </c>
      <c r="F15" s="9">
        <f>+'Rent Calculation'!I213</f>
        <v>2013631.6662000006</v>
      </c>
      <c r="G15" s="9">
        <f t="shared" si="0"/>
        <v>19329391.666200001</v>
      </c>
      <c r="H15" s="5">
        <f t="shared" si="3"/>
        <v>184054.38646162636</v>
      </c>
      <c r="I15" s="345">
        <f>+T28</f>
        <v>6000000</v>
      </c>
      <c r="J15" s="345">
        <f>+T27</f>
        <v>200000</v>
      </c>
      <c r="K15" s="5">
        <f t="shared" si="1"/>
        <v>25529391.666200001</v>
      </c>
      <c r="L15" s="345">
        <f t="shared" si="2"/>
        <v>243090.76048562181</v>
      </c>
      <c r="M15" s="5"/>
      <c r="N15" s="5"/>
      <c r="P15" s="182" t="s">
        <v>36</v>
      </c>
      <c r="Q15" s="10">
        <f t="shared" ref="Q15:U17" si="4">+Q26/$T$9</f>
        <v>113483.14606741573</v>
      </c>
      <c r="R15" s="10">
        <f t="shared" si="4"/>
        <v>0</v>
      </c>
      <c r="S15" s="10">
        <f t="shared" si="4"/>
        <v>0</v>
      </c>
      <c r="T15" s="10">
        <f t="shared" si="4"/>
        <v>0</v>
      </c>
      <c r="U15" s="10">
        <f t="shared" si="4"/>
        <v>0</v>
      </c>
      <c r="V15" s="10">
        <f>+V26/$T$9</f>
        <v>0</v>
      </c>
      <c r="W15" s="183">
        <f>+W26/$T$9</f>
        <v>-113483.14606741573</v>
      </c>
      <c r="X15" s="183">
        <f>+X26/$T$9</f>
        <v>0</v>
      </c>
      <c r="Y15" s="183">
        <f>+Y26/$T$9</f>
        <v>0</v>
      </c>
      <c r="Z15" s="183">
        <f>+Z26/$T$9</f>
        <v>0</v>
      </c>
      <c r="AA15" s="17">
        <f>SUM(Q15:Z15)</f>
        <v>0</v>
      </c>
    </row>
    <row r="16" spans="1:27">
      <c r="A16" s="7" t="s">
        <v>37</v>
      </c>
      <c r="B16" s="9">
        <f>+'Rent Calculation'!C214</f>
        <v>15756840</v>
      </c>
      <c r="C16" s="9"/>
      <c r="D16" s="9">
        <f>+D13*115%</f>
        <v>0</v>
      </c>
      <c r="E16" s="9">
        <f>+'Rent Calculation'!G214</f>
        <v>2345999.9999999995</v>
      </c>
      <c r="F16" s="9">
        <f>+'Rent Calculation'!I214</f>
        <v>2114313.2495100005</v>
      </c>
      <c r="G16" s="9">
        <f t="shared" ref="G16:G21" si="5">SUM(B16:F16)</f>
        <v>20217153.249510001</v>
      </c>
      <c r="H16" s="5">
        <f t="shared" si="3"/>
        <v>192507.64853846887</v>
      </c>
      <c r="I16" s="5">
        <f>+U28</f>
        <v>6000000</v>
      </c>
      <c r="J16" s="5">
        <f>+U27</f>
        <v>200000</v>
      </c>
      <c r="K16" s="5">
        <f t="shared" si="1"/>
        <v>26417153.249510001</v>
      </c>
      <c r="L16" s="345">
        <f t="shared" si="2"/>
        <v>251544.02256246432</v>
      </c>
      <c r="M16" s="5"/>
      <c r="N16" s="5"/>
      <c r="P16" s="10" t="s">
        <v>38</v>
      </c>
      <c r="Q16" s="10">
        <f t="shared" si="4"/>
        <v>14282.993715482766</v>
      </c>
      <c r="R16" s="10">
        <f t="shared" si="4"/>
        <v>1904.3991620643687</v>
      </c>
      <c r="S16" s="10">
        <f t="shared" si="4"/>
        <v>1904.3991620643687</v>
      </c>
      <c r="T16" s="10">
        <f t="shared" si="4"/>
        <v>1904.3991620643687</v>
      </c>
      <c r="U16" s="10">
        <f t="shared" ref="U16:X17" si="6">+U27/$T$9</f>
        <v>1904.3991620643687</v>
      </c>
      <c r="V16" s="10">
        <f t="shared" si="6"/>
        <v>1904.3991620643687</v>
      </c>
      <c r="W16" s="10">
        <f t="shared" si="6"/>
        <v>0</v>
      </c>
      <c r="X16" s="10">
        <f>+X27/$T$9</f>
        <v>0</v>
      </c>
      <c r="Y16" s="10">
        <f>+Y27/$T$9</f>
        <v>0</v>
      </c>
      <c r="Z16" s="10">
        <f>+Z27/$T$9</f>
        <v>0</v>
      </c>
      <c r="AA16" s="17">
        <f>SUM(Q16:Z16)</f>
        <v>23804.989525804609</v>
      </c>
    </row>
    <row r="17" spans="1:27">
      <c r="A17" s="7" t="s">
        <v>39</v>
      </c>
      <c r="B17" s="9">
        <f>+'Rent Calculation'!C215</f>
        <v>15756840</v>
      </c>
      <c r="C17" s="9"/>
      <c r="D17" s="9">
        <f>+D16</f>
        <v>0</v>
      </c>
      <c r="E17" s="9">
        <f>+'Rent Calculation'!G215</f>
        <v>2345999.9999999995</v>
      </c>
      <c r="F17" s="9">
        <f>+'Rent Calculation'!I215</f>
        <v>2220028.9119855007</v>
      </c>
      <c r="G17" s="9">
        <f t="shared" si="5"/>
        <v>20322868.911985502</v>
      </c>
      <c r="H17" s="5">
        <f t="shared" si="3"/>
        <v>193514.272633646</v>
      </c>
      <c r="I17" s="5">
        <f>+V28</f>
        <v>0</v>
      </c>
      <c r="J17" s="5">
        <f>+V27</f>
        <v>200000</v>
      </c>
      <c r="K17" s="5">
        <f t="shared" si="1"/>
        <v>20522868.911985502</v>
      </c>
      <c r="L17" s="345">
        <f t="shared" si="2"/>
        <v>195418.67179571037</v>
      </c>
      <c r="M17" s="5"/>
      <c r="N17" s="5"/>
      <c r="P17" s="10" t="s">
        <v>40</v>
      </c>
      <c r="Q17" s="10">
        <f t="shared" si="4"/>
        <v>133307.94134450582</v>
      </c>
      <c r="R17" s="10">
        <f t="shared" si="4"/>
        <v>114263.94972386213</v>
      </c>
      <c r="S17" s="10">
        <f t="shared" si="4"/>
        <v>47609.979051609218</v>
      </c>
      <c r="T17" s="10">
        <f t="shared" si="4"/>
        <v>57131.974861931063</v>
      </c>
      <c r="U17" s="10">
        <f t="shared" si="6"/>
        <v>57131.974861931063</v>
      </c>
      <c r="V17" s="10">
        <f t="shared" si="6"/>
        <v>0</v>
      </c>
      <c r="W17" s="10">
        <f t="shared" si="6"/>
        <v>0</v>
      </c>
      <c r="X17" s="10">
        <f t="shared" si="6"/>
        <v>0</v>
      </c>
      <c r="Y17" s="10">
        <f>+Y28/$T$9</f>
        <v>0</v>
      </c>
      <c r="Z17" s="10">
        <f>+Z28/$T$9</f>
        <v>0</v>
      </c>
      <c r="AA17" s="17">
        <f>SUM(Q17:Z17)</f>
        <v>409445.81984383927</v>
      </c>
    </row>
    <row r="18" spans="1:27">
      <c r="A18" s="7" t="s">
        <v>41</v>
      </c>
      <c r="B18" s="9">
        <f>+'Rent Calculation'!C216</f>
        <v>5252280</v>
      </c>
      <c r="C18" s="9"/>
      <c r="D18" s="9">
        <f>(+D17/2)+(D17/2*115%)</f>
        <v>0</v>
      </c>
      <c r="E18" s="9">
        <f>+'Rent Calculation'!G216</f>
        <v>781999.99999999988</v>
      </c>
      <c r="F18" s="9">
        <f>+'Rent Calculation'!I216</f>
        <v>751945.27664025011</v>
      </c>
      <c r="G18" s="9">
        <f t="shared" si="5"/>
        <v>6786225.2766402503</v>
      </c>
      <c r="H18" s="5">
        <f t="shared" si="3"/>
        <v>64618.408652068661</v>
      </c>
      <c r="I18" s="5">
        <f>+W28</f>
        <v>0</v>
      </c>
      <c r="J18" s="5">
        <f>+W27</f>
        <v>0</v>
      </c>
      <c r="K18" s="5">
        <f t="shared" si="1"/>
        <v>6786225.2766402503</v>
      </c>
      <c r="L18" s="345">
        <f t="shared" si="2"/>
        <v>64618.408652068661</v>
      </c>
      <c r="M18" s="5"/>
      <c r="N18" s="5"/>
      <c r="P18" s="10"/>
      <c r="Q18" s="10"/>
      <c r="R18" s="10"/>
      <c r="S18" s="10"/>
      <c r="T18" s="4"/>
      <c r="U18" s="4"/>
      <c r="V18" s="4"/>
      <c r="W18" s="4"/>
      <c r="X18" s="4"/>
      <c r="Y18" s="4"/>
      <c r="Z18" s="4"/>
      <c r="AA18" s="17">
        <f>SUM(Q18:Z18)</f>
        <v>0</v>
      </c>
    </row>
    <row r="19" spans="1:27">
      <c r="A19" s="7" t="s">
        <v>42</v>
      </c>
      <c r="B19" s="9">
        <f>+'Rent Calculation'!C217</f>
        <v>0</v>
      </c>
      <c r="C19" s="9"/>
      <c r="D19" s="9">
        <f>+D17*115%</f>
        <v>0</v>
      </c>
      <c r="E19" s="9">
        <f>+'Rent Calculation'!G217</f>
        <v>0</v>
      </c>
      <c r="F19" s="9">
        <f>+'Rent Calculation'!I217</f>
        <v>0</v>
      </c>
      <c r="G19" s="9">
        <f t="shared" si="5"/>
        <v>0</v>
      </c>
      <c r="H19" s="5">
        <f t="shared" si="3"/>
        <v>0</v>
      </c>
      <c r="I19" s="5">
        <f>+X28</f>
        <v>0</v>
      </c>
      <c r="J19" s="5">
        <f>+X27</f>
        <v>0</v>
      </c>
      <c r="K19" s="5">
        <f t="shared" si="1"/>
        <v>0</v>
      </c>
      <c r="L19" s="345">
        <f t="shared" si="2"/>
        <v>0</v>
      </c>
      <c r="M19" s="5"/>
      <c r="N19" s="5"/>
      <c r="P19" s="10"/>
      <c r="Q19" s="10"/>
      <c r="R19" s="10"/>
      <c r="S19" s="10"/>
      <c r="T19" s="4"/>
      <c r="U19" s="4"/>
      <c r="V19" s="11"/>
      <c r="W19" s="11"/>
      <c r="X19" s="11"/>
      <c r="Y19" s="11"/>
      <c r="Z19" s="11"/>
      <c r="AA19" s="17"/>
    </row>
    <row r="20" spans="1:27">
      <c r="A20" s="7" t="s">
        <v>43</v>
      </c>
      <c r="B20" s="9">
        <f>+'Rent Calculation'!C218</f>
        <v>0</v>
      </c>
      <c r="C20" s="9"/>
      <c r="D20" s="9">
        <f>D19</f>
        <v>0</v>
      </c>
      <c r="E20" s="9">
        <f>+'Rent Calculation'!G218</f>
        <v>0</v>
      </c>
      <c r="F20" s="9">
        <f>+'Rent Calculation'!I218</f>
        <v>0</v>
      </c>
      <c r="G20" s="9">
        <f t="shared" si="5"/>
        <v>0</v>
      </c>
      <c r="H20" s="5">
        <f t="shared" si="3"/>
        <v>0</v>
      </c>
      <c r="I20" s="5">
        <f>+Y28</f>
        <v>0</v>
      </c>
      <c r="J20" s="5">
        <f>+Y27</f>
        <v>0</v>
      </c>
      <c r="K20" s="5">
        <f t="shared" si="1"/>
        <v>0</v>
      </c>
      <c r="L20" s="345">
        <f t="shared" si="2"/>
        <v>0</v>
      </c>
      <c r="M20" s="5"/>
      <c r="N20" s="5"/>
      <c r="P20" s="10"/>
      <c r="Q20" s="10"/>
      <c r="R20" s="10"/>
      <c r="S20" s="10"/>
      <c r="T20" s="4"/>
      <c r="U20" s="4"/>
      <c r="V20" s="11"/>
      <c r="W20" s="11"/>
      <c r="X20" s="11"/>
      <c r="Y20" s="11"/>
      <c r="Z20" s="11"/>
      <c r="AA20" s="17"/>
    </row>
    <row r="21" spans="1:27">
      <c r="A21" s="7" t="s">
        <v>44</v>
      </c>
      <c r="B21" s="9">
        <f>+'Rent Calculation'!C219</f>
        <v>0</v>
      </c>
      <c r="C21" s="9"/>
      <c r="D21" s="9">
        <f>+D20/2</f>
        <v>0</v>
      </c>
      <c r="E21" s="9">
        <f>+'Rent Calculation'!G219</f>
        <v>0</v>
      </c>
      <c r="F21" s="9">
        <f>(+'Rent Calculation'!I219)*114.5%</f>
        <v>0</v>
      </c>
      <c r="G21" s="9">
        <f t="shared" si="5"/>
        <v>0</v>
      </c>
      <c r="H21" s="5">
        <f t="shared" si="3"/>
        <v>0</v>
      </c>
      <c r="I21" s="5">
        <f>+Z28</f>
        <v>0</v>
      </c>
      <c r="J21" s="5">
        <f>+Z27</f>
        <v>0</v>
      </c>
      <c r="K21" s="5">
        <f t="shared" si="1"/>
        <v>0</v>
      </c>
      <c r="L21" s="345">
        <f t="shared" si="2"/>
        <v>0</v>
      </c>
      <c r="M21" s="5"/>
      <c r="N21" s="5"/>
      <c r="P21" s="10"/>
      <c r="Q21" s="10"/>
      <c r="R21" s="10"/>
      <c r="S21" s="10"/>
      <c r="T21" s="4"/>
      <c r="U21" s="4"/>
      <c r="V21" s="11"/>
      <c r="W21" s="11"/>
      <c r="X21" s="11"/>
      <c r="Y21" s="11"/>
      <c r="Z21" s="11"/>
      <c r="AA21" s="17"/>
    </row>
    <row r="22" spans="1:27" ht="10.5">
      <c r="A22" s="7"/>
      <c r="B22" s="9"/>
      <c r="C22" s="9"/>
      <c r="D22" s="9"/>
      <c r="E22" s="9"/>
      <c r="F22" s="9"/>
      <c r="G22" s="9"/>
      <c r="H22" s="5"/>
      <c r="I22" s="5"/>
      <c r="J22" s="5"/>
      <c r="K22" s="5"/>
      <c r="L22" s="5"/>
      <c r="M22" s="5"/>
      <c r="N22" s="5"/>
      <c r="P22" s="18" t="s">
        <v>45</v>
      </c>
      <c r="Q22" s="19">
        <f>SUM(Q14:Q20)</f>
        <v>372221.83964959055</v>
      </c>
      <c r="R22" s="19">
        <f t="shared" ref="R22:AA22" si="7">SUM(R14:R20)</f>
        <v>283450.99295372312</v>
      </c>
      <c r="S22" s="19">
        <f t="shared" si="7"/>
        <v>217666.58202247188</v>
      </c>
      <c r="T22" s="19">
        <f t="shared" si="7"/>
        <v>243090.76048562178</v>
      </c>
      <c r="U22" s="19">
        <f t="shared" si="7"/>
        <v>251544.02256246429</v>
      </c>
      <c r="V22" s="19">
        <f t="shared" si="7"/>
        <v>195418.67179571037</v>
      </c>
      <c r="W22" s="19">
        <f t="shared" si="7"/>
        <v>-48864.737415347066</v>
      </c>
      <c r="X22" s="19">
        <f t="shared" si="7"/>
        <v>0</v>
      </c>
      <c r="Y22" s="19">
        <f t="shared" si="7"/>
        <v>0</v>
      </c>
      <c r="Z22" s="19">
        <f t="shared" si="7"/>
        <v>0</v>
      </c>
      <c r="AA22" s="215">
        <f t="shared" si="7"/>
        <v>1514528.1320542349</v>
      </c>
    </row>
    <row r="23" spans="1:27">
      <c r="A23" s="7" t="s">
        <v>46</v>
      </c>
      <c r="B23" s="20">
        <f t="shared" ref="B23:L23" si="8">SUM(B12:B22)</f>
        <v>88375320</v>
      </c>
      <c r="C23" s="20">
        <f t="shared" si="8"/>
        <v>0</v>
      </c>
      <c r="D23" s="20">
        <f t="shared" si="8"/>
        <v>0</v>
      </c>
      <c r="E23" s="20">
        <f t="shared" si="8"/>
        <v>13158000</v>
      </c>
      <c r="F23" s="20">
        <f>SUM(F12:F22)</f>
        <v>12022424.428335754</v>
      </c>
      <c r="G23" s="20">
        <f t="shared" si="8"/>
        <v>113555744.42833576</v>
      </c>
      <c r="H23" s="20">
        <f t="shared" si="8"/>
        <v>1081277.3226845912</v>
      </c>
      <c r="I23" s="20">
        <f t="shared" si="8"/>
        <v>43000000</v>
      </c>
      <c r="J23" s="20">
        <f t="shared" si="8"/>
        <v>2500000</v>
      </c>
      <c r="K23" s="20">
        <f t="shared" si="8"/>
        <v>159055744.42833573</v>
      </c>
      <c r="L23" s="20">
        <f t="shared" si="8"/>
        <v>1514528.1320542349</v>
      </c>
      <c r="M23" s="21">
        <f>+N23*$T$9</f>
        <v>118579431.86238968</v>
      </c>
      <c r="N23" s="21">
        <f>+R34</f>
        <v>1129112.8533840191</v>
      </c>
      <c r="Q23" s="2">
        <f>Q22/1.105</f>
        <v>336852.34357429011</v>
      </c>
      <c r="R23" s="2">
        <f>R22/1.105^2</f>
        <v>232141.8422667211</v>
      </c>
      <c r="S23" s="2">
        <f>S22/1.105^3</f>
        <v>161326.20720053511</v>
      </c>
      <c r="T23" s="2">
        <f>T22/1.105^4</f>
        <v>163049.45075614849</v>
      </c>
      <c r="U23" s="2">
        <f>U22/1.105^5</f>
        <v>152687.19315421575</v>
      </c>
      <c r="AA23" s="22"/>
    </row>
    <row r="24" spans="1:27" ht="10.5">
      <c r="A24" s="23"/>
      <c r="B24" s="4"/>
      <c r="C24" s="4"/>
      <c r="D24" s="4"/>
      <c r="E24" s="4"/>
      <c r="F24" s="5"/>
      <c r="G24" s="4"/>
      <c r="H24" s="10"/>
      <c r="I24" s="10"/>
      <c r="J24" s="10"/>
      <c r="K24" s="10"/>
      <c r="L24" s="10"/>
      <c r="M24" s="10"/>
      <c r="N24" s="10"/>
      <c r="P24" s="10"/>
      <c r="Q24" s="13" t="s">
        <v>47</v>
      </c>
      <c r="R24" s="13" t="s">
        <v>47</v>
      </c>
      <c r="S24" s="13" t="s">
        <v>47</v>
      </c>
      <c r="T24" s="13" t="s">
        <v>47</v>
      </c>
      <c r="U24" s="13" t="s">
        <v>47</v>
      </c>
      <c r="V24" s="13" t="s">
        <v>47</v>
      </c>
      <c r="W24" s="13" t="s">
        <v>47</v>
      </c>
      <c r="X24" s="13" t="s">
        <v>47</v>
      </c>
      <c r="Y24" s="13" t="s">
        <v>47</v>
      </c>
      <c r="Z24" s="13" t="s">
        <v>47</v>
      </c>
      <c r="AA24" s="24" t="s">
        <v>29</v>
      </c>
    </row>
    <row r="25" spans="1:27" ht="10.5">
      <c r="A25" s="23" t="s">
        <v>48</v>
      </c>
      <c r="B25" s="4"/>
      <c r="C25" s="4"/>
      <c r="D25" s="4"/>
      <c r="E25" s="4"/>
      <c r="F25" s="5"/>
      <c r="G25" s="345">
        <f>+'Rent Calculation'!G194+'Rent Calculation'!F30</f>
        <v>565315.30184775486</v>
      </c>
      <c r="H25" s="10">
        <f>G25/$T$9</f>
        <v>5382.9299357051505</v>
      </c>
      <c r="I25" s="10"/>
      <c r="J25" s="10"/>
      <c r="K25" s="5">
        <f>+G25+I25+J25</f>
        <v>565315.30184775486</v>
      </c>
      <c r="L25" s="10"/>
      <c r="M25" s="10"/>
      <c r="N25" s="10"/>
      <c r="P25" s="10" t="s">
        <v>34</v>
      </c>
      <c r="Q25" s="216">
        <f>+G12</f>
        <v>11672737.6</v>
      </c>
      <c r="R25" s="16">
        <f t="shared" ref="R25:Z25" si="9">+R14*$T$9</f>
        <v>17568023.280000001</v>
      </c>
      <c r="S25" s="16">
        <f t="shared" si="9"/>
        <v>17659344.443999998</v>
      </c>
      <c r="T25" s="16">
        <f t="shared" si="9"/>
        <v>19329391.666200001</v>
      </c>
      <c r="U25" s="16">
        <f t="shared" si="9"/>
        <v>20217153.249510001</v>
      </c>
      <c r="V25" s="16">
        <f t="shared" si="9"/>
        <v>20322868.911985502</v>
      </c>
      <c r="W25" s="16">
        <f t="shared" si="9"/>
        <v>6786225.2766402503</v>
      </c>
      <c r="X25" s="16">
        <f t="shared" si="9"/>
        <v>0</v>
      </c>
      <c r="Y25" s="16">
        <f t="shared" si="9"/>
        <v>0</v>
      </c>
      <c r="Z25" s="16">
        <f t="shared" si="9"/>
        <v>0</v>
      </c>
      <c r="AA25" s="25">
        <f>SUM(Q25:Z25)</f>
        <v>113555744.42833576</v>
      </c>
    </row>
    <row r="26" spans="1:27" ht="10.5">
      <c r="A26" s="23" t="s">
        <v>49</v>
      </c>
      <c r="B26" s="4"/>
      <c r="C26" s="4"/>
      <c r="D26" s="4"/>
      <c r="E26" s="4"/>
      <c r="F26" s="5"/>
      <c r="G26" s="345">
        <f>'CAPEX and PM'!B3</f>
        <v>34000000</v>
      </c>
      <c r="H26" s="10">
        <f>G26/$T$9</f>
        <v>323747.85755094269</v>
      </c>
      <c r="I26" s="10"/>
      <c r="J26" s="10"/>
      <c r="K26" s="5">
        <f>+G26+I26+J26</f>
        <v>34000000</v>
      </c>
      <c r="L26" s="10"/>
      <c r="M26" s="10"/>
      <c r="N26" s="10"/>
      <c r="P26" s="288" t="s">
        <v>36</v>
      </c>
      <c r="Q26" s="288">
        <f>U34</f>
        <v>11918000</v>
      </c>
      <c r="R26" s="358"/>
      <c r="S26" s="288"/>
      <c r="T26" s="288"/>
      <c r="U26" s="580"/>
      <c r="V26" s="288"/>
      <c r="W26" s="288">
        <f>-Q26</f>
        <v>-11918000</v>
      </c>
      <c r="X26" s="581"/>
      <c r="Y26" s="581"/>
      <c r="Z26" s="582">
        <v>0</v>
      </c>
      <c r="AA26" s="583">
        <f>SUM(Q26:Z26)</f>
        <v>0</v>
      </c>
    </row>
    <row r="27" spans="1:27" ht="10.5">
      <c r="A27" s="23"/>
      <c r="B27" s="5"/>
      <c r="C27" s="5"/>
      <c r="D27" s="5"/>
      <c r="E27" s="5"/>
      <c r="F27" s="5"/>
      <c r="G27" s="5"/>
      <c r="H27" s="10"/>
      <c r="I27" s="10"/>
      <c r="J27" s="10"/>
      <c r="K27" s="10"/>
      <c r="L27" s="10"/>
      <c r="M27" s="10"/>
      <c r="N27" s="10"/>
      <c r="P27" s="10" t="s">
        <v>38</v>
      </c>
      <c r="Q27" s="10">
        <f>'CAPEX and PM'!F104</f>
        <v>1500000</v>
      </c>
      <c r="R27" s="10">
        <f>'CAPEX and PM'!G104</f>
        <v>200000</v>
      </c>
      <c r="S27" s="10">
        <f>'CAPEX and PM'!H104</f>
        <v>200000</v>
      </c>
      <c r="T27" s="10">
        <f>'CAPEX and PM'!I104</f>
        <v>200000</v>
      </c>
      <c r="U27" s="10">
        <f>'CAPEX and PM'!J104</f>
        <v>200000</v>
      </c>
      <c r="V27" s="10">
        <f>+'CAPEX and PM'!K104</f>
        <v>200000</v>
      </c>
      <c r="W27" s="10">
        <f>+'CAPEX and PM'!L104</f>
        <v>0</v>
      </c>
      <c r="X27" s="10">
        <f>+'CAPEX and PM'!M104</f>
        <v>0</v>
      </c>
      <c r="Y27" s="10">
        <f>+'CAPEX and PM'!N104</f>
        <v>0</v>
      </c>
      <c r="Z27" s="10">
        <f>+'CAPEX and PM'!O104</f>
        <v>0</v>
      </c>
      <c r="AA27" s="25">
        <f>SUM(Q27:Z27)</f>
        <v>2500000</v>
      </c>
    </row>
    <row r="28" spans="1:27" ht="10.5">
      <c r="A28" s="23" t="s">
        <v>50</v>
      </c>
      <c r="B28" s="20"/>
      <c r="C28" s="20"/>
      <c r="D28" s="20"/>
      <c r="E28" s="20"/>
      <c r="F28" s="20"/>
      <c r="G28" s="20">
        <f>SUM(G25:G27)</f>
        <v>34565315.301847756</v>
      </c>
      <c r="H28" s="20">
        <f>SUM(H25:H27)</f>
        <v>329130.78748664784</v>
      </c>
      <c r="I28" s="20">
        <f>SUM(I25:I27)</f>
        <v>0</v>
      </c>
      <c r="J28" s="20"/>
      <c r="K28" s="20">
        <f>SUM(K25:K27)</f>
        <v>34565315.301847756</v>
      </c>
      <c r="L28" s="20"/>
      <c r="M28" s="20">
        <f>+N28*T9</f>
        <v>34565315.301847756</v>
      </c>
      <c r="N28" s="20">
        <f>+H28</f>
        <v>329130.78748664784</v>
      </c>
      <c r="P28" s="10" t="s">
        <v>40</v>
      </c>
      <c r="Q28" s="10">
        <f>+'CAPEX and PM'!F38</f>
        <v>14000000</v>
      </c>
      <c r="R28" s="10">
        <f>+'CAPEX and PM'!G38</f>
        <v>12000000</v>
      </c>
      <c r="S28" s="10">
        <f>+'CAPEX and PM'!H38</f>
        <v>5000000</v>
      </c>
      <c r="T28" s="10">
        <f>+'CAPEX and PM'!I38</f>
        <v>6000000</v>
      </c>
      <c r="U28" s="10">
        <f>+'CAPEX and PM'!J38</f>
        <v>6000000</v>
      </c>
      <c r="V28" s="10">
        <f>+'CAPEX and PM'!K38</f>
        <v>0</v>
      </c>
      <c r="W28" s="10">
        <f>+'CAPEX and PM'!L38</f>
        <v>0</v>
      </c>
      <c r="X28" s="10">
        <f>+'CAPEX and PM'!M38</f>
        <v>0</v>
      </c>
      <c r="Y28" s="10">
        <f>+'CAPEX and PM'!N38</f>
        <v>0</v>
      </c>
      <c r="Z28" s="10">
        <f>+'CAPEX and PM'!O38</f>
        <v>0</v>
      </c>
      <c r="AA28" s="25">
        <f>SUM(Q28:Z28)</f>
        <v>43000000</v>
      </c>
    </row>
    <row r="29" spans="1:27">
      <c r="A29" s="23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12"/>
    </row>
    <row r="30" spans="1:27" ht="10.5">
      <c r="A30" s="23"/>
      <c r="B30" s="5"/>
      <c r="C30" s="5"/>
      <c r="D30" s="5"/>
      <c r="E30" s="5"/>
      <c r="F30" s="5"/>
      <c r="G30" s="5"/>
      <c r="H30" s="10"/>
      <c r="I30" s="10"/>
      <c r="J30" s="10"/>
      <c r="K30" s="10"/>
      <c r="L30" s="10"/>
      <c r="M30" s="10"/>
      <c r="N30" s="10"/>
      <c r="P30" s="18" t="s">
        <v>45</v>
      </c>
      <c r="Q30" s="18">
        <f>SUM(Q25:Q29)</f>
        <v>39090737.600000001</v>
      </c>
      <c r="R30" s="18">
        <f t="shared" ref="R30:AA30" si="10">SUM(R25:R29)</f>
        <v>29768023.280000001</v>
      </c>
      <c r="S30" s="18">
        <f>SUM(S25:S29)</f>
        <v>22859344.443999998</v>
      </c>
      <c r="T30" s="18">
        <f t="shared" si="10"/>
        <v>25529391.666200001</v>
      </c>
      <c r="U30" s="18">
        <f t="shared" si="10"/>
        <v>26417153.249510001</v>
      </c>
      <c r="V30" s="18">
        <f t="shared" si="10"/>
        <v>20522868.911985502</v>
      </c>
      <c r="W30" s="18">
        <f t="shared" si="10"/>
        <v>-5131774.7233597497</v>
      </c>
      <c r="X30" s="18">
        <f t="shared" si="10"/>
        <v>0</v>
      </c>
      <c r="Y30" s="18">
        <f t="shared" si="10"/>
        <v>0</v>
      </c>
      <c r="Z30" s="18">
        <f t="shared" si="10"/>
        <v>0</v>
      </c>
      <c r="AA30" s="25">
        <f t="shared" si="10"/>
        <v>159055744.42833576</v>
      </c>
    </row>
    <row r="31" spans="1:27" ht="10.5" thickBot="1">
      <c r="A31" s="23" t="s">
        <v>45</v>
      </c>
      <c r="B31" s="20"/>
      <c r="C31" s="20"/>
      <c r="D31" s="20"/>
      <c r="E31" s="20"/>
      <c r="F31" s="20"/>
      <c r="G31" s="20">
        <f>+K23+G28</f>
        <v>193621059.73018348</v>
      </c>
      <c r="H31" s="20">
        <f>+L23+H28</f>
        <v>1843658.9195408826</v>
      </c>
      <c r="I31" s="20"/>
      <c r="J31" s="20"/>
      <c r="K31" s="20"/>
      <c r="L31" s="20"/>
      <c r="M31" s="20">
        <f>+M23+M28</f>
        <v>153144747.16423744</v>
      </c>
      <c r="N31" s="20">
        <f>N23+N28</f>
        <v>1458243.6408706671</v>
      </c>
      <c r="T31" s="2"/>
      <c r="U31" s="2"/>
    </row>
    <row r="32" spans="1:27" ht="11" thickBot="1">
      <c r="A32" s="34" t="s">
        <v>51</v>
      </c>
      <c r="B32" s="3"/>
      <c r="C32" s="3"/>
      <c r="D32" s="3"/>
      <c r="E32" s="3"/>
      <c r="F32" s="3"/>
      <c r="G32" s="3"/>
      <c r="H32" s="575">
        <f>+H31/1000000</f>
        <v>1.8436589195408826</v>
      </c>
      <c r="I32" s="149"/>
      <c r="J32" s="149"/>
      <c r="K32" s="149"/>
      <c r="L32" s="149"/>
      <c r="M32" s="35"/>
      <c r="N32" s="575">
        <f>+N31/1000000</f>
        <v>1.4582436408706672</v>
      </c>
      <c r="P32" s="27"/>
      <c r="Q32" s="28" t="s">
        <v>47</v>
      </c>
      <c r="R32" s="29" t="s">
        <v>52</v>
      </c>
      <c r="T32" s="692" t="s">
        <v>53</v>
      </c>
      <c r="U32" s="693"/>
      <c r="V32" s="694"/>
    </row>
    <row r="33" spans="1:27" ht="10.5">
      <c r="A33" s="36"/>
      <c r="H33" s="1"/>
      <c r="I33" s="1"/>
      <c r="J33" s="171"/>
      <c r="K33" s="1"/>
      <c r="L33" s="1"/>
      <c r="M33" s="1"/>
      <c r="N33" s="171"/>
      <c r="P33" s="30"/>
      <c r="Q33" s="10"/>
      <c r="R33" s="17"/>
      <c r="T33" s="37"/>
      <c r="U33" s="38" t="s">
        <v>47</v>
      </c>
      <c r="V33" s="39" t="s">
        <v>52</v>
      </c>
    </row>
    <row r="34" spans="1:27" ht="11" thickBot="1">
      <c r="A34" s="23" t="s">
        <v>54</v>
      </c>
      <c r="B34" s="4"/>
      <c r="C34" s="4"/>
      <c r="D34" s="4"/>
      <c r="E34" s="4"/>
      <c r="F34" s="4"/>
      <c r="G34" s="150"/>
      <c r="H34" s="151"/>
      <c r="I34" s="151"/>
      <c r="J34" s="151"/>
      <c r="K34" s="151"/>
      <c r="L34" s="151"/>
      <c r="M34" s="4"/>
      <c r="N34" s="151"/>
      <c r="P34" s="31" t="s">
        <v>55</v>
      </c>
      <c r="Q34" s="32">
        <f>+NPV(Q9,Q30,R30,S30,T30,U30,V30,W30,X30,Y30,Z30)</f>
        <v>118579431.86238967</v>
      </c>
      <c r="R34" s="33">
        <f>+NPV(Q9,Q22:Z22)</f>
        <v>1129112.8533840191</v>
      </c>
      <c r="T34" s="23" t="s">
        <v>56</v>
      </c>
      <c r="U34" s="286">
        <f>('Rent Calculation'!F67+'Rent Calculation'!F71+'Rent Calculation'!F69)</f>
        <v>11918000</v>
      </c>
      <c r="V34" s="17">
        <f>+U34/$T$9</f>
        <v>113483.14606741573</v>
      </c>
    </row>
    <row r="35" spans="1:27">
      <c r="A35" s="2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T35" s="23" t="s">
        <v>57</v>
      </c>
      <c r="U35" s="10">
        <v>0</v>
      </c>
      <c r="V35" s="17">
        <f>+U35/$T$9</f>
        <v>0</v>
      </c>
    </row>
    <row r="36" spans="1:27" ht="10.5">
      <c r="A36" s="34" t="s">
        <v>58</v>
      </c>
      <c r="B36" s="3"/>
      <c r="C36" s="3"/>
      <c r="D36" s="3"/>
      <c r="E36" s="3"/>
      <c r="F36" s="3"/>
      <c r="G36" s="3"/>
      <c r="H36" s="576">
        <f>+H32+H34</f>
        <v>1.8436589195408826</v>
      </c>
      <c r="I36" s="152"/>
      <c r="J36" s="152"/>
      <c r="K36" s="152"/>
      <c r="L36" s="152"/>
      <c r="M36" s="3"/>
      <c r="N36" s="576">
        <f>+N32+N34</f>
        <v>1.4582436408706672</v>
      </c>
      <c r="P36" s="691"/>
      <c r="Q36" s="691"/>
      <c r="T36" s="30" t="s">
        <v>59</v>
      </c>
      <c r="U36" s="10">
        <v>0</v>
      </c>
      <c r="V36" s="17">
        <f>+U36/$T$9</f>
        <v>0</v>
      </c>
    </row>
    <row r="37" spans="1:27" ht="11.5">
      <c r="A37" s="36"/>
      <c r="M37" s="1"/>
      <c r="N37" s="359"/>
      <c r="P37" s="563"/>
      <c r="Q37" s="563"/>
      <c r="T37" s="40" t="s">
        <v>60</v>
      </c>
      <c r="U37" s="10">
        <f>+'Rent Calculation'!F72</f>
        <v>0</v>
      </c>
      <c r="V37" s="17">
        <f>+U37/$T$9</f>
        <v>0</v>
      </c>
    </row>
    <row r="38" spans="1:27" ht="11" thickBot="1">
      <c r="A38" s="36"/>
      <c r="F38" s="352"/>
      <c r="G38" s="352"/>
      <c r="H38" s="352"/>
      <c r="I38" s="352"/>
      <c r="J38" s="352"/>
      <c r="K38" s="352"/>
      <c r="M38" s="1"/>
      <c r="Q38" s="216"/>
      <c r="T38" s="41" t="s">
        <v>29</v>
      </c>
      <c r="U38" s="577">
        <f>SUM(U34:U37)</f>
        <v>11918000</v>
      </c>
      <c r="V38" s="579">
        <f>SUM(V34:V37)</f>
        <v>113483.14606741573</v>
      </c>
    </row>
    <row r="39" spans="1:27" ht="10.5">
      <c r="A39" s="36"/>
      <c r="F39" s="352"/>
      <c r="G39" s="352"/>
      <c r="H39" s="216"/>
      <c r="I39" s="1"/>
      <c r="J39" s="1"/>
      <c r="K39" s="1"/>
      <c r="L39" s="1"/>
      <c r="M39" s="1"/>
      <c r="Q39" s="216"/>
      <c r="T39" s="578"/>
      <c r="U39" s="544"/>
      <c r="V39" s="544"/>
    </row>
    <row r="40" spans="1:27" ht="10.5">
      <c r="A40" s="36"/>
      <c r="H40" s="1"/>
      <c r="I40" s="1"/>
      <c r="J40" s="1"/>
      <c r="K40" s="1"/>
      <c r="L40" s="1"/>
      <c r="M40" s="1"/>
      <c r="N40" s="1"/>
      <c r="Q40" s="216"/>
      <c r="T40" s="533"/>
      <c r="U40" s="555"/>
      <c r="V40" s="2"/>
    </row>
    <row r="41" spans="1:27" ht="10.5">
      <c r="A41" s="36"/>
      <c r="H41" s="360"/>
      <c r="I41" s="1"/>
      <c r="J41" s="216"/>
      <c r="K41" s="1"/>
      <c r="L41" s="1"/>
      <c r="M41" s="1"/>
      <c r="N41" s="1"/>
      <c r="P41" s="216"/>
      <c r="Q41" s="216"/>
      <c r="T41" s="533"/>
      <c r="U41" s="555"/>
      <c r="V41" s="2"/>
    </row>
    <row r="42" spans="1:27" ht="10.5">
      <c r="A42" s="36"/>
      <c r="F42" s="184"/>
      <c r="H42" s="1"/>
      <c r="I42" s="1"/>
      <c r="J42" s="361"/>
      <c r="K42" s="1"/>
      <c r="L42" s="1"/>
      <c r="M42" s="1"/>
      <c r="N42" s="1"/>
      <c r="T42" s="533"/>
      <c r="U42" s="555"/>
      <c r="V42" s="2"/>
    </row>
    <row r="43" spans="1:27">
      <c r="A43" s="36"/>
      <c r="H43" s="1"/>
      <c r="I43" s="1"/>
      <c r="J43" s="1"/>
      <c r="K43" s="1"/>
      <c r="L43" s="1"/>
      <c r="M43" s="1"/>
      <c r="N43" s="1"/>
    </row>
    <row r="44" spans="1:27" ht="10.5">
      <c r="P44" s="533"/>
      <c r="Q44" s="533"/>
      <c r="R44" s="533"/>
    </row>
    <row r="45" spans="1:27" ht="10.5">
      <c r="R45" s="534"/>
      <c r="S45" s="534"/>
      <c r="T45" s="534"/>
      <c r="U45" s="534"/>
      <c r="V45" s="534"/>
      <c r="W45" s="534"/>
      <c r="X45" s="534"/>
      <c r="Y45" s="534"/>
      <c r="Z45" s="534"/>
    </row>
    <row r="46" spans="1:27" ht="13">
      <c r="A46" s="562"/>
      <c r="B46" s="535"/>
      <c r="C46" s="536"/>
      <c r="D46" s="536"/>
      <c r="E46" s="536"/>
      <c r="F46" s="535"/>
      <c r="G46" s="535"/>
      <c r="H46" s="537"/>
      <c r="I46" s="535"/>
      <c r="J46" s="535"/>
      <c r="K46" s="535"/>
      <c r="L46" s="537"/>
      <c r="M46" s="535"/>
      <c r="N46" s="536"/>
      <c r="P46" s="538"/>
      <c r="Q46" s="539"/>
      <c r="R46" s="534"/>
      <c r="S46" s="534"/>
      <c r="T46" s="534"/>
      <c r="U46" s="534"/>
      <c r="V46" s="534"/>
      <c r="W46" s="534"/>
      <c r="X46" s="534"/>
      <c r="Y46" s="534"/>
      <c r="Z46" s="534"/>
      <c r="AA46" s="540"/>
    </row>
    <row r="47" spans="1:27" ht="12.5">
      <c r="A47" s="541"/>
      <c r="B47" s="542"/>
      <c r="C47" s="542"/>
      <c r="D47" s="542"/>
      <c r="E47" s="542"/>
      <c r="F47" s="542"/>
      <c r="G47" s="543"/>
      <c r="H47" s="1"/>
      <c r="I47" s="1"/>
      <c r="J47" s="1"/>
      <c r="K47" s="1"/>
      <c r="L47" s="1"/>
      <c r="M47" s="1"/>
      <c r="P47" s="533"/>
      <c r="Q47" s="418"/>
      <c r="R47" s="418"/>
      <c r="S47" s="418"/>
      <c r="T47" s="418"/>
      <c r="U47" s="418"/>
      <c r="V47" s="418"/>
      <c r="W47" s="418"/>
      <c r="X47" s="418"/>
      <c r="Y47" s="418"/>
      <c r="Z47" s="418"/>
      <c r="AA47" s="418"/>
    </row>
    <row r="48" spans="1:27" ht="12.5">
      <c r="A48" s="541"/>
      <c r="B48" s="2"/>
      <c r="C48" s="2"/>
      <c r="D48" s="2"/>
      <c r="E48" s="2"/>
      <c r="F48" s="2"/>
      <c r="G48" s="543"/>
      <c r="H48" s="1"/>
      <c r="I48" s="1"/>
      <c r="J48" s="1"/>
      <c r="K48" s="1"/>
      <c r="L48" s="1"/>
      <c r="O48" s="544"/>
      <c r="P48" s="545"/>
      <c r="Q48" s="418"/>
      <c r="R48" s="418"/>
      <c r="S48" s="418"/>
      <c r="T48" s="418"/>
      <c r="U48" s="418"/>
      <c r="V48" s="418"/>
      <c r="W48" s="418"/>
      <c r="X48" s="418"/>
      <c r="Y48" s="418"/>
      <c r="Z48" s="418"/>
      <c r="AA48" s="418"/>
    </row>
    <row r="49" spans="1:28" ht="12.5">
      <c r="B49" s="2"/>
      <c r="C49" s="2"/>
      <c r="D49" s="2"/>
      <c r="E49" s="2"/>
      <c r="F49" s="2"/>
      <c r="G49" s="543"/>
      <c r="H49" s="1"/>
      <c r="K49" s="1"/>
      <c r="L49" s="1"/>
      <c r="O49" s="544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418"/>
    </row>
    <row r="50" spans="1:28" ht="13"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S50" s="418"/>
      <c r="T50" s="418"/>
      <c r="U50" s="418"/>
      <c r="V50" s="418"/>
      <c r="W50" s="418"/>
      <c r="X50" s="418"/>
      <c r="Y50" s="2"/>
      <c r="Z50" s="2"/>
      <c r="AA50" s="418"/>
    </row>
    <row r="51" spans="1:28" ht="12.5">
      <c r="B51" s="2"/>
      <c r="C51" s="2"/>
      <c r="D51" s="2"/>
      <c r="E51" s="2"/>
      <c r="F51" s="2"/>
      <c r="G51" s="2"/>
      <c r="H51" s="1"/>
      <c r="I51" s="1"/>
      <c r="J51" s="1"/>
      <c r="K51" s="1"/>
      <c r="L51" s="1"/>
      <c r="Q51" s="418"/>
      <c r="AA51" s="418"/>
    </row>
    <row r="52" spans="1:28" ht="12.5">
      <c r="B52" s="2"/>
      <c r="C52" s="2"/>
      <c r="D52" s="2"/>
      <c r="E52" s="2"/>
      <c r="F52" s="2"/>
      <c r="G52" s="533"/>
      <c r="H52" s="547"/>
      <c r="I52" s="547"/>
      <c r="J52" s="547"/>
      <c r="K52" s="547"/>
      <c r="L52" s="547"/>
      <c r="M52" s="1"/>
      <c r="N52" s="533"/>
      <c r="P52" s="1"/>
      <c r="Q52" s="418"/>
      <c r="R52" s="418"/>
      <c r="S52" s="418"/>
      <c r="T52" s="418"/>
      <c r="U52" s="418"/>
      <c r="V52" s="418"/>
      <c r="W52" s="418"/>
      <c r="X52" s="418"/>
      <c r="Y52" s="418"/>
      <c r="Z52" s="418"/>
      <c r="AA52" s="418"/>
    </row>
    <row r="53" spans="1:28" ht="12.5">
      <c r="B53" s="2"/>
      <c r="C53" s="2"/>
      <c r="D53" s="2"/>
      <c r="E53" s="2"/>
      <c r="F53" s="2"/>
      <c r="G53" s="548"/>
      <c r="H53" s="548"/>
      <c r="I53" s="548"/>
      <c r="J53" s="548"/>
      <c r="K53" s="548"/>
      <c r="L53" s="548"/>
      <c r="M53" s="1"/>
      <c r="N53" s="533"/>
      <c r="P53" s="533"/>
      <c r="Q53" s="418"/>
      <c r="R53" s="418"/>
      <c r="S53" s="418"/>
      <c r="T53" s="418"/>
      <c r="U53" s="418"/>
      <c r="V53" s="418"/>
      <c r="W53" s="418"/>
      <c r="X53" s="418"/>
      <c r="Y53" s="418"/>
      <c r="Z53" s="418"/>
      <c r="AA53" s="418"/>
    </row>
    <row r="54" spans="1:28">
      <c r="B54" s="2"/>
      <c r="C54" s="2"/>
      <c r="D54" s="2"/>
      <c r="E54" s="2"/>
      <c r="F54" s="2"/>
      <c r="G54" s="2"/>
      <c r="H54" s="1"/>
      <c r="I54" s="1"/>
      <c r="J54" s="1"/>
      <c r="K54" s="1"/>
      <c r="L54" s="1"/>
      <c r="M54" s="1"/>
      <c r="P54" s="1"/>
      <c r="Q54" s="1"/>
      <c r="R54" s="1"/>
      <c r="S54" s="1"/>
    </row>
    <row r="55" spans="1:28" ht="10.5">
      <c r="B55" s="2"/>
      <c r="C55" s="2"/>
      <c r="D55" s="2"/>
      <c r="E55" s="2"/>
      <c r="F55" s="2"/>
      <c r="G55" s="533"/>
      <c r="H55" s="547"/>
      <c r="I55" s="547"/>
      <c r="J55" s="547"/>
      <c r="K55" s="547"/>
      <c r="L55" s="547"/>
      <c r="M55" s="1"/>
      <c r="N55" s="533"/>
      <c r="P55" s="1"/>
      <c r="Q55" s="1"/>
      <c r="R55" s="1"/>
      <c r="S55" s="1"/>
      <c r="AB55" s="561"/>
    </row>
    <row r="56" spans="1:28" ht="13">
      <c r="B56" s="2"/>
      <c r="C56" s="2"/>
      <c r="D56" s="2"/>
      <c r="E56" s="2"/>
      <c r="F56" s="2"/>
      <c r="H56" s="562"/>
      <c r="I56" s="562"/>
      <c r="J56" s="562"/>
      <c r="K56" s="562"/>
      <c r="L56" s="562"/>
      <c r="M56" s="562"/>
      <c r="N56" s="562"/>
      <c r="P56" s="533"/>
      <c r="Q56" s="549"/>
      <c r="R56" s="549"/>
      <c r="S56" s="549"/>
      <c r="T56" s="549"/>
      <c r="U56" s="549"/>
      <c r="V56" s="549"/>
      <c r="W56" s="549"/>
      <c r="X56" s="549"/>
      <c r="Y56" s="549"/>
      <c r="Z56" s="549"/>
      <c r="AA56" s="550"/>
    </row>
    <row r="57" spans="1:28" ht="12.5">
      <c r="B57" s="2"/>
      <c r="C57" s="2"/>
      <c r="D57" s="2"/>
      <c r="E57" s="2"/>
      <c r="F57" s="2"/>
      <c r="G57" s="551"/>
      <c r="H57" s="1"/>
      <c r="I57" s="1"/>
      <c r="J57" s="1"/>
      <c r="K57" s="1"/>
      <c r="L57" s="1"/>
      <c r="M57" s="1"/>
      <c r="N57" s="551"/>
      <c r="P57" s="533"/>
      <c r="Q57" s="418"/>
      <c r="R57" s="418"/>
      <c r="S57" s="418"/>
      <c r="T57" s="418"/>
      <c r="U57" s="418"/>
      <c r="V57" s="418"/>
      <c r="W57" s="418"/>
      <c r="X57" s="418"/>
      <c r="Y57" s="418"/>
      <c r="Z57" s="418"/>
      <c r="AA57" s="550"/>
      <c r="AB57" s="552"/>
    </row>
    <row r="58" spans="1:28" ht="10.5">
      <c r="A58" s="545"/>
      <c r="B58" s="2"/>
      <c r="C58" s="2"/>
      <c r="D58" s="2"/>
      <c r="E58" s="2"/>
      <c r="F58" s="2"/>
      <c r="G58" s="2"/>
      <c r="H58" s="1"/>
      <c r="I58" s="1"/>
      <c r="J58" s="1"/>
      <c r="K58" s="1"/>
      <c r="L58" s="1"/>
      <c r="M58" s="1"/>
      <c r="P58" s="544"/>
      <c r="R58" s="544"/>
      <c r="S58" s="544"/>
      <c r="T58" s="544"/>
      <c r="AA58" s="552"/>
    </row>
    <row r="59" spans="1:28">
      <c r="A59" s="543"/>
      <c r="B59" s="553"/>
      <c r="C59" s="553"/>
      <c r="D59" s="553"/>
      <c r="E59" s="553"/>
      <c r="F59" s="2"/>
      <c r="G59" s="2"/>
      <c r="H59" s="1"/>
      <c r="I59" s="1"/>
      <c r="J59" s="1"/>
      <c r="K59" s="1"/>
      <c r="L59" s="1"/>
      <c r="M59" s="1"/>
      <c r="T59" s="2"/>
      <c r="X59" s="216"/>
      <c r="AA59" s="554"/>
      <c r="AB59" s="171"/>
    </row>
    <row r="60" spans="1:28">
      <c r="A60" s="555"/>
      <c r="B60" s="556"/>
      <c r="C60" s="556"/>
      <c r="D60" s="556"/>
      <c r="E60" s="556"/>
      <c r="H60" s="1"/>
      <c r="I60" s="1"/>
      <c r="J60" s="1"/>
      <c r="K60" s="1"/>
      <c r="L60" s="1"/>
      <c r="M60" s="1"/>
      <c r="T60" s="2"/>
      <c r="X60" s="216"/>
      <c r="AA60" s="554"/>
      <c r="AB60" s="171"/>
    </row>
    <row r="61" spans="1:28" ht="10.5">
      <c r="A61" s="554"/>
      <c r="B61" s="556"/>
      <c r="C61" s="556"/>
      <c r="D61" s="556"/>
      <c r="E61" s="556"/>
      <c r="H61" s="1"/>
      <c r="I61" s="1"/>
      <c r="J61" s="1"/>
      <c r="K61" s="1"/>
      <c r="L61" s="1"/>
      <c r="M61" s="1"/>
      <c r="P61" s="533"/>
      <c r="Q61" s="1"/>
      <c r="T61" s="2"/>
      <c r="X61" s="216"/>
      <c r="AA61" s="557"/>
    </row>
    <row r="62" spans="1:28">
      <c r="A62" s="554"/>
      <c r="B62" s="556"/>
      <c r="C62" s="556"/>
      <c r="D62" s="556"/>
      <c r="E62" s="556"/>
      <c r="H62" s="1"/>
      <c r="I62" s="1"/>
      <c r="J62" s="1"/>
      <c r="K62" s="1"/>
      <c r="L62" s="1"/>
      <c r="M62" s="1"/>
      <c r="P62" s="1"/>
      <c r="Q62" s="1"/>
      <c r="R62" s="1"/>
      <c r="S62" s="1"/>
    </row>
    <row r="63" spans="1:28">
      <c r="A63" s="554"/>
      <c r="B63" s="556"/>
      <c r="C63" s="556"/>
      <c r="D63" s="556"/>
      <c r="E63" s="556"/>
      <c r="H63" s="1"/>
      <c r="I63" s="1"/>
      <c r="J63" s="1"/>
      <c r="K63" s="1"/>
      <c r="L63" s="1"/>
      <c r="M63" s="1"/>
      <c r="P63" s="1"/>
      <c r="Q63" s="1"/>
      <c r="R63" s="1"/>
      <c r="S63" s="1"/>
    </row>
    <row r="64" spans="1:28">
      <c r="A64" s="554"/>
      <c r="B64" s="556"/>
      <c r="C64" s="556"/>
      <c r="D64" s="556"/>
      <c r="E64" s="556"/>
      <c r="H64" s="1"/>
      <c r="I64" s="1"/>
      <c r="J64" s="1"/>
      <c r="K64" s="1"/>
      <c r="L64" s="1"/>
      <c r="M64" s="1"/>
      <c r="P64" s="1"/>
      <c r="Q64" s="1"/>
      <c r="R64" s="1"/>
      <c r="S64" s="1"/>
    </row>
    <row r="65" spans="1:19">
      <c r="A65" s="558"/>
      <c r="B65" s="556"/>
      <c r="C65" s="556"/>
      <c r="D65" s="556"/>
      <c r="E65" s="556"/>
      <c r="H65" s="1"/>
      <c r="I65" s="1"/>
      <c r="J65" s="1"/>
      <c r="K65" s="1"/>
      <c r="L65" s="1"/>
      <c r="M65" s="1"/>
      <c r="P65" s="1"/>
      <c r="Q65" s="1"/>
      <c r="R65" s="1"/>
      <c r="S65" s="1"/>
    </row>
    <row r="66" spans="1:19">
      <c r="A66" s="554"/>
      <c r="B66" s="556"/>
      <c r="C66" s="556"/>
      <c r="D66" s="556"/>
      <c r="E66" s="556"/>
      <c r="H66" s="1"/>
      <c r="I66" s="1"/>
      <c r="J66" s="1"/>
      <c r="K66" s="1"/>
      <c r="L66" s="1"/>
      <c r="M66" s="1"/>
      <c r="P66" s="1"/>
      <c r="Q66" s="1"/>
      <c r="R66" s="1"/>
      <c r="S66" s="1"/>
    </row>
    <row r="67" spans="1:19" ht="12.75" customHeight="1">
      <c r="A67" s="559"/>
      <c r="B67" s="556"/>
      <c r="C67" s="43"/>
      <c r="M67" s="1"/>
    </row>
    <row r="68" spans="1:19" ht="12.75" customHeight="1">
      <c r="A68" s="560"/>
      <c r="B68" s="556"/>
      <c r="C68" s="43"/>
      <c r="M68" s="1"/>
    </row>
  </sheetData>
  <mergeCells count="8">
    <mergeCell ref="P36:Q36"/>
    <mergeCell ref="T32:V32"/>
    <mergeCell ref="A2:AA4"/>
    <mergeCell ref="A5:AA5"/>
    <mergeCell ref="A6:AA6"/>
    <mergeCell ref="A7:AA7"/>
    <mergeCell ref="A8:N8"/>
    <mergeCell ref="P8:AA8"/>
  </mergeCells>
  <conditionalFormatting sqref="Q49:Z49">
    <cfRule type="cellIs" dxfId="0" priority="1" stopIfTrue="1" operator="greaterThan">
      <formula>0</formula>
    </cfRule>
  </conditionalFormatting>
  <printOptions horizontalCentered="1" verticalCentered="1"/>
  <pageMargins left="0.5" right="0.5" top="0.5" bottom="0.5" header="0.5" footer="0.5"/>
  <pageSetup paperSize="9" scale="35" orientation="landscape" r:id="rId1"/>
  <headerFooter alignWithMargins="0">
    <oddFooter>&amp;LRestricted</oddFooter>
  </headerFooter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6915-3010-4620-9B34-A44AA24619F8}">
  <sheetPr codeName="Sheet7"/>
  <dimension ref="A1:U105"/>
  <sheetViews>
    <sheetView zoomScale="110" zoomScaleNormal="110" workbookViewId="0">
      <pane ySplit="2" topLeftCell="A17" activePane="bottomLeft" state="frozen"/>
      <selection activeCell="B80" sqref="B80"/>
      <selection pane="bottomLeft" activeCell="E22" sqref="E22 D24"/>
    </sheetView>
  </sheetViews>
  <sheetFormatPr defaultRowHeight="12.5"/>
  <cols>
    <col min="2" max="3" width="10.08984375" bestFit="1" customWidth="1"/>
    <col min="4" max="4" width="11.54296875" customWidth="1"/>
    <col min="5" max="5" width="11.453125" bestFit="1" customWidth="1"/>
    <col min="6" max="6" width="11.81640625" bestFit="1" customWidth="1"/>
    <col min="7" max="7" width="10.08984375" bestFit="1" customWidth="1"/>
    <col min="8" max="8" width="12.81640625" customWidth="1"/>
    <col min="9" max="9" width="12.453125" bestFit="1" customWidth="1"/>
    <col min="10" max="10" width="11.453125" bestFit="1" customWidth="1"/>
    <col min="11" max="12" width="14.08984375" bestFit="1" customWidth="1"/>
    <col min="13" max="13" width="15.36328125" bestFit="1" customWidth="1"/>
    <col min="14" max="14" width="15" style="416" bestFit="1" customWidth="1"/>
    <col min="15" max="15" width="15.08984375" style="416" bestFit="1" customWidth="1"/>
    <col min="16" max="16" width="14.08984375" style="416" bestFit="1" customWidth="1"/>
    <col min="17" max="17" width="13.08984375" bestFit="1" customWidth="1"/>
    <col min="18" max="18" width="12.36328125" bestFit="1" customWidth="1"/>
    <col min="19" max="19" width="9.6328125" bestFit="1" customWidth="1"/>
    <col min="20" max="20" width="10.453125" bestFit="1" customWidth="1"/>
    <col min="21" max="21" width="12.54296875" bestFit="1" customWidth="1"/>
  </cols>
  <sheetData>
    <row r="1" spans="2:21" hidden="1">
      <c r="B1" s="326" t="s">
        <v>233</v>
      </c>
      <c r="C1" s="327"/>
      <c r="D1" s="327"/>
      <c r="E1" s="327"/>
      <c r="F1" s="327"/>
      <c r="G1" s="327"/>
      <c r="H1" s="327"/>
      <c r="I1" s="328"/>
      <c r="J1" s="327"/>
      <c r="K1" s="329">
        <v>10.763999999999999</v>
      </c>
      <c r="L1" s="330">
        <f>D24</f>
        <v>130</v>
      </c>
      <c r="M1" s="327"/>
      <c r="N1" s="339"/>
      <c r="O1" s="339"/>
      <c r="P1" s="339"/>
      <c r="Q1" s="327"/>
      <c r="R1" s="327"/>
      <c r="S1" s="327"/>
      <c r="T1" s="327"/>
    </row>
    <row r="2" spans="2:21" ht="21" hidden="1">
      <c r="B2" s="331" t="s">
        <v>234</v>
      </c>
      <c r="C2" s="331" t="s">
        <v>235</v>
      </c>
      <c r="D2" s="331" t="s">
        <v>236</v>
      </c>
      <c r="E2" s="331" t="s">
        <v>238</v>
      </c>
      <c r="F2" s="331" t="s">
        <v>237</v>
      </c>
      <c r="G2" s="331" t="s">
        <v>239</v>
      </c>
      <c r="H2" s="331" t="s">
        <v>240</v>
      </c>
      <c r="I2" s="332" t="s">
        <v>241</v>
      </c>
      <c r="J2" s="331" t="s">
        <v>62</v>
      </c>
      <c r="K2" s="332" t="s">
        <v>242</v>
      </c>
      <c r="L2" s="332" t="s">
        <v>243</v>
      </c>
      <c r="M2" s="332" t="s">
        <v>244</v>
      </c>
      <c r="N2" s="440" t="s">
        <v>245</v>
      </c>
      <c r="O2" s="441"/>
      <c r="P2" s="440" t="s">
        <v>232</v>
      </c>
      <c r="Q2" s="331" t="s">
        <v>61</v>
      </c>
      <c r="R2" s="331" t="s">
        <v>284</v>
      </c>
      <c r="S2" s="331" t="s">
        <v>62</v>
      </c>
      <c r="T2" s="331" t="s">
        <v>29</v>
      </c>
    </row>
    <row r="3" spans="2:21" hidden="1">
      <c r="B3" s="333">
        <v>45976</v>
      </c>
      <c r="C3" s="334">
        <v>46295</v>
      </c>
      <c r="D3" s="335">
        <f>ROUND((C3-B3)/30,0)-0.5</f>
        <v>10.5</v>
      </c>
      <c r="E3" s="335">
        <f>'Rent Calculation'!F21</f>
        <v>9515</v>
      </c>
      <c r="F3" s="335">
        <f>'Rent Calculation'!G21</f>
        <v>883.96506874767749</v>
      </c>
      <c r="G3" s="337"/>
      <c r="H3" s="336">
        <f>'Rent Calculation'!F36</f>
        <v>120</v>
      </c>
      <c r="I3" s="385">
        <f>E25</f>
        <v>1307.6923076923076</v>
      </c>
      <c r="J3" s="335">
        <f>14.67723796875</f>
        <v>14.677237968749999</v>
      </c>
      <c r="K3" s="335">
        <f>H3*$K$1</f>
        <v>1291.6799999999998</v>
      </c>
      <c r="L3" s="336">
        <f t="shared" ref="L3:L10" si="0">I3/E3</f>
        <v>0.13743481951574438</v>
      </c>
      <c r="M3" s="336">
        <f>J3*$K$1</f>
        <v>157.98578949562497</v>
      </c>
      <c r="N3" s="385">
        <f>K3+L3</f>
        <v>1291.8174348195155</v>
      </c>
      <c r="O3" s="339"/>
      <c r="P3" s="442">
        <f>YEAR(C3)</f>
        <v>2026</v>
      </c>
      <c r="Q3" s="385">
        <f t="shared" ref="Q3:Q10" si="1">D3*E3*H3</f>
        <v>11988900</v>
      </c>
      <c r="R3" s="385">
        <f t="shared" ref="R3:R8" si="2">$I$37*D3</f>
        <v>1785000</v>
      </c>
      <c r="S3" s="385">
        <f t="shared" ref="S3:S10" si="3">D3*E3*J3</f>
        <v>1466366.1523628905</v>
      </c>
      <c r="T3" s="385">
        <f>SUM(Q3:S3)</f>
        <v>15240266.152362891</v>
      </c>
      <c r="U3" s="419">
        <f>T3/12</f>
        <v>1270022.1793635741</v>
      </c>
    </row>
    <row r="4" spans="2:21" hidden="1">
      <c r="B4" s="333">
        <f>C3+1</f>
        <v>46296</v>
      </c>
      <c r="C4" s="333">
        <v>46340</v>
      </c>
      <c r="D4" s="335">
        <f t="shared" ref="D4:D8" si="4">ROUND((C4-B4)/30,0)+0.5</f>
        <v>1.5</v>
      </c>
      <c r="E4" s="335">
        <f>E3</f>
        <v>9515</v>
      </c>
      <c r="F4" s="335">
        <f>F3</f>
        <v>883.96506874767749</v>
      </c>
      <c r="G4" s="337"/>
      <c r="H4" s="336">
        <f>H3</f>
        <v>120</v>
      </c>
      <c r="I4" s="412">
        <f t="shared" ref="I4:J4" si="5">I3</f>
        <v>1307.6923076923076</v>
      </c>
      <c r="J4" s="336">
        <f t="shared" si="5"/>
        <v>14.677237968749999</v>
      </c>
      <c r="K4" s="335">
        <f t="shared" ref="K4:K8" si="6">H4*$K$1</f>
        <v>1291.6799999999998</v>
      </c>
      <c r="L4" s="336">
        <f t="shared" si="0"/>
        <v>0.13743481951574438</v>
      </c>
      <c r="M4" s="336">
        <f t="shared" ref="M4:M8" si="7">J4*$K$1</f>
        <v>157.98578949562497</v>
      </c>
      <c r="N4" s="385">
        <f t="shared" ref="N4:N8" si="8">K4+L4</f>
        <v>1291.8174348195155</v>
      </c>
      <c r="O4" s="339"/>
      <c r="P4" s="442">
        <f>P3+1</f>
        <v>2027</v>
      </c>
      <c r="Q4" s="385">
        <f t="shared" si="1"/>
        <v>1712700</v>
      </c>
      <c r="R4" s="385">
        <f t="shared" si="2"/>
        <v>255000</v>
      </c>
      <c r="S4" s="385">
        <f t="shared" si="3"/>
        <v>209480.87890898436</v>
      </c>
      <c r="T4" s="385">
        <f t="shared" ref="T4:T10" si="9">SUM(Q4:S4)</f>
        <v>2177180.8789089844</v>
      </c>
    </row>
    <row r="5" spans="2:21" hidden="1">
      <c r="B5" s="333">
        <f>C4+1</f>
        <v>46341</v>
      </c>
      <c r="C5" s="334">
        <v>46660</v>
      </c>
      <c r="D5" s="335">
        <f>ROUND((C5-B5)/30,0)-0.5</f>
        <v>10.5</v>
      </c>
      <c r="E5" s="335">
        <f t="shared" ref="E5:E10" si="10">E4</f>
        <v>9515</v>
      </c>
      <c r="F5" s="335">
        <f t="shared" ref="F5:F10" si="11">F4</f>
        <v>883.96506874767749</v>
      </c>
      <c r="G5" s="337"/>
      <c r="H5" s="336">
        <f>H3</f>
        <v>120</v>
      </c>
      <c r="I5" s="385">
        <f>I3</f>
        <v>1307.6923076923076</v>
      </c>
      <c r="J5" s="335">
        <f>J4*1.05</f>
        <v>15.411099867187501</v>
      </c>
      <c r="K5" s="335">
        <f t="shared" si="6"/>
        <v>1291.6799999999998</v>
      </c>
      <c r="L5" s="336">
        <f t="shared" si="0"/>
        <v>0.13743481951574438</v>
      </c>
      <c r="M5" s="336">
        <f t="shared" si="7"/>
        <v>165.88507897040625</v>
      </c>
      <c r="N5" s="385">
        <f t="shared" si="8"/>
        <v>1291.8174348195155</v>
      </c>
      <c r="O5" s="339"/>
      <c r="P5" s="442">
        <f>P4</f>
        <v>2027</v>
      </c>
      <c r="Q5" s="385">
        <f t="shared" si="1"/>
        <v>11988900</v>
      </c>
      <c r="R5" s="385">
        <f t="shared" si="2"/>
        <v>1785000</v>
      </c>
      <c r="S5" s="385">
        <f t="shared" si="3"/>
        <v>1539684.4599810352</v>
      </c>
      <c r="T5" s="385">
        <f t="shared" si="9"/>
        <v>15313584.459981035</v>
      </c>
    </row>
    <row r="6" spans="2:21" hidden="1">
      <c r="B6" s="333">
        <f t="shared" ref="B6:B8" si="12">C5+1</f>
        <v>46661</v>
      </c>
      <c r="C6" s="333">
        <v>46705</v>
      </c>
      <c r="D6" s="335">
        <f t="shared" si="4"/>
        <v>1.5</v>
      </c>
      <c r="E6" s="335">
        <f t="shared" si="10"/>
        <v>9515</v>
      </c>
      <c r="F6" s="335">
        <f t="shared" si="11"/>
        <v>883.96506874767749</v>
      </c>
      <c r="G6" s="337"/>
      <c r="H6" s="336">
        <f t="shared" ref="H6:I6" si="13">H4</f>
        <v>120</v>
      </c>
      <c r="I6" s="385">
        <f t="shared" si="13"/>
        <v>1307.6923076923076</v>
      </c>
      <c r="J6" s="335">
        <f>J5</f>
        <v>15.411099867187501</v>
      </c>
      <c r="K6" s="335">
        <f t="shared" si="6"/>
        <v>1291.6799999999998</v>
      </c>
      <c r="L6" s="336">
        <f t="shared" si="0"/>
        <v>0.13743481951574438</v>
      </c>
      <c r="M6" s="336">
        <f t="shared" si="7"/>
        <v>165.88507897040625</v>
      </c>
      <c r="N6" s="385">
        <f t="shared" si="8"/>
        <v>1291.8174348195155</v>
      </c>
      <c r="O6" s="339"/>
      <c r="P6" s="442">
        <f>P5+1</f>
        <v>2028</v>
      </c>
      <c r="Q6" s="385">
        <f t="shared" si="1"/>
        <v>1712700</v>
      </c>
      <c r="R6" s="385">
        <f t="shared" si="2"/>
        <v>255000</v>
      </c>
      <c r="S6" s="385">
        <f t="shared" si="3"/>
        <v>219954.92285443359</v>
      </c>
      <c r="T6" s="385">
        <f t="shared" si="9"/>
        <v>2187654.9228544338</v>
      </c>
    </row>
    <row r="7" spans="2:21" hidden="1">
      <c r="B7" s="333">
        <f t="shared" si="12"/>
        <v>46706</v>
      </c>
      <c r="C7" s="334">
        <v>47026</v>
      </c>
      <c r="D7" s="335">
        <f>ROUND((C7-B7)/30,0)-0.5</f>
        <v>10.5</v>
      </c>
      <c r="E7" s="335">
        <f t="shared" si="10"/>
        <v>9515</v>
      </c>
      <c r="F7" s="335">
        <f t="shared" si="11"/>
        <v>883.96506874767749</v>
      </c>
      <c r="G7" s="338"/>
      <c r="H7" s="336">
        <f t="shared" ref="H7:I7" si="14">H5</f>
        <v>120</v>
      </c>
      <c r="I7" s="385">
        <f t="shared" si="14"/>
        <v>1307.6923076923076</v>
      </c>
      <c r="J7" s="335">
        <f t="shared" ref="J7" si="15">J6*1.05</f>
        <v>16.181654860546875</v>
      </c>
      <c r="K7" s="335">
        <f t="shared" si="6"/>
        <v>1291.6799999999998</v>
      </c>
      <c r="L7" s="336">
        <f t="shared" si="0"/>
        <v>0.13743481951574438</v>
      </c>
      <c r="M7" s="336">
        <f t="shared" si="7"/>
        <v>174.17933291892655</v>
      </c>
      <c r="N7" s="385">
        <f t="shared" si="8"/>
        <v>1291.8174348195155</v>
      </c>
      <c r="O7" s="339"/>
      <c r="P7" s="442">
        <f>P6</f>
        <v>2028</v>
      </c>
      <c r="Q7" s="385">
        <f t="shared" si="1"/>
        <v>11988900</v>
      </c>
      <c r="R7" s="385">
        <f t="shared" si="2"/>
        <v>1785000</v>
      </c>
      <c r="S7" s="385">
        <f t="shared" si="3"/>
        <v>1616668.6829800869</v>
      </c>
      <c r="T7" s="385">
        <f t="shared" si="9"/>
        <v>15390568.682980087</v>
      </c>
    </row>
    <row r="8" spans="2:21" hidden="1">
      <c r="B8" s="333">
        <f t="shared" si="12"/>
        <v>47027</v>
      </c>
      <c r="C8" s="333">
        <v>47071</v>
      </c>
      <c r="D8" s="335">
        <f t="shared" si="4"/>
        <v>1.5</v>
      </c>
      <c r="E8" s="335">
        <f t="shared" si="10"/>
        <v>9515</v>
      </c>
      <c r="F8" s="335">
        <f t="shared" si="11"/>
        <v>883.96506874767749</v>
      </c>
      <c r="G8" s="338"/>
      <c r="H8" s="336">
        <f>H6+(H6*G8)</f>
        <v>120</v>
      </c>
      <c r="I8" s="412">
        <f>I6+(I6*G8)</f>
        <v>1307.6923076923076</v>
      </c>
      <c r="J8" s="335">
        <f t="shared" ref="J8:J10" si="16">J7</f>
        <v>16.181654860546875</v>
      </c>
      <c r="K8" s="335">
        <f t="shared" si="6"/>
        <v>1291.6799999999998</v>
      </c>
      <c r="L8" s="336">
        <f t="shared" si="0"/>
        <v>0.13743481951574438</v>
      </c>
      <c r="M8" s="336">
        <f t="shared" si="7"/>
        <v>174.17933291892655</v>
      </c>
      <c r="N8" s="385">
        <f t="shared" si="8"/>
        <v>1291.8174348195155</v>
      </c>
      <c r="O8" s="339"/>
      <c r="P8" s="442">
        <f>P7+1</f>
        <v>2029</v>
      </c>
      <c r="Q8" s="385">
        <f t="shared" si="1"/>
        <v>1712700</v>
      </c>
      <c r="R8" s="385">
        <f t="shared" si="2"/>
        <v>255000</v>
      </c>
      <c r="S8" s="385">
        <f t="shared" si="3"/>
        <v>230952.66899715527</v>
      </c>
      <c r="T8" s="385">
        <f t="shared" si="9"/>
        <v>2198652.6689971555</v>
      </c>
    </row>
    <row r="9" spans="2:21" hidden="1">
      <c r="B9" s="333"/>
      <c r="C9" s="334"/>
      <c r="D9" s="335"/>
      <c r="E9" s="335">
        <f t="shared" si="10"/>
        <v>9515</v>
      </c>
      <c r="F9" s="335">
        <f t="shared" si="11"/>
        <v>883.96506874767749</v>
      </c>
      <c r="G9" s="338"/>
      <c r="H9" s="336">
        <f>H7+(H7*G9)</f>
        <v>120</v>
      </c>
      <c r="I9" s="412">
        <f>I7+(I7*G9)</f>
        <v>1307.6923076923076</v>
      </c>
      <c r="J9" s="335">
        <f t="shared" si="16"/>
        <v>16.181654860546875</v>
      </c>
      <c r="K9" s="335">
        <f t="shared" ref="K9:K10" si="17">H9*$K$1</f>
        <v>1291.6799999999998</v>
      </c>
      <c r="L9" s="336">
        <f t="shared" si="0"/>
        <v>0.13743481951574438</v>
      </c>
      <c r="M9" s="336">
        <f t="shared" ref="M9:M10" si="18">J9*$K$1</f>
        <v>174.17933291892655</v>
      </c>
      <c r="N9" s="385">
        <f t="shared" ref="N9:N10" si="19">K9+L9</f>
        <v>1291.8174348195155</v>
      </c>
      <c r="O9" s="339"/>
      <c r="P9" s="442">
        <f>P8</f>
        <v>2029</v>
      </c>
      <c r="Q9" s="385">
        <f t="shared" si="1"/>
        <v>0</v>
      </c>
      <c r="R9" s="385">
        <f>D9*$D$24*I9</f>
        <v>0</v>
      </c>
      <c r="S9" s="385">
        <f t="shared" si="3"/>
        <v>0</v>
      </c>
      <c r="T9" s="385">
        <f t="shared" si="9"/>
        <v>0</v>
      </c>
    </row>
    <row r="10" spans="2:21" hidden="1">
      <c r="B10" s="333"/>
      <c r="C10" s="333"/>
      <c r="D10" s="335"/>
      <c r="E10" s="335">
        <f t="shared" si="10"/>
        <v>9515</v>
      </c>
      <c r="F10" s="335">
        <f t="shared" si="11"/>
        <v>883.96506874767749</v>
      </c>
      <c r="G10" s="338"/>
      <c r="H10" s="336">
        <f>H8+(H8*G10)</f>
        <v>120</v>
      </c>
      <c r="I10" s="412">
        <f>I8+(I8*G10)</f>
        <v>1307.6923076923076</v>
      </c>
      <c r="J10" s="335">
        <f t="shared" si="16"/>
        <v>16.181654860546875</v>
      </c>
      <c r="K10" s="335">
        <f t="shared" si="17"/>
        <v>1291.6799999999998</v>
      </c>
      <c r="L10" s="336">
        <f t="shared" si="0"/>
        <v>0.13743481951574438</v>
      </c>
      <c r="M10" s="336">
        <f t="shared" si="18"/>
        <v>174.17933291892655</v>
      </c>
      <c r="N10" s="385">
        <f t="shared" si="19"/>
        <v>1291.8174348195155</v>
      </c>
      <c r="O10" s="339"/>
      <c r="P10" s="442">
        <f>P9+1</f>
        <v>2030</v>
      </c>
      <c r="Q10" s="385">
        <f t="shared" si="1"/>
        <v>0</v>
      </c>
      <c r="R10" s="385">
        <f>D10*$D$24*I10</f>
        <v>0</v>
      </c>
      <c r="S10" s="385">
        <f t="shared" si="3"/>
        <v>0</v>
      </c>
      <c r="T10" s="385">
        <f t="shared" si="9"/>
        <v>0</v>
      </c>
    </row>
    <row r="11" spans="2:21" s="350" customFormat="1" ht="13" hidden="1">
      <c r="B11" s="713" t="s">
        <v>29</v>
      </c>
      <c r="C11" s="713"/>
      <c r="D11" s="379">
        <v>42</v>
      </c>
      <c r="E11" s="379"/>
      <c r="F11" s="380"/>
      <c r="G11" s="381"/>
      <c r="H11" s="380"/>
      <c r="I11" s="382"/>
      <c r="J11" s="379"/>
      <c r="K11" s="379"/>
      <c r="L11" s="380"/>
      <c r="M11" s="380"/>
      <c r="N11" s="386"/>
      <c r="O11" s="443"/>
      <c r="P11" s="444" t="s">
        <v>29</v>
      </c>
      <c r="Q11" s="386">
        <f>SUM(Q3:Q10)</f>
        <v>41104800</v>
      </c>
      <c r="R11" s="386">
        <f>SUM(R3:R10)</f>
        <v>6120000</v>
      </c>
      <c r="S11" s="386">
        <f>SUM(S3:S10)</f>
        <v>5283107.7660845863</v>
      </c>
      <c r="T11" s="386">
        <f>SUM(T3:T10)</f>
        <v>52507907.766084582</v>
      </c>
    </row>
    <row r="12" spans="2:21" hidden="1"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39"/>
      <c r="O12" s="339"/>
      <c r="P12" s="339"/>
      <c r="Q12" s="327"/>
      <c r="R12" s="327"/>
      <c r="S12" s="327"/>
      <c r="T12" s="327"/>
    </row>
    <row r="13" spans="2:21" hidden="1">
      <c r="F13" s="327"/>
      <c r="G13" s="420"/>
      <c r="J13" s="458"/>
      <c r="K13" s="458"/>
      <c r="L13" s="327"/>
      <c r="M13" s="327"/>
      <c r="N13" s="459"/>
      <c r="O13" s="459"/>
      <c r="P13" s="459"/>
      <c r="Q13" s="459"/>
      <c r="R13" s="459"/>
      <c r="S13" s="339"/>
      <c r="T13" s="341"/>
    </row>
    <row r="14" spans="2:21" hidden="1">
      <c r="F14" s="327"/>
      <c r="G14" s="420"/>
      <c r="H14" s="420"/>
      <c r="L14" s="460"/>
      <c r="M14" s="460"/>
      <c r="N14" s="459"/>
      <c r="O14" s="459"/>
      <c r="P14" s="459"/>
      <c r="Q14" s="447"/>
      <c r="R14" s="327"/>
      <c r="S14" s="327"/>
      <c r="T14" s="327"/>
    </row>
    <row r="15" spans="2:21" hidden="1">
      <c r="F15" s="327"/>
      <c r="G15" s="420"/>
      <c r="H15" s="420"/>
      <c r="L15" s="460"/>
      <c r="M15" s="460"/>
      <c r="N15" s="459"/>
      <c r="O15" s="459"/>
      <c r="P15" s="459"/>
      <c r="Q15" s="447"/>
      <c r="R15" s="327"/>
      <c r="S15" s="327"/>
      <c r="T15" s="327"/>
    </row>
    <row r="16" spans="2:21" hidden="1">
      <c r="F16" s="342"/>
      <c r="G16" s="420"/>
      <c r="H16" s="420"/>
      <c r="L16" s="460"/>
      <c r="M16" s="460"/>
      <c r="N16" s="459"/>
      <c r="O16" s="459"/>
      <c r="P16" s="459"/>
      <c r="Q16" s="327"/>
      <c r="R16" s="327"/>
      <c r="S16" s="327"/>
      <c r="T16" s="327"/>
    </row>
    <row r="17" spans="1:20" ht="13">
      <c r="F17" s="342"/>
      <c r="G17" s="466" t="s">
        <v>293</v>
      </c>
      <c r="H17" s="420"/>
      <c r="L17" s="460"/>
      <c r="M17" s="460"/>
      <c r="N17" s="459"/>
      <c r="O17" s="459"/>
      <c r="P17" s="459"/>
      <c r="Q17" s="327"/>
      <c r="R17" s="327"/>
      <c r="S17" s="327"/>
      <c r="T17" s="327"/>
    </row>
    <row r="18" spans="1:20">
      <c r="F18" s="343"/>
      <c r="G18" s="507" t="s">
        <v>225</v>
      </c>
      <c r="H18" s="507" t="s">
        <v>236</v>
      </c>
      <c r="I18" s="507" t="s">
        <v>293</v>
      </c>
      <c r="J18" s="508" t="s">
        <v>62</v>
      </c>
      <c r="K18" s="508" t="s">
        <v>29</v>
      </c>
      <c r="M18" s="327"/>
      <c r="N18" s="339"/>
      <c r="O18" s="339"/>
      <c r="P18" s="339"/>
      <c r="Q18" s="327"/>
      <c r="R18" s="327"/>
      <c r="S18" s="327"/>
      <c r="T18" s="327"/>
    </row>
    <row r="19" spans="1:20">
      <c r="B19" s="343"/>
      <c r="C19" s="343"/>
      <c r="D19" s="343"/>
      <c r="E19" s="343"/>
      <c r="F19" s="343"/>
      <c r="G19" s="465">
        <v>2026</v>
      </c>
      <c r="H19" s="147">
        <f t="shared" ref="H19:H25" ca="1" si="20">SUMIF($A$31:$A$1048576,$G19,$D$31:$D$102)</f>
        <v>8</v>
      </c>
      <c r="I19" s="147">
        <f t="shared" ref="I19:I25" ca="1" si="21">SUMIF($A$31:$A$1048576,$G19,$K$31:$K$102)</f>
        <v>9134400</v>
      </c>
      <c r="J19" s="147">
        <f t="shared" ref="J19:J25" ca="1" si="22">SUMIF($A$31:$A$1048576,$G19,$L$31:$L$102)</f>
        <v>1178337.5999999999</v>
      </c>
      <c r="K19" s="228">
        <f ca="1">I19+J19</f>
        <v>10312737.6</v>
      </c>
      <c r="L19" s="327"/>
      <c r="M19" s="327"/>
      <c r="N19" s="339"/>
      <c r="O19" s="339"/>
      <c r="P19" s="339"/>
      <c r="Q19" s="327"/>
      <c r="R19" s="327"/>
      <c r="S19" s="327"/>
      <c r="T19" s="327"/>
    </row>
    <row r="20" spans="1:20">
      <c r="B20" s="343"/>
      <c r="C20" s="343"/>
      <c r="D20" s="343"/>
      <c r="E20" s="343"/>
      <c r="F20" s="343"/>
      <c r="G20" s="465">
        <f>G19+1</f>
        <v>2027</v>
      </c>
      <c r="H20" s="147">
        <f t="shared" ca="1" si="20"/>
        <v>12</v>
      </c>
      <c r="I20" s="147">
        <f t="shared" ca="1" si="21"/>
        <v>13701600</v>
      </c>
      <c r="J20" s="147">
        <f t="shared" ca="1" si="22"/>
        <v>1826423.2800000005</v>
      </c>
      <c r="K20" s="228">
        <f t="shared" ref="K20:K25" ca="1" si="23">I20+J20</f>
        <v>15528023.280000001</v>
      </c>
      <c r="L20" s="327"/>
      <c r="M20" s="327"/>
      <c r="N20" s="339"/>
      <c r="O20" s="339"/>
      <c r="P20" s="339"/>
      <c r="Q20" s="327"/>
      <c r="R20" s="327"/>
      <c r="S20" s="327"/>
      <c r="T20" s="327"/>
    </row>
    <row r="21" spans="1:20">
      <c r="B21" s="515" t="s">
        <v>246</v>
      </c>
      <c r="C21" s="515" t="s">
        <v>247</v>
      </c>
      <c r="D21" s="515" t="s">
        <v>248</v>
      </c>
      <c r="E21" s="515" t="s">
        <v>249</v>
      </c>
      <c r="F21" s="343"/>
      <c r="G21" s="465">
        <f t="shared" ref="G21:G25" si="24">G20+1</f>
        <v>2028</v>
      </c>
      <c r="H21" s="147">
        <f t="shared" ca="1" si="20"/>
        <v>12</v>
      </c>
      <c r="I21" s="147">
        <f t="shared" ca="1" si="21"/>
        <v>13701600</v>
      </c>
      <c r="J21" s="147">
        <f t="shared" ca="1" si="22"/>
        <v>1917744.4440000001</v>
      </c>
      <c r="K21" s="228">
        <f t="shared" ca="1" si="23"/>
        <v>15619344.444</v>
      </c>
      <c r="L21" s="327"/>
      <c r="M21" s="327"/>
      <c r="N21" s="339"/>
      <c r="O21" s="339"/>
      <c r="P21" s="339"/>
      <c r="Q21" s="327"/>
      <c r="R21" s="327"/>
      <c r="S21" s="327"/>
      <c r="T21" s="327"/>
    </row>
    <row r="22" spans="1:20">
      <c r="B22" s="340" t="s">
        <v>250</v>
      </c>
      <c r="C22" s="340">
        <v>1500</v>
      </c>
      <c r="D22" s="383">
        <v>80</v>
      </c>
      <c r="E22" s="340">
        <f>C22*D22</f>
        <v>120000</v>
      </c>
      <c r="F22" s="343"/>
      <c r="G22" s="465">
        <f t="shared" si="24"/>
        <v>2029</v>
      </c>
      <c r="H22" s="147">
        <f t="shared" ca="1" si="20"/>
        <v>12</v>
      </c>
      <c r="I22" s="147">
        <f t="shared" ca="1" si="21"/>
        <v>15071760</v>
      </c>
      <c r="J22" s="147">
        <f t="shared" ca="1" si="22"/>
        <v>2013631.6662000006</v>
      </c>
      <c r="K22" s="228">
        <f t="shared" ca="1" si="23"/>
        <v>17085391.666200001</v>
      </c>
      <c r="L22" s="327"/>
      <c r="M22" s="327"/>
      <c r="N22" s="339"/>
      <c r="O22" s="339"/>
      <c r="P22" s="339"/>
      <c r="Q22" s="327"/>
      <c r="R22" s="327"/>
      <c r="S22" s="327"/>
      <c r="T22" s="327"/>
    </row>
    <row r="23" spans="1:20">
      <c r="B23" s="340" t="s">
        <v>251</v>
      </c>
      <c r="C23" s="340">
        <v>1000</v>
      </c>
      <c r="D23" s="383">
        <v>50</v>
      </c>
      <c r="E23" s="340">
        <f>C23*D23</f>
        <v>50000</v>
      </c>
      <c r="F23" s="343"/>
      <c r="G23" s="465">
        <f t="shared" si="24"/>
        <v>2030</v>
      </c>
      <c r="H23" s="147">
        <f t="shared" ca="1" si="20"/>
        <v>12</v>
      </c>
      <c r="I23" s="147">
        <f t="shared" ca="1" si="21"/>
        <v>15756840</v>
      </c>
      <c r="J23" s="147">
        <f t="shared" ca="1" si="22"/>
        <v>2114313.2495100005</v>
      </c>
      <c r="K23" s="228">
        <f t="shared" ca="1" si="23"/>
        <v>17871153.249510001</v>
      </c>
      <c r="L23" s="327"/>
      <c r="M23" s="327"/>
      <c r="N23" s="339"/>
      <c r="O23" s="339"/>
      <c r="P23" s="339"/>
      <c r="Q23" s="327"/>
      <c r="R23" s="327"/>
      <c r="S23" s="327"/>
      <c r="T23" s="327"/>
    </row>
    <row r="24" spans="1:20">
      <c r="B24" s="384" t="s">
        <v>29</v>
      </c>
      <c r="C24" s="384"/>
      <c r="D24" s="384">
        <f>D22+D23</f>
        <v>130</v>
      </c>
      <c r="E24" s="384">
        <f>E22+E23</f>
        <v>170000</v>
      </c>
      <c r="F24" s="343"/>
      <c r="G24" s="465">
        <f t="shared" si="24"/>
        <v>2031</v>
      </c>
      <c r="H24" s="147">
        <f t="shared" ca="1" si="20"/>
        <v>12</v>
      </c>
      <c r="I24" s="147">
        <f t="shared" ca="1" si="21"/>
        <v>15756840</v>
      </c>
      <c r="J24" s="147">
        <f t="shared" ca="1" si="22"/>
        <v>2220028.9119855007</v>
      </c>
      <c r="K24" s="228">
        <f t="shared" ca="1" si="23"/>
        <v>17976868.911985502</v>
      </c>
      <c r="L24" s="327"/>
      <c r="M24" s="327"/>
      <c r="N24" s="339"/>
      <c r="O24" s="339"/>
      <c r="P24" s="339"/>
      <c r="Q24" s="327"/>
      <c r="R24" s="327"/>
      <c r="S24" s="327"/>
      <c r="T24" s="327"/>
    </row>
    <row r="25" spans="1:20">
      <c r="B25" s="340"/>
      <c r="C25" s="340"/>
      <c r="D25" s="340"/>
      <c r="E25" s="340">
        <f>IFERROR(E24/D24,0)</f>
        <v>1307.6923076923076</v>
      </c>
      <c r="F25" s="343"/>
      <c r="G25" s="465">
        <f t="shared" si="24"/>
        <v>2032</v>
      </c>
      <c r="H25" s="147">
        <f t="shared" ca="1" si="20"/>
        <v>4</v>
      </c>
      <c r="I25" s="147">
        <f t="shared" ca="1" si="21"/>
        <v>5252280</v>
      </c>
      <c r="J25" s="147">
        <f t="shared" ca="1" si="22"/>
        <v>751945.27664025011</v>
      </c>
      <c r="K25" s="147">
        <f t="shared" ca="1" si="23"/>
        <v>6004225.2766402503</v>
      </c>
      <c r="L25" s="327"/>
      <c r="M25" s="327"/>
      <c r="N25" s="339"/>
      <c r="O25" s="339"/>
      <c r="P25" s="339"/>
      <c r="Q25" s="327"/>
      <c r="R25" s="327"/>
      <c r="S25" s="327"/>
      <c r="T25" s="327"/>
    </row>
    <row r="26" spans="1:20" ht="13">
      <c r="B26" s="343"/>
      <c r="C26" s="343"/>
      <c r="D26" s="343"/>
      <c r="E26" s="343"/>
      <c r="F26" s="343"/>
      <c r="G26" s="465"/>
      <c r="H26" s="177">
        <f ca="1">SUM(H19:H25)</f>
        <v>72</v>
      </c>
      <c r="I26" s="177">
        <f ca="1">SUM(I19:I25)</f>
        <v>88375320</v>
      </c>
      <c r="J26" s="177">
        <f t="shared" ref="J26:K26" ca="1" si="25">SUM(J19:J25)</f>
        <v>12022424.428335754</v>
      </c>
      <c r="K26" s="177">
        <f t="shared" ca="1" si="25"/>
        <v>100397744.42833576</v>
      </c>
      <c r="L26" s="327"/>
      <c r="M26" s="327"/>
      <c r="N26" s="339"/>
      <c r="O26" s="339"/>
      <c r="P26" s="339"/>
      <c r="Q26" s="327"/>
      <c r="R26" s="327"/>
      <c r="S26" s="327"/>
      <c r="T26" s="327"/>
    </row>
    <row r="27" spans="1:20">
      <c r="B27" s="343"/>
      <c r="C27" s="343"/>
      <c r="D27" s="343"/>
      <c r="E27" s="343"/>
      <c r="F27" s="343"/>
      <c r="H27" s="327"/>
      <c r="I27" s="327"/>
      <c r="J27" s="327"/>
      <c r="K27" s="327"/>
      <c r="L27" s="327"/>
      <c r="M27" s="327"/>
      <c r="N27" s="339"/>
      <c r="O27" s="339"/>
      <c r="P27" s="339"/>
      <c r="Q27" s="327"/>
      <c r="R27" s="327"/>
      <c r="S27" s="327"/>
      <c r="T27" s="327"/>
    </row>
    <row r="28" spans="1:20">
      <c r="B28" s="343"/>
      <c r="C28" s="343"/>
      <c r="D28" s="343"/>
      <c r="E28" s="343"/>
      <c r="F28" s="343"/>
      <c r="H28" s="327"/>
      <c r="I28" s="327"/>
      <c r="J28" s="327"/>
      <c r="K28" s="327"/>
      <c r="L28" s="490"/>
      <c r="M28" s="327"/>
      <c r="N28" s="339"/>
      <c r="O28" s="339"/>
      <c r="P28" s="339"/>
      <c r="Q28" s="327"/>
      <c r="R28" s="327"/>
      <c r="S28" s="327"/>
      <c r="T28" s="327"/>
    </row>
    <row r="29" spans="1:20">
      <c r="M29" s="497"/>
      <c r="N29" s="498"/>
      <c r="O29" s="498"/>
      <c r="P29" s="498"/>
    </row>
    <row r="30" spans="1:20" ht="26.5" thickBot="1">
      <c r="A30" s="509" t="s">
        <v>225</v>
      </c>
      <c r="B30" s="510" t="s">
        <v>234</v>
      </c>
      <c r="C30" s="510" t="s">
        <v>235</v>
      </c>
      <c r="D30" s="510" t="s">
        <v>236</v>
      </c>
      <c r="E30" s="510" t="s">
        <v>238</v>
      </c>
      <c r="F30" s="510" t="s">
        <v>237</v>
      </c>
      <c r="G30" s="510" t="s">
        <v>239</v>
      </c>
      <c r="H30" s="510" t="s">
        <v>240</v>
      </c>
      <c r="I30" s="511" t="s">
        <v>241</v>
      </c>
      <c r="J30" s="510" t="s">
        <v>62</v>
      </c>
      <c r="K30" s="511" t="s">
        <v>324</v>
      </c>
      <c r="L30" s="511" t="s">
        <v>325</v>
      </c>
      <c r="M30" s="512" t="s">
        <v>29</v>
      </c>
      <c r="N30" s="513" t="s">
        <v>293</v>
      </c>
      <c r="O30" s="514" t="s">
        <v>62</v>
      </c>
      <c r="P30" s="571" t="s">
        <v>326</v>
      </c>
      <c r="Q30" s="572"/>
    </row>
    <row r="31" spans="1:20" ht="13">
      <c r="A31" s="423">
        <v>2026</v>
      </c>
      <c r="B31" s="424">
        <v>46023</v>
      </c>
      <c r="C31" s="424">
        <f>B31+30</f>
        <v>46053</v>
      </c>
      <c r="D31" s="425">
        <v>1</v>
      </c>
      <c r="E31" s="426">
        <f>'Rent Calculation'!$F$23</f>
        <v>9515</v>
      </c>
      <c r="F31" s="426">
        <f>'Rent Calculation'!G23</f>
        <v>883.96506874767749</v>
      </c>
      <c r="G31" s="467"/>
      <c r="H31" s="427">
        <f>Main!B7</f>
        <v>120</v>
      </c>
      <c r="I31" s="426">
        <f>E24</f>
        <v>170000</v>
      </c>
      <c r="J31" s="428">
        <f>15.48</f>
        <v>15.48</v>
      </c>
      <c r="K31" s="426">
        <f t="shared" ref="K31:K62" si="26">H31*E31</f>
        <v>1141800</v>
      </c>
      <c r="L31" s="427">
        <f>J31*E31</f>
        <v>147292.20000000001</v>
      </c>
      <c r="M31" s="429">
        <f t="shared" ref="M31:M36" si="27">I31+K31+L31</f>
        <v>1459092.2</v>
      </c>
      <c r="N31" s="445"/>
      <c r="O31" s="565"/>
      <c r="P31" s="566"/>
    </row>
    <row r="32" spans="1:20" ht="13">
      <c r="A32" s="430">
        <f>A31</f>
        <v>2026</v>
      </c>
      <c r="B32" s="420">
        <f>C31+1</f>
        <v>46054</v>
      </c>
      <c r="C32" s="420">
        <f>B32+30-3</f>
        <v>46081</v>
      </c>
      <c r="D32">
        <v>1</v>
      </c>
      <c r="E32" s="431">
        <v>9515</v>
      </c>
      <c r="F32" s="431">
        <v>883.96506874767749</v>
      </c>
      <c r="G32" s="468"/>
      <c r="H32" s="432">
        <f>H31</f>
        <v>120</v>
      </c>
      <c r="I32" s="431">
        <f>I31</f>
        <v>170000</v>
      </c>
      <c r="J32" s="421">
        <v>15.48</v>
      </c>
      <c r="K32" s="431">
        <f t="shared" si="26"/>
        <v>1141800</v>
      </c>
      <c r="L32" s="432">
        <f t="shared" ref="L32:L62" si="28">J32*E32</f>
        <v>147292.20000000001</v>
      </c>
      <c r="M32" s="419">
        <f t="shared" si="27"/>
        <v>1459092.2</v>
      </c>
      <c r="N32" s="417"/>
      <c r="O32" s="564"/>
      <c r="P32" s="567"/>
    </row>
    <row r="33" spans="1:16" ht="13">
      <c r="A33" s="430">
        <f t="shared" ref="A33:A38" si="29">A32</f>
        <v>2026</v>
      </c>
      <c r="B33" s="420">
        <f>C32+1</f>
        <v>46082</v>
      </c>
      <c r="C33" s="420">
        <f>B33+30</f>
        <v>46112</v>
      </c>
      <c r="D33">
        <v>1</v>
      </c>
      <c r="E33" s="431">
        <f t="shared" ref="E33:E96" si="30">E32</f>
        <v>9515</v>
      </c>
      <c r="F33" s="431">
        <f t="shared" ref="F33:F96" si="31">F32</f>
        <v>883.96506874767749</v>
      </c>
      <c r="G33" s="468"/>
      <c r="H33" s="432">
        <f>H32</f>
        <v>120</v>
      </c>
      <c r="I33" s="431">
        <f>I32</f>
        <v>170000</v>
      </c>
      <c r="J33" s="421">
        <f t="shared" ref="J33:J42" si="32">J32</f>
        <v>15.48</v>
      </c>
      <c r="K33" s="431">
        <f t="shared" si="26"/>
        <v>1141800</v>
      </c>
      <c r="L33" s="432">
        <f t="shared" si="28"/>
        <v>147292.20000000001</v>
      </c>
      <c r="M33" s="419">
        <f t="shared" si="27"/>
        <v>1459092.2</v>
      </c>
      <c r="N33" s="417"/>
      <c r="O33" s="564"/>
      <c r="P33" s="567"/>
    </row>
    <row r="34" spans="1:16" ht="13">
      <c r="A34" s="430">
        <f t="shared" si="29"/>
        <v>2026</v>
      </c>
      <c r="B34" s="420">
        <f>C33+1</f>
        <v>46113</v>
      </c>
      <c r="C34" s="420">
        <f>B34+30-1</f>
        <v>46142</v>
      </c>
      <c r="D34">
        <v>1</v>
      </c>
      <c r="E34" s="431">
        <f t="shared" si="30"/>
        <v>9515</v>
      </c>
      <c r="F34" s="431">
        <f t="shared" si="31"/>
        <v>883.96506874767749</v>
      </c>
      <c r="G34" s="468"/>
      <c r="H34" s="432">
        <f>H33</f>
        <v>120</v>
      </c>
      <c r="I34" s="431">
        <f t="shared" ref="I34:I97" si="33">I33</f>
        <v>170000</v>
      </c>
      <c r="J34" s="421">
        <f t="shared" si="32"/>
        <v>15.48</v>
      </c>
      <c r="K34" s="431">
        <f t="shared" si="26"/>
        <v>1141800</v>
      </c>
      <c r="L34" s="432">
        <f t="shared" si="28"/>
        <v>147292.20000000001</v>
      </c>
      <c r="M34" s="419">
        <f t="shared" si="27"/>
        <v>1459092.2</v>
      </c>
      <c r="N34" s="417"/>
      <c r="O34" s="564"/>
      <c r="P34" s="567"/>
    </row>
    <row r="35" spans="1:16" ht="13">
      <c r="A35" s="430">
        <f t="shared" si="29"/>
        <v>2026</v>
      </c>
      <c r="B35" s="420">
        <f t="shared" ref="B35:B36" si="34">C34+1</f>
        <v>46143</v>
      </c>
      <c r="C35" s="420">
        <f>B35+30</f>
        <v>46173</v>
      </c>
      <c r="D35">
        <v>1</v>
      </c>
      <c r="E35" s="431">
        <f t="shared" si="30"/>
        <v>9515</v>
      </c>
      <c r="F35" s="431">
        <f t="shared" si="31"/>
        <v>883.96506874767749</v>
      </c>
      <c r="G35" s="468"/>
      <c r="H35" s="432">
        <f t="shared" ref="H35:H65" si="35">H34</f>
        <v>120</v>
      </c>
      <c r="I35" s="431">
        <f t="shared" si="33"/>
        <v>170000</v>
      </c>
      <c r="J35" s="421">
        <f t="shared" si="32"/>
        <v>15.48</v>
      </c>
      <c r="K35" s="431">
        <f t="shared" si="26"/>
        <v>1141800</v>
      </c>
      <c r="L35" s="432">
        <f t="shared" si="28"/>
        <v>147292.20000000001</v>
      </c>
      <c r="M35" s="419">
        <f t="shared" si="27"/>
        <v>1459092.2</v>
      </c>
      <c r="N35" s="417"/>
      <c r="O35" s="564"/>
      <c r="P35" s="567"/>
    </row>
    <row r="36" spans="1:16" ht="13">
      <c r="A36" s="430">
        <f t="shared" si="29"/>
        <v>2026</v>
      </c>
      <c r="B36" s="420">
        <f t="shared" si="34"/>
        <v>46174</v>
      </c>
      <c r="C36" s="420">
        <f>B36+30-1</f>
        <v>46203</v>
      </c>
      <c r="D36">
        <v>1</v>
      </c>
      <c r="E36" s="431">
        <f t="shared" si="30"/>
        <v>9515</v>
      </c>
      <c r="F36" s="431">
        <f t="shared" si="31"/>
        <v>883.96506874767749</v>
      </c>
      <c r="G36" s="468"/>
      <c r="H36" s="432">
        <f t="shared" si="35"/>
        <v>120</v>
      </c>
      <c r="I36" s="431">
        <f t="shared" si="33"/>
        <v>170000</v>
      </c>
      <c r="J36" s="421">
        <f t="shared" si="32"/>
        <v>15.48</v>
      </c>
      <c r="K36" s="431">
        <f t="shared" si="26"/>
        <v>1141800</v>
      </c>
      <c r="L36" s="432">
        <f t="shared" si="28"/>
        <v>147292.20000000001</v>
      </c>
      <c r="M36" s="419">
        <f t="shared" si="27"/>
        <v>1459092.2</v>
      </c>
      <c r="N36" s="417"/>
      <c r="O36" s="564"/>
      <c r="P36" s="567"/>
    </row>
    <row r="37" spans="1:16">
      <c r="A37" s="430">
        <f t="shared" si="29"/>
        <v>2026</v>
      </c>
      <c r="B37" s="420">
        <f>C36+1</f>
        <v>46204</v>
      </c>
      <c r="C37" s="420">
        <f>B37+30-1</f>
        <v>46233</v>
      </c>
      <c r="D37">
        <v>1</v>
      </c>
      <c r="E37" s="431">
        <f t="shared" si="30"/>
        <v>9515</v>
      </c>
      <c r="F37" s="431">
        <f t="shared" si="31"/>
        <v>883.96506874767749</v>
      </c>
      <c r="H37" s="432">
        <f t="shared" si="35"/>
        <v>120</v>
      </c>
      <c r="I37" s="431">
        <f t="shared" si="33"/>
        <v>170000</v>
      </c>
      <c r="J37" s="421">
        <f t="shared" si="32"/>
        <v>15.48</v>
      </c>
      <c r="K37" s="431">
        <f t="shared" si="26"/>
        <v>1141800</v>
      </c>
      <c r="L37" s="432">
        <f t="shared" si="28"/>
        <v>147292.20000000001</v>
      </c>
      <c r="M37" s="419">
        <f>I37+K37+L37</f>
        <v>1459092.2</v>
      </c>
      <c r="N37" s="431"/>
      <c r="O37" s="431"/>
      <c r="P37" s="496"/>
    </row>
    <row r="38" spans="1:16" ht="13" thickBot="1">
      <c r="A38" s="433">
        <f t="shared" si="29"/>
        <v>2026</v>
      </c>
      <c r="B38" s="434">
        <f>C37+1</f>
        <v>46234</v>
      </c>
      <c r="C38" s="434">
        <f>B38+30</f>
        <v>46264</v>
      </c>
      <c r="D38" s="435">
        <v>1</v>
      </c>
      <c r="E38" s="436">
        <f t="shared" si="30"/>
        <v>9515</v>
      </c>
      <c r="F38" s="436">
        <f t="shared" si="31"/>
        <v>883.96506874767749</v>
      </c>
      <c r="G38" s="435"/>
      <c r="H38" s="437">
        <f t="shared" si="35"/>
        <v>120</v>
      </c>
      <c r="I38" s="436">
        <f t="shared" si="33"/>
        <v>170000</v>
      </c>
      <c r="J38" s="438">
        <f t="shared" si="32"/>
        <v>15.48</v>
      </c>
      <c r="K38" s="436">
        <f t="shared" si="26"/>
        <v>1141800</v>
      </c>
      <c r="L38" s="437">
        <f t="shared" si="28"/>
        <v>147292.20000000001</v>
      </c>
      <c r="M38" s="439">
        <f t="shared" ref="M38:M84" si="36">I38+K38+L38</f>
        <v>1459092.2</v>
      </c>
      <c r="N38" s="436"/>
      <c r="O38" s="436"/>
      <c r="P38" s="568"/>
    </row>
    <row r="39" spans="1:16">
      <c r="A39" s="430">
        <f>A38+1</f>
        <v>2027</v>
      </c>
      <c r="B39" s="420">
        <f t="shared" ref="B39:B84" si="37">C38+1</f>
        <v>46265</v>
      </c>
      <c r="C39" s="420">
        <f>B39+30</f>
        <v>46295</v>
      </c>
      <c r="D39">
        <v>1</v>
      </c>
      <c r="E39" s="431">
        <f t="shared" si="30"/>
        <v>9515</v>
      </c>
      <c r="F39" s="431">
        <f t="shared" si="31"/>
        <v>883.96506874767749</v>
      </c>
      <c r="H39" s="432">
        <f t="shared" si="35"/>
        <v>120</v>
      </c>
      <c r="I39" s="431">
        <f t="shared" si="33"/>
        <v>170000</v>
      </c>
      <c r="J39" s="421">
        <f t="shared" si="32"/>
        <v>15.48</v>
      </c>
      <c r="K39" s="431">
        <f t="shared" si="26"/>
        <v>1141800</v>
      </c>
      <c r="L39" s="432">
        <f t="shared" si="28"/>
        <v>147292.20000000001</v>
      </c>
      <c r="M39" s="419">
        <f t="shared" si="36"/>
        <v>1459092.2</v>
      </c>
      <c r="N39" s="431">
        <f>SUM(K31:K38)</f>
        <v>9134400</v>
      </c>
      <c r="O39" s="431">
        <f>SUM(L31:L38)</f>
        <v>1178337.5999999999</v>
      </c>
      <c r="P39" s="566">
        <f>SUM(I31:I38)</f>
        <v>1360000</v>
      </c>
    </row>
    <row r="40" spans="1:16">
      <c r="A40">
        <f>A39</f>
        <v>2027</v>
      </c>
      <c r="B40" s="420">
        <f t="shared" si="37"/>
        <v>46296</v>
      </c>
      <c r="C40" s="420">
        <f>B40+30</f>
        <v>46326</v>
      </c>
      <c r="D40">
        <v>1</v>
      </c>
      <c r="E40" s="431">
        <f t="shared" si="30"/>
        <v>9515</v>
      </c>
      <c r="F40" s="431">
        <f t="shared" si="31"/>
        <v>883.96506874767749</v>
      </c>
      <c r="H40" s="432">
        <f t="shared" si="35"/>
        <v>120</v>
      </c>
      <c r="I40" s="431">
        <f t="shared" si="33"/>
        <v>170000</v>
      </c>
      <c r="J40" s="421">
        <f t="shared" si="32"/>
        <v>15.48</v>
      </c>
      <c r="K40" s="431">
        <f t="shared" si="26"/>
        <v>1141800</v>
      </c>
      <c r="L40" s="432">
        <f t="shared" si="28"/>
        <v>147292.20000000001</v>
      </c>
      <c r="M40" s="419">
        <f t="shared" si="36"/>
        <v>1459092.2</v>
      </c>
      <c r="N40" s="431"/>
      <c r="O40" s="431"/>
      <c r="P40" s="567"/>
    </row>
    <row r="41" spans="1:16">
      <c r="A41" s="430">
        <f>A40</f>
        <v>2027</v>
      </c>
      <c r="B41" s="420">
        <f t="shared" si="37"/>
        <v>46327</v>
      </c>
      <c r="C41" s="420">
        <f>B41+30-1</f>
        <v>46356</v>
      </c>
      <c r="D41">
        <v>1</v>
      </c>
      <c r="E41" s="431">
        <f t="shared" si="30"/>
        <v>9515</v>
      </c>
      <c r="F41" s="431">
        <f t="shared" si="31"/>
        <v>883.96506874767749</v>
      </c>
      <c r="H41" s="432">
        <f t="shared" si="35"/>
        <v>120</v>
      </c>
      <c r="I41" s="431">
        <f t="shared" si="33"/>
        <v>170000</v>
      </c>
      <c r="J41" s="421">
        <f t="shared" si="32"/>
        <v>15.48</v>
      </c>
      <c r="K41" s="431">
        <f t="shared" si="26"/>
        <v>1141800</v>
      </c>
      <c r="L41" s="432">
        <f t="shared" si="28"/>
        <v>147292.20000000001</v>
      </c>
      <c r="M41" s="419">
        <f t="shared" si="36"/>
        <v>1459092.2</v>
      </c>
      <c r="N41" s="431"/>
      <c r="O41" s="431"/>
      <c r="P41" s="567"/>
    </row>
    <row r="42" spans="1:16">
      <c r="A42" s="430">
        <f>A41</f>
        <v>2027</v>
      </c>
      <c r="B42" s="420">
        <f t="shared" si="37"/>
        <v>46357</v>
      </c>
      <c r="C42" s="420">
        <f>B42+30</f>
        <v>46387</v>
      </c>
      <c r="D42">
        <v>1</v>
      </c>
      <c r="E42" s="431">
        <f t="shared" si="30"/>
        <v>9515</v>
      </c>
      <c r="F42" s="431">
        <f t="shared" si="31"/>
        <v>883.96506874767749</v>
      </c>
      <c r="H42" s="432">
        <f t="shared" si="35"/>
        <v>120</v>
      </c>
      <c r="I42" s="431">
        <f t="shared" si="33"/>
        <v>170000</v>
      </c>
      <c r="J42" s="421">
        <f t="shared" si="32"/>
        <v>15.48</v>
      </c>
      <c r="K42" s="431">
        <f t="shared" si="26"/>
        <v>1141800</v>
      </c>
      <c r="L42" s="432">
        <f t="shared" si="28"/>
        <v>147292.20000000001</v>
      </c>
      <c r="M42" s="419">
        <f t="shared" si="36"/>
        <v>1459092.2</v>
      </c>
      <c r="N42" s="431"/>
      <c r="O42" s="431"/>
      <c r="P42" s="567"/>
    </row>
    <row r="43" spans="1:16">
      <c r="A43" s="430">
        <f>A42</f>
        <v>2027</v>
      </c>
      <c r="B43" s="420">
        <f t="shared" si="37"/>
        <v>46388</v>
      </c>
      <c r="C43" s="420">
        <f>B43+30</f>
        <v>46418</v>
      </c>
      <c r="D43">
        <v>1</v>
      </c>
      <c r="E43" s="431">
        <f t="shared" si="30"/>
        <v>9515</v>
      </c>
      <c r="F43" s="431">
        <f t="shared" si="31"/>
        <v>883.96506874767749</v>
      </c>
      <c r="H43" s="432">
        <f t="shared" si="35"/>
        <v>120</v>
      </c>
      <c r="I43" s="431">
        <f t="shared" si="33"/>
        <v>170000</v>
      </c>
      <c r="J43" s="421">
        <f>J42*1.05</f>
        <v>16.254000000000001</v>
      </c>
      <c r="K43" s="431">
        <f t="shared" si="26"/>
        <v>1141800</v>
      </c>
      <c r="L43" s="432">
        <f t="shared" si="28"/>
        <v>154656.81000000003</v>
      </c>
      <c r="M43" s="419">
        <f t="shared" si="36"/>
        <v>1466456.81</v>
      </c>
      <c r="N43" s="431"/>
      <c r="O43" s="431"/>
      <c r="P43" s="567"/>
    </row>
    <row r="44" spans="1:16">
      <c r="A44" s="430">
        <f>A43</f>
        <v>2027</v>
      </c>
      <c r="B44" s="420">
        <f t="shared" si="37"/>
        <v>46419</v>
      </c>
      <c r="C44" s="420">
        <f>B44+30-3</f>
        <v>46446</v>
      </c>
      <c r="D44">
        <v>1</v>
      </c>
      <c r="E44" s="431">
        <f t="shared" si="30"/>
        <v>9515</v>
      </c>
      <c r="F44" s="431">
        <f t="shared" si="31"/>
        <v>883.96506874767749</v>
      </c>
      <c r="H44" s="432">
        <f t="shared" si="35"/>
        <v>120</v>
      </c>
      <c r="I44" s="431">
        <f t="shared" si="33"/>
        <v>170000</v>
      </c>
      <c r="J44" s="421">
        <f>J43</f>
        <v>16.254000000000001</v>
      </c>
      <c r="K44" s="431">
        <f t="shared" si="26"/>
        <v>1141800</v>
      </c>
      <c r="L44" s="432">
        <f t="shared" si="28"/>
        <v>154656.81000000003</v>
      </c>
      <c r="M44" s="419">
        <f t="shared" si="36"/>
        <v>1466456.81</v>
      </c>
      <c r="N44" s="431"/>
      <c r="O44" s="431"/>
      <c r="P44" s="567"/>
    </row>
    <row r="45" spans="1:16">
      <c r="A45" s="430">
        <f t="shared" ref="A45:A50" si="38">A44</f>
        <v>2027</v>
      </c>
      <c r="B45" s="420">
        <f t="shared" si="37"/>
        <v>46447</v>
      </c>
      <c r="C45" s="420">
        <f>B45+30</f>
        <v>46477</v>
      </c>
      <c r="D45">
        <v>1</v>
      </c>
      <c r="E45" s="431">
        <f t="shared" si="30"/>
        <v>9515</v>
      </c>
      <c r="F45" s="431">
        <f t="shared" si="31"/>
        <v>883.96506874767749</v>
      </c>
      <c r="H45" s="432">
        <f t="shared" si="35"/>
        <v>120</v>
      </c>
      <c r="I45" s="431">
        <f t="shared" si="33"/>
        <v>170000</v>
      </c>
      <c r="J45" s="421">
        <f t="shared" ref="J45:J54" si="39">J44</f>
        <v>16.254000000000001</v>
      </c>
      <c r="K45" s="431">
        <f t="shared" si="26"/>
        <v>1141800</v>
      </c>
      <c r="L45" s="432">
        <f t="shared" si="28"/>
        <v>154656.81000000003</v>
      </c>
      <c r="M45" s="419">
        <f t="shared" si="36"/>
        <v>1466456.81</v>
      </c>
      <c r="N45" s="431"/>
      <c r="O45" s="431"/>
      <c r="P45" s="567"/>
    </row>
    <row r="46" spans="1:16">
      <c r="A46" s="430">
        <f t="shared" si="38"/>
        <v>2027</v>
      </c>
      <c r="B46" s="420">
        <f t="shared" si="37"/>
        <v>46478</v>
      </c>
      <c r="C46" s="420">
        <f>B46+30-1</f>
        <v>46507</v>
      </c>
      <c r="D46">
        <v>1</v>
      </c>
      <c r="E46" s="431">
        <f t="shared" si="30"/>
        <v>9515</v>
      </c>
      <c r="F46" s="431">
        <f t="shared" si="31"/>
        <v>883.96506874767749</v>
      </c>
      <c r="H46" s="432">
        <f t="shared" si="35"/>
        <v>120</v>
      </c>
      <c r="I46" s="431">
        <f t="shared" si="33"/>
        <v>170000</v>
      </c>
      <c r="J46" s="421">
        <f t="shared" si="39"/>
        <v>16.254000000000001</v>
      </c>
      <c r="K46" s="431">
        <f t="shared" si="26"/>
        <v>1141800</v>
      </c>
      <c r="L46" s="432">
        <f t="shared" si="28"/>
        <v>154656.81000000003</v>
      </c>
      <c r="M46" s="419">
        <f t="shared" si="36"/>
        <v>1466456.81</v>
      </c>
      <c r="N46" s="431"/>
      <c r="O46" s="431"/>
      <c r="P46" s="567"/>
    </row>
    <row r="47" spans="1:16">
      <c r="A47" s="430">
        <f t="shared" si="38"/>
        <v>2027</v>
      </c>
      <c r="B47" s="420">
        <f t="shared" si="37"/>
        <v>46508</v>
      </c>
      <c r="C47" s="420">
        <f>B47+30</f>
        <v>46538</v>
      </c>
      <c r="D47">
        <v>1</v>
      </c>
      <c r="E47" s="431">
        <f t="shared" si="30"/>
        <v>9515</v>
      </c>
      <c r="F47" s="431">
        <f t="shared" si="31"/>
        <v>883.96506874767749</v>
      </c>
      <c r="H47" s="432">
        <f t="shared" si="35"/>
        <v>120</v>
      </c>
      <c r="I47" s="431">
        <f t="shared" si="33"/>
        <v>170000</v>
      </c>
      <c r="J47" s="421">
        <f t="shared" si="39"/>
        <v>16.254000000000001</v>
      </c>
      <c r="K47" s="431">
        <f t="shared" si="26"/>
        <v>1141800</v>
      </c>
      <c r="L47" s="432">
        <f t="shared" si="28"/>
        <v>154656.81000000003</v>
      </c>
      <c r="M47" s="419">
        <f t="shared" si="36"/>
        <v>1466456.81</v>
      </c>
      <c r="N47" s="431"/>
      <c r="O47" s="431"/>
      <c r="P47" s="567"/>
    </row>
    <row r="48" spans="1:16">
      <c r="A48" s="430">
        <f t="shared" si="38"/>
        <v>2027</v>
      </c>
      <c r="B48" s="420">
        <f t="shared" si="37"/>
        <v>46539</v>
      </c>
      <c r="C48" s="420">
        <f>B48+30-1</f>
        <v>46568</v>
      </c>
      <c r="D48">
        <v>1</v>
      </c>
      <c r="E48" s="431">
        <f t="shared" si="30"/>
        <v>9515</v>
      </c>
      <c r="F48" s="431">
        <f t="shared" si="31"/>
        <v>883.96506874767749</v>
      </c>
      <c r="H48" s="432">
        <f t="shared" si="35"/>
        <v>120</v>
      </c>
      <c r="I48" s="431">
        <f t="shared" si="33"/>
        <v>170000</v>
      </c>
      <c r="J48" s="421">
        <f t="shared" si="39"/>
        <v>16.254000000000001</v>
      </c>
      <c r="K48" s="431">
        <f t="shared" si="26"/>
        <v>1141800</v>
      </c>
      <c r="L48" s="432">
        <f t="shared" si="28"/>
        <v>154656.81000000003</v>
      </c>
      <c r="M48" s="419">
        <f t="shared" si="36"/>
        <v>1466456.81</v>
      </c>
      <c r="N48" s="431"/>
      <c r="O48" s="431"/>
      <c r="P48" s="567"/>
    </row>
    <row r="49" spans="1:16">
      <c r="A49" s="430">
        <f t="shared" si="38"/>
        <v>2027</v>
      </c>
      <c r="B49" s="420">
        <f t="shared" si="37"/>
        <v>46569</v>
      </c>
      <c r="C49" s="420">
        <f>B49+30</f>
        <v>46599</v>
      </c>
      <c r="D49">
        <v>1</v>
      </c>
      <c r="E49" s="431">
        <f t="shared" si="30"/>
        <v>9515</v>
      </c>
      <c r="F49" s="431">
        <f t="shared" si="31"/>
        <v>883.96506874767749</v>
      </c>
      <c r="H49" s="432">
        <f t="shared" si="35"/>
        <v>120</v>
      </c>
      <c r="I49" s="431">
        <f t="shared" si="33"/>
        <v>170000</v>
      </c>
      <c r="J49" s="421">
        <f t="shared" si="39"/>
        <v>16.254000000000001</v>
      </c>
      <c r="K49" s="431">
        <f t="shared" si="26"/>
        <v>1141800</v>
      </c>
      <c r="L49" s="432">
        <f t="shared" si="28"/>
        <v>154656.81000000003</v>
      </c>
      <c r="M49" s="419">
        <f t="shared" si="36"/>
        <v>1466456.81</v>
      </c>
      <c r="N49" s="431"/>
      <c r="O49" s="431"/>
      <c r="P49" s="567"/>
    </row>
    <row r="50" spans="1:16" ht="13" thickBot="1">
      <c r="A50" s="433">
        <f t="shared" si="38"/>
        <v>2027</v>
      </c>
      <c r="B50" s="434">
        <f t="shared" si="37"/>
        <v>46600</v>
      </c>
      <c r="C50" s="434">
        <f>B50+30</f>
        <v>46630</v>
      </c>
      <c r="D50" s="435">
        <v>1</v>
      </c>
      <c r="E50" s="436">
        <f t="shared" si="30"/>
        <v>9515</v>
      </c>
      <c r="F50" s="436">
        <f t="shared" si="31"/>
        <v>883.96506874767749</v>
      </c>
      <c r="G50" s="435"/>
      <c r="H50" s="437">
        <f t="shared" si="35"/>
        <v>120</v>
      </c>
      <c r="I50" s="436">
        <f t="shared" si="33"/>
        <v>170000</v>
      </c>
      <c r="J50" s="438">
        <f t="shared" si="39"/>
        <v>16.254000000000001</v>
      </c>
      <c r="K50" s="436">
        <f t="shared" si="26"/>
        <v>1141800</v>
      </c>
      <c r="L50" s="437">
        <f t="shared" si="28"/>
        <v>154656.81000000003</v>
      </c>
      <c r="M50" s="439">
        <f t="shared" si="36"/>
        <v>1466456.81</v>
      </c>
      <c r="N50" s="436"/>
      <c r="O50" s="436"/>
      <c r="P50" s="568"/>
    </row>
    <row r="51" spans="1:16">
      <c r="A51" s="430">
        <f>A50+1</f>
        <v>2028</v>
      </c>
      <c r="B51" s="420">
        <f t="shared" si="37"/>
        <v>46631</v>
      </c>
      <c r="C51" s="420">
        <f>B51+30-1</f>
        <v>46660</v>
      </c>
      <c r="D51">
        <v>1</v>
      </c>
      <c r="E51" s="431">
        <f t="shared" si="30"/>
        <v>9515</v>
      </c>
      <c r="F51" s="431">
        <f t="shared" si="31"/>
        <v>883.96506874767749</v>
      </c>
      <c r="H51" s="432">
        <f t="shared" si="35"/>
        <v>120</v>
      </c>
      <c r="I51" s="431">
        <f t="shared" si="33"/>
        <v>170000</v>
      </c>
      <c r="J51" s="421">
        <f t="shared" si="39"/>
        <v>16.254000000000001</v>
      </c>
      <c r="K51" s="431">
        <f t="shared" si="26"/>
        <v>1141800</v>
      </c>
      <c r="L51" s="432">
        <f t="shared" si="28"/>
        <v>154656.81000000003</v>
      </c>
      <c r="M51" s="419">
        <f t="shared" si="36"/>
        <v>1466456.81</v>
      </c>
      <c r="N51" s="431">
        <f>SUM(K39:K50)</f>
        <v>13701600</v>
      </c>
      <c r="O51" s="431">
        <f>SUM(L39:L50)</f>
        <v>1826423.2800000005</v>
      </c>
      <c r="P51" s="566">
        <f>SUM(I39:I50)</f>
        <v>2040000</v>
      </c>
    </row>
    <row r="52" spans="1:16">
      <c r="A52" s="430">
        <f>A51</f>
        <v>2028</v>
      </c>
      <c r="B52" s="420">
        <f t="shared" si="37"/>
        <v>46661</v>
      </c>
      <c r="C52" s="420">
        <f>B52+30</f>
        <v>46691</v>
      </c>
      <c r="D52">
        <v>1</v>
      </c>
      <c r="E52" s="431">
        <f t="shared" si="30"/>
        <v>9515</v>
      </c>
      <c r="F52" s="431">
        <f t="shared" si="31"/>
        <v>883.96506874767749</v>
      </c>
      <c r="H52" s="432">
        <f t="shared" si="35"/>
        <v>120</v>
      </c>
      <c r="I52" s="431">
        <f t="shared" si="33"/>
        <v>170000</v>
      </c>
      <c r="J52" s="421">
        <f t="shared" si="39"/>
        <v>16.254000000000001</v>
      </c>
      <c r="K52" s="431">
        <f t="shared" si="26"/>
        <v>1141800</v>
      </c>
      <c r="L52" s="432">
        <f t="shared" si="28"/>
        <v>154656.81000000003</v>
      </c>
      <c r="M52" s="419">
        <f t="shared" si="36"/>
        <v>1466456.81</v>
      </c>
      <c r="N52" s="431"/>
      <c r="O52" s="431"/>
      <c r="P52" s="567"/>
    </row>
    <row r="53" spans="1:16">
      <c r="A53" s="430">
        <f>A52</f>
        <v>2028</v>
      </c>
      <c r="B53" s="420">
        <f t="shared" si="37"/>
        <v>46692</v>
      </c>
      <c r="C53" s="420">
        <f>B53+30-1</f>
        <v>46721</v>
      </c>
      <c r="D53">
        <v>1</v>
      </c>
      <c r="E53" s="431">
        <f t="shared" si="30"/>
        <v>9515</v>
      </c>
      <c r="F53" s="431">
        <f t="shared" si="31"/>
        <v>883.96506874767749</v>
      </c>
      <c r="H53" s="432">
        <f t="shared" si="35"/>
        <v>120</v>
      </c>
      <c r="I53" s="431">
        <f t="shared" si="33"/>
        <v>170000</v>
      </c>
      <c r="J53" s="421">
        <f t="shared" si="39"/>
        <v>16.254000000000001</v>
      </c>
      <c r="K53" s="431">
        <f t="shared" si="26"/>
        <v>1141800</v>
      </c>
      <c r="L53" s="432">
        <f t="shared" si="28"/>
        <v>154656.81000000003</v>
      </c>
      <c r="M53" s="419">
        <f t="shared" si="36"/>
        <v>1466456.81</v>
      </c>
      <c r="N53" s="431"/>
      <c r="O53" s="431"/>
      <c r="P53" s="567"/>
    </row>
    <row r="54" spans="1:16">
      <c r="A54" s="430">
        <f t="shared" ref="A54:A62" si="40">A53</f>
        <v>2028</v>
      </c>
      <c r="B54" s="420">
        <f t="shared" si="37"/>
        <v>46722</v>
      </c>
      <c r="C54" s="420">
        <f>B54+30</f>
        <v>46752</v>
      </c>
      <c r="D54">
        <v>1</v>
      </c>
      <c r="E54" s="431">
        <f t="shared" si="30"/>
        <v>9515</v>
      </c>
      <c r="F54" s="431">
        <f t="shared" si="31"/>
        <v>883.96506874767749</v>
      </c>
      <c r="H54" s="432">
        <f>H53</f>
        <v>120</v>
      </c>
      <c r="I54" s="431">
        <f t="shared" si="33"/>
        <v>170000</v>
      </c>
      <c r="J54" s="421">
        <f t="shared" si="39"/>
        <v>16.254000000000001</v>
      </c>
      <c r="K54" s="431">
        <f t="shared" si="26"/>
        <v>1141800</v>
      </c>
      <c r="L54" s="432">
        <f t="shared" si="28"/>
        <v>154656.81000000003</v>
      </c>
      <c r="M54" s="419">
        <f t="shared" si="36"/>
        <v>1466456.81</v>
      </c>
      <c r="N54" s="431"/>
      <c r="O54" s="431"/>
      <c r="P54" s="567"/>
    </row>
    <row r="55" spans="1:16">
      <c r="A55" s="430">
        <f t="shared" si="40"/>
        <v>2028</v>
      </c>
      <c r="B55" s="420">
        <f t="shared" si="37"/>
        <v>46753</v>
      </c>
      <c r="C55" s="420">
        <f>B55+30</f>
        <v>46783</v>
      </c>
      <c r="D55">
        <v>1</v>
      </c>
      <c r="E55" s="431">
        <f t="shared" si="30"/>
        <v>9515</v>
      </c>
      <c r="F55" s="431">
        <f t="shared" si="31"/>
        <v>883.96506874767749</v>
      </c>
      <c r="H55" s="432">
        <f t="shared" si="35"/>
        <v>120</v>
      </c>
      <c r="I55" s="431">
        <f t="shared" si="33"/>
        <v>170000</v>
      </c>
      <c r="J55" s="421">
        <f>J54*1.05</f>
        <v>17.066700000000001</v>
      </c>
      <c r="K55" s="431">
        <f t="shared" si="26"/>
        <v>1141800</v>
      </c>
      <c r="L55" s="432">
        <f t="shared" si="28"/>
        <v>162389.65050000002</v>
      </c>
      <c r="M55" s="419">
        <f t="shared" si="36"/>
        <v>1474189.6505</v>
      </c>
      <c r="N55" s="431"/>
      <c r="O55" s="431"/>
      <c r="P55" s="567"/>
    </row>
    <row r="56" spans="1:16">
      <c r="A56" s="430">
        <f t="shared" si="40"/>
        <v>2028</v>
      </c>
      <c r="B56" s="420">
        <f t="shared" si="37"/>
        <v>46784</v>
      </c>
      <c r="C56" s="420">
        <f>B56+30-2</f>
        <v>46812</v>
      </c>
      <c r="D56">
        <v>1</v>
      </c>
      <c r="E56" s="431">
        <f t="shared" si="30"/>
        <v>9515</v>
      </c>
      <c r="F56" s="431">
        <f t="shared" si="31"/>
        <v>883.96506874767749</v>
      </c>
      <c r="H56" s="432">
        <f t="shared" si="35"/>
        <v>120</v>
      </c>
      <c r="I56" s="431">
        <f t="shared" si="33"/>
        <v>170000</v>
      </c>
      <c r="J56" s="421">
        <f>J55</f>
        <v>17.066700000000001</v>
      </c>
      <c r="K56" s="431">
        <f t="shared" si="26"/>
        <v>1141800</v>
      </c>
      <c r="L56" s="432">
        <f t="shared" si="28"/>
        <v>162389.65050000002</v>
      </c>
      <c r="M56" s="419">
        <f t="shared" si="36"/>
        <v>1474189.6505</v>
      </c>
      <c r="N56" s="431"/>
      <c r="O56" s="431"/>
      <c r="P56" s="567"/>
    </row>
    <row r="57" spans="1:16">
      <c r="A57" s="430">
        <f t="shared" si="40"/>
        <v>2028</v>
      </c>
      <c r="B57" s="420">
        <f t="shared" si="37"/>
        <v>46813</v>
      </c>
      <c r="C57" s="420">
        <f>B57+30</f>
        <v>46843</v>
      </c>
      <c r="D57">
        <v>1</v>
      </c>
      <c r="E57" s="431">
        <f t="shared" si="30"/>
        <v>9515</v>
      </c>
      <c r="F57" s="431">
        <f t="shared" si="31"/>
        <v>883.96506874767749</v>
      </c>
      <c r="H57" s="432">
        <f t="shared" si="35"/>
        <v>120</v>
      </c>
      <c r="I57" s="431">
        <f t="shared" si="33"/>
        <v>170000</v>
      </c>
      <c r="J57" s="421">
        <f t="shared" ref="J57:J59" si="41">J56</f>
        <v>17.066700000000001</v>
      </c>
      <c r="K57" s="431">
        <f t="shared" si="26"/>
        <v>1141800</v>
      </c>
      <c r="L57" s="432">
        <f t="shared" si="28"/>
        <v>162389.65050000002</v>
      </c>
      <c r="M57" s="419">
        <f t="shared" si="36"/>
        <v>1474189.6505</v>
      </c>
      <c r="N57" s="431"/>
      <c r="O57" s="431"/>
      <c r="P57" s="567"/>
    </row>
    <row r="58" spans="1:16">
      <c r="A58" s="430">
        <f t="shared" si="40"/>
        <v>2028</v>
      </c>
      <c r="B58" s="420">
        <f t="shared" si="37"/>
        <v>46844</v>
      </c>
      <c r="C58" s="420">
        <f>B58+30-1</f>
        <v>46873</v>
      </c>
      <c r="D58">
        <v>1</v>
      </c>
      <c r="E58" s="431">
        <f t="shared" si="30"/>
        <v>9515</v>
      </c>
      <c r="F58" s="431">
        <f t="shared" si="31"/>
        <v>883.96506874767749</v>
      </c>
      <c r="H58" s="432">
        <f t="shared" si="35"/>
        <v>120</v>
      </c>
      <c r="I58" s="431">
        <f t="shared" si="33"/>
        <v>170000</v>
      </c>
      <c r="J58" s="421">
        <f t="shared" si="41"/>
        <v>17.066700000000001</v>
      </c>
      <c r="K58" s="431">
        <f t="shared" si="26"/>
        <v>1141800</v>
      </c>
      <c r="L58" s="432">
        <f t="shared" si="28"/>
        <v>162389.65050000002</v>
      </c>
      <c r="M58" s="419">
        <f t="shared" si="36"/>
        <v>1474189.6505</v>
      </c>
      <c r="N58" s="431"/>
      <c r="O58" s="431"/>
      <c r="P58" s="567"/>
    </row>
    <row r="59" spans="1:16">
      <c r="A59" s="430">
        <f t="shared" si="40"/>
        <v>2028</v>
      </c>
      <c r="B59" s="420">
        <f t="shared" si="37"/>
        <v>46874</v>
      </c>
      <c r="C59" s="420">
        <f>B59+30</f>
        <v>46904</v>
      </c>
      <c r="D59">
        <v>1</v>
      </c>
      <c r="E59" s="431">
        <f t="shared" si="30"/>
        <v>9515</v>
      </c>
      <c r="F59" s="431">
        <f t="shared" si="31"/>
        <v>883.96506874767749</v>
      </c>
      <c r="H59" s="432">
        <f t="shared" si="35"/>
        <v>120</v>
      </c>
      <c r="I59" s="431">
        <f t="shared" si="33"/>
        <v>170000</v>
      </c>
      <c r="J59" s="421">
        <f t="shared" si="41"/>
        <v>17.066700000000001</v>
      </c>
      <c r="K59" s="431">
        <f t="shared" si="26"/>
        <v>1141800</v>
      </c>
      <c r="L59" s="432">
        <f t="shared" si="28"/>
        <v>162389.65050000002</v>
      </c>
      <c r="M59" s="419">
        <f t="shared" si="36"/>
        <v>1474189.6505</v>
      </c>
      <c r="N59" s="431"/>
      <c r="O59" s="431"/>
      <c r="P59" s="567"/>
    </row>
    <row r="60" spans="1:16">
      <c r="A60" s="430">
        <f t="shared" si="40"/>
        <v>2028</v>
      </c>
      <c r="B60" s="420">
        <f t="shared" si="37"/>
        <v>46905</v>
      </c>
      <c r="C60" s="420">
        <f>B60+30-1</f>
        <v>46934</v>
      </c>
      <c r="D60">
        <v>1</v>
      </c>
      <c r="E60" s="431">
        <f t="shared" si="30"/>
        <v>9515</v>
      </c>
      <c r="F60" s="431">
        <f t="shared" si="31"/>
        <v>883.96506874767749</v>
      </c>
      <c r="H60" s="432">
        <f t="shared" si="35"/>
        <v>120</v>
      </c>
      <c r="I60" s="431">
        <f t="shared" si="33"/>
        <v>170000</v>
      </c>
      <c r="J60" s="421">
        <f t="shared" ref="J60:J84" si="42">J59</f>
        <v>17.066700000000001</v>
      </c>
      <c r="K60" s="431">
        <f t="shared" si="26"/>
        <v>1141800</v>
      </c>
      <c r="L60" s="432">
        <f t="shared" si="28"/>
        <v>162389.65050000002</v>
      </c>
      <c r="M60" s="419">
        <f t="shared" si="36"/>
        <v>1474189.6505</v>
      </c>
      <c r="N60" s="431"/>
      <c r="O60" s="431"/>
      <c r="P60" s="567"/>
    </row>
    <row r="61" spans="1:16">
      <c r="A61" s="430">
        <f t="shared" si="40"/>
        <v>2028</v>
      </c>
      <c r="B61" s="420">
        <f t="shared" si="37"/>
        <v>46935</v>
      </c>
      <c r="C61" s="420">
        <f>B61+30</f>
        <v>46965</v>
      </c>
      <c r="D61">
        <v>1</v>
      </c>
      <c r="E61" s="431">
        <f t="shared" si="30"/>
        <v>9515</v>
      </c>
      <c r="F61" s="431">
        <f t="shared" si="31"/>
        <v>883.96506874767749</v>
      </c>
      <c r="H61" s="432">
        <f t="shared" si="35"/>
        <v>120</v>
      </c>
      <c r="I61" s="431">
        <f t="shared" si="33"/>
        <v>170000</v>
      </c>
      <c r="J61" s="421">
        <f>J60</f>
        <v>17.066700000000001</v>
      </c>
      <c r="K61" s="431">
        <f t="shared" si="26"/>
        <v>1141800</v>
      </c>
      <c r="L61" s="432">
        <f t="shared" si="28"/>
        <v>162389.65050000002</v>
      </c>
      <c r="M61" s="419">
        <f t="shared" si="36"/>
        <v>1474189.6505</v>
      </c>
      <c r="N61" s="431"/>
      <c r="O61" s="431"/>
      <c r="P61" s="567"/>
    </row>
    <row r="62" spans="1:16" ht="13" thickBot="1">
      <c r="A62" s="433">
        <f t="shared" si="40"/>
        <v>2028</v>
      </c>
      <c r="B62" s="434">
        <f t="shared" si="37"/>
        <v>46966</v>
      </c>
      <c r="C62" s="434">
        <f>B62+30</f>
        <v>46996</v>
      </c>
      <c r="D62" s="435">
        <v>1</v>
      </c>
      <c r="E62" s="436">
        <f t="shared" si="30"/>
        <v>9515</v>
      </c>
      <c r="F62" s="436">
        <f t="shared" si="31"/>
        <v>883.96506874767749</v>
      </c>
      <c r="G62" s="435"/>
      <c r="H62" s="437">
        <f t="shared" si="35"/>
        <v>120</v>
      </c>
      <c r="I62" s="431">
        <f t="shared" si="33"/>
        <v>170000</v>
      </c>
      <c r="J62" s="438">
        <f>J61</f>
        <v>17.066700000000001</v>
      </c>
      <c r="K62" s="436">
        <f t="shared" si="26"/>
        <v>1141800</v>
      </c>
      <c r="L62" s="437">
        <f t="shared" si="28"/>
        <v>162389.65050000002</v>
      </c>
      <c r="M62" s="439">
        <f t="shared" si="36"/>
        <v>1474189.6505</v>
      </c>
      <c r="N62" s="436"/>
      <c r="O62" s="436"/>
      <c r="P62" s="567"/>
    </row>
    <row r="63" spans="1:16">
      <c r="A63">
        <f>A62+1</f>
        <v>2029</v>
      </c>
      <c r="B63" s="420">
        <f t="shared" si="37"/>
        <v>46997</v>
      </c>
      <c r="C63" s="420">
        <f>B63+30-1</f>
        <v>47026</v>
      </c>
      <c r="D63">
        <v>1</v>
      </c>
      <c r="E63" s="431">
        <f t="shared" si="30"/>
        <v>9515</v>
      </c>
      <c r="F63" s="431">
        <f t="shared" si="31"/>
        <v>883.96506874767749</v>
      </c>
      <c r="H63" s="432">
        <f t="shared" si="35"/>
        <v>120</v>
      </c>
      <c r="I63" s="426">
        <f t="shared" si="33"/>
        <v>170000</v>
      </c>
      <c r="J63" s="421">
        <f t="shared" ref="J63:J72" si="43">J62</f>
        <v>17.066700000000001</v>
      </c>
      <c r="K63" s="431">
        <f t="shared" ref="K63:K94" si="44">H63*E63</f>
        <v>1141800</v>
      </c>
      <c r="L63" s="432">
        <f t="shared" ref="L63:L94" si="45">J63*E63</f>
        <v>162389.65050000002</v>
      </c>
      <c r="M63" s="419">
        <f t="shared" si="36"/>
        <v>1474189.6505</v>
      </c>
      <c r="N63" s="431">
        <f>SUM(K51:K62)</f>
        <v>13701600</v>
      </c>
      <c r="O63" s="431">
        <f>SUM(L51:L62)</f>
        <v>1917744.4440000001</v>
      </c>
      <c r="P63" s="569">
        <f>SUM(I51:I62)</f>
        <v>2040000</v>
      </c>
    </row>
    <row r="64" spans="1:16">
      <c r="A64" s="430">
        <f>A63</f>
        <v>2029</v>
      </c>
      <c r="B64" s="420">
        <f t="shared" si="37"/>
        <v>47027</v>
      </c>
      <c r="C64" s="420">
        <f>B64+30</f>
        <v>47057</v>
      </c>
      <c r="D64">
        <v>1</v>
      </c>
      <c r="E64" s="431">
        <f t="shared" si="30"/>
        <v>9515</v>
      </c>
      <c r="F64" s="431">
        <f t="shared" si="31"/>
        <v>883.96506874767749</v>
      </c>
      <c r="H64" s="432">
        <f t="shared" si="35"/>
        <v>120</v>
      </c>
      <c r="I64" s="431">
        <f t="shared" si="33"/>
        <v>170000</v>
      </c>
      <c r="J64" s="421">
        <f t="shared" si="43"/>
        <v>17.066700000000001</v>
      </c>
      <c r="K64" s="431">
        <f t="shared" si="44"/>
        <v>1141800</v>
      </c>
      <c r="L64" s="432">
        <f t="shared" si="45"/>
        <v>162389.65050000002</v>
      </c>
      <c r="M64" s="419">
        <f t="shared" si="36"/>
        <v>1474189.6505</v>
      </c>
      <c r="N64" s="431"/>
      <c r="O64" s="431"/>
      <c r="P64" s="567"/>
    </row>
    <row r="65" spans="1:16">
      <c r="A65" s="430">
        <f>A64</f>
        <v>2029</v>
      </c>
      <c r="B65" s="420">
        <f t="shared" si="37"/>
        <v>47058</v>
      </c>
      <c r="C65" s="420">
        <f>B65+30-1</f>
        <v>47087</v>
      </c>
      <c r="D65">
        <v>1</v>
      </c>
      <c r="E65" s="431">
        <f t="shared" si="30"/>
        <v>9515</v>
      </c>
      <c r="F65" s="431">
        <f t="shared" si="31"/>
        <v>883.96506874767749</v>
      </c>
      <c r="H65" s="432">
        <f t="shared" si="35"/>
        <v>120</v>
      </c>
      <c r="I65" s="431">
        <f t="shared" si="33"/>
        <v>170000</v>
      </c>
      <c r="J65" s="421">
        <f t="shared" si="43"/>
        <v>17.066700000000001</v>
      </c>
      <c r="K65" s="431">
        <f t="shared" si="44"/>
        <v>1141800</v>
      </c>
      <c r="L65" s="432">
        <f t="shared" si="45"/>
        <v>162389.65050000002</v>
      </c>
      <c r="M65" s="419">
        <f t="shared" si="36"/>
        <v>1474189.6505</v>
      </c>
      <c r="N65" s="431"/>
      <c r="O65" s="431"/>
      <c r="P65" s="567"/>
    </row>
    <row r="66" spans="1:16">
      <c r="A66" s="430">
        <f t="shared" ref="A66:A74" si="46">A65</f>
        <v>2029</v>
      </c>
      <c r="B66" s="420">
        <f t="shared" si="37"/>
        <v>47088</v>
      </c>
      <c r="C66" s="420">
        <f>B66+30</f>
        <v>47118</v>
      </c>
      <c r="D66">
        <v>1</v>
      </c>
      <c r="E66" s="431">
        <f t="shared" si="30"/>
        <v>9515</v>
      </c>
      <c r="F66" s="431">
        <f t="shared" si="31"/>
        <v>883.96506874767749</v>
      </c>
      <c r="H66" s="432">
        <f>H65</f>
        <v>120</v>
      </c>
      <c r="I66" s="431">
        <f t="shared" si="33"/>
        <v>170000</v>
      </c>
      <c r="J66" s="421">
        <f t="shared" si="43"/>
        <v>17.066700000000001</v>
      </c>
      <c r="K66" s="431">
        <f t="shared" si="44"/>
        <v>1141800</v>
      </c>
      <c r="L66" s="432">
        <f t="shared" si="45"/>
        <v>162389.65050000002</v>
      </c>
      <c r="M66" s="419">
        <f t="shared" si="36"/>
        <v>1474189.6505</v>
      </c>
      <c r="N66" s="431"/>
      <c r="O66" s="431"/>
      <c r="P66" s="567"/>
    </row>
    <row r="67" spans="1:16">
      <c r="A67" s="430">
        <f t="shared" si="46"/>
        <v>2029</v>
      </c>
      <c r="B67" s="420">
        <f t="shared" si="37"/>
        <v>47119</v>
      </c>
      <c r="C67" s="420">
        <f>B67+30</f>
        <v>47149</v>
      </c>
      <c r="D67">
        <v>1</v>
      </c>
      <c r="E67" s="431">
        <f t="shared" si="30"/>
        <v>9515</v>
      </c>
      <c r="F67" s="431">
        <f t="shared" si="31"/>
        <v>883.96506874767749</v>
      </c>
      <c r="H67" s="432">
        <f>H66*1.15</f>
        <v>138</v>
      </c>
      <c r="I67" s="431">
        <f>I66*1.15</f>
        <v>195499.99999999997</v>
      </c>
      <c r="J67" s="421">
        <f>J66*1.05</f>
        <v>17.920035000000002</v>
      </c>
      <c r="K67" s="431">
        <f t="shared" si="44"/>
        <v>1313070</v>
      </c>
      <c r="L67" s="432">
        <f t="shared" si="45"/>
        <v>170509.13302500002</v>
      </c>
      <c r="M67" s="419">
        <f t="shared" si="36"/>
        <v>1679079.1330250001</v>
      </c>
      <c r="N67" s="431"/>
      <c r="O67" s="431"/>
      <c r="P67" s="567"/>
    </row>
    <row r="68" spans="1:16">
      <c r="A68" s="430">
        <f t="shared" si="46"/>
        <v>2029</v>
      </c>
      <c r="B68" s="420">
        <f t="shared" si="37"/>
        <v>47150</v>
      </c>
      <c r="C68" s="420">
        <f>B68+30-3</f>
        <v>47177</v>
      </c>
      <c r="D68">
        <v>1</v>
      </c>
      <c r="E68" s="431">
        <f t="shared" si="30"/>
        <v>9515</v>
      </c>
      <c r="F68" s="431">
        <f t="shared" si="31"/>
        <v>883.96506874767749</v>
      </c>
      <c r="H68" s="432">
        <f>H67</f>
        <v>138</v>
      </c>
      <c r="I68" s="431">
        <f t="shared" si="33"/>
        <v>195499.99999999997</v>
      </c>
      <c r="J68" s="421">
        <f>J67</f>
        <v>17.920035000000002</v>
      </c>
      <c r="K68" s="431">
        <f t="shared" si="44"/>
        <v>1313070</v>
      </c>
      <c r="L68" s="432">
        <f t="shared" si="45"/>
        <v>170509.13302500002</v>
      </c>
      <c r="M68" s="419">
        <f t="shared" si="36"/>
        <v>1679079.1330250001</v>
      </c>
      <c r="N68" s="431"/>
      <c r="O68" s="431"/>
      <c r="P68" s="567"/>
    </row>
    <row r="69" spans="1:16">
      <c r="A69" s="430">
        <f t="shared" si="46"/>
        <v>2029</v>
      </c>
      <c r="B69" s="420">
        <f t="shared" si="37"/>
        <v>47178</v>
      </c>
      <c r="C69" s="420">
        <f>B69+30</f>
        <v>47208</v>
      </c>
      <c r="D69">
        <v>1</v>
      </c>
      <c r="E69" s="431">
        <f t="shared" si="30"/>
        <v>9515</v>
      </c>
      <c r="F69" s="431">
        <f t="shared" si="31"/>
        <v>883.96506874767749</v>
      </c>
      <c r="H69" s="432">
        <f t="shared" ref="H69:I102" si="47">H68</f>
        <v>138</v>
      </c>
      <c r="I69" s="431">
        <f t="shared" si="33"/>
        <v>195499.99999999997</v>
      </c>
      <c r="J69" s="421">
        <f t="shared" si="43"/>
        <v>17.920035000000002</v>
      </c>
      <c r="K69" s="431">
        <f t="shared" si="44"/>
        <v>1313070</v>
      </c>
      <c r="L69" s="432">
        <f t="shared" si="45"/>
        <v>170509.13302500002</v>
      </c>
      <c r="M69" s="419">
        <f t="shared" si="36"/>
        <v>1679079.1330250001</v>
      </c>
      <c r="N69" s="431"/>
      <c r="O69" s="431"/>
      <c r="P69" s="567"/>
    </row>
    <row r="70" spans="1:16">
      <c r="A70" s="430">
        <f t="shared" si="46"/>
        <v>2029</v>
      </c>
      <c r="B70" s="420">
        <f t="shared" si="37"/>
        <v>47209</v>
      </c>
      <c r="C70" s="420">
        <f>B70+30-1</f>
        <v>47238</v>
      </c>
      <c r="D70">
        <v>1</v>
      </c>
      <c r="E70" s="431">
        <f t="shared" si="30"/>
        <v>9515</v>
      </c>
      <c r="F70" s="431">
        <f t="shared" si="31"/>
        <v>883.96506874767749</v>
      </c>
      <c r="H70" s="432">
        <f t="shared" si="47"/>
        <v>138</v>
      </c>
      <c r="I70" s="431">
        <f t="shared" si="33"/>
        <v>195499.99999999997</v>
      </c>
      <c r="J70" s="421">
        <f t="shared" si="43"/>
        <v>17.920035000000002</v>
      </c>
      <c r="K70" s="431">
        <f t="shared" si="44"/>
        <v>1313070</v>
      </c>
      <c r="L70" s="432">
        <f t="shared" si="45"/>
        <v>170509.13302500002</v>
      </c>
      <c r="M70" s="419">
        <f t="shared" si="36"/>
        <v>1679079.1330250001</v>
      </c>
      <c r="N70" s="431"/>
      <c r="O70" s="431"/>
      <c r="P70" s="567"/>
    </row>
    <row r="71" spans="1:16">
      <c r="A71" s="430">
        <f t="shared" si="46"/>
        <v>2029</v>
      </c>
      <c r="B71" s="420">
        <f t="shared" si="37"/>
        <v>47239</v>
      </c>
      <c r="C71" s="420">
        <f>B71+30</f>
        <v>47269</v>
      </c>
      <c r="D71">
        <v>1</v>
      </c>
      <c r="E71" s="431">
        <f t="shared" si="30"/>
        <v>9515</v>
      </c>
      <c r="F71" s="431">
        <f t="shared" si="31"/>
        <v>883.96506874767749</v>
      </c>
      <c r="H71" s="432">
        <f t="shared" si="47"/>
        <v>138</v>
      </c>
      <c r="I71" s="431">
        <f t="shared" si="33"/>
        <v>195499.99999999997</v>
      </c>
      <c r="J71" s="421">
        <f t="shared" si="43"/>
        <v>17.920035000000002</v>
      </c>
      <c r="K71" s="431">
        <f t="shared" si="44"/>
        <v>1313070</v>
      </c>
      <c r="L71" s="432">
        <f t="shared" si="45"/>
        <v>170509.13302500002</v>
      </c>
      <c r="M71" s="419">
        <f t="shared" si="36"/>
        <v>1679079.1330250001</v>
      </c>
      <c r="N71" s="431"/>
      <c r="O71" s="431"/>
      <c r="P71" s="567"/>
    </row>
    <row r="72" spans="1:16">
      <c r="A72" s="430">
        <f t="shared" si="46"/>
        <v>2029</v>
      </c>
      <c r="B72" s="420">
        <f t="shared" si="37"/>
        <v>47270</v>
      </c>
      <c r="C72" s="420">
        <f>B72+30-1</f>
        <v>47299</v>
      </c>
      <c r="D72">
        <v>1</v>
      </c>
      <c r="E72" s="431">
        <f t="shared" si="30"/>
        <v>9515</v>
      </c>
      <c r="F72" s="431">
        <f t="shared" si="31"/>
        <v>883.96506874767749</v>
      </c>
      <c r="H72" s="432">
        <f t="shared" si="47"/>
        <v>138</v>
      </c>
      <c r="I72" s="431">
        <f t="shared" si="33"/>
        <v>195499.99999999997</v>
      </c>
      <c r="J72" s="421">
        <f t="shared" si="43"/>
        <v>17.920035000000002</v>
      </c>
      <c r="K72" s="431">
        <f t="shared" si="44"/>
        <v>1313070</v>
      </c>
      <c r="L72" s="432">
        <f t="shared" si="45"/>
        <v>170509.13302500002</v>
      </c>
      <c r="M72" s="419">
        <f t="shared" si="36"/>
        <v>1679079.1330250001</v>
      </c>
      <c r="N72" s="431"/>
      <c r="O72" s="431"/>
      <c r="P72" s="567"/>
    </row>
    <row r="73" spans="1:16">
      <c r="A73" s="430">
        <f t="shared" si="46"/>
        <v>2029</v>
      </c>
      <c r="B73" s="420">
        <f t="shared" si="37"/>
        <v>47300</v>
      </c>
      <c r="C73" s="420">
        <f>B73+30</f>
        <v>47330</v>
      </c>
      <c r="D73">
        <v>1</v>
      </c>
      <c r="E73" s="431">
        <f t="shared" si="30"/>
        <v>9515</v>
      </c>
      <c r="F73" s="431">
        <f t="shared" si="31"/>
        <v>883.96506874767749</v>
      </c>
      <c r="H73" s="432">
        <f t="shared" si="47"/>
        <v>138</v>
      </c>
      <c r="I73" s="431">
        <f t="shared" si="33"/>
        <v>195499.99999999997</v>
      </c>
      <c r="J73" s="421">
        <f>J72</f>
        <v>17.920035000000002</v>
      </c>
      <c r="K73" s="431">
        <f t="shared" si="44"/>
        <v>1313070</v>
      </c>
      <c r="L73" s="432">
        <f t="shared" si="45"/>
        <v>170509.13302500002</v>
      </c>
      <c r="M73" s="419">
        <f t="shared" si="36"/>
        <v>1679079.1330250001</v>
      </c>
      <c r="N73" s="431"/>
      <c r="O73" s="431"/>
      <c r="P73" s="567"/>
    </row>
    <row r="74" spans="1:16" ht="13" thickBot="1">
      <c r="A74" s="433">
        <f t="shared" si="46"/>
        <v>2029</v>
      </c>
      <c r="B74" s="434">
        <f t="shared" si="37"/>
        <v>47331</v>
      </c>
      <c r="C74" s="434">
        <f t="shared" ref="C74" si="48">B74+30</f>
        <v>47361</v>
      </c>
      <c r="D74" s="435">
        <v>1</v>
      </c>
      <c r="E74" s="436">
        <f t="shared" si="30"/>
        <v>9515</v>
      </c>
      <c r="F74" s="436">
        <f t="shared" si="31"/>
        <v>883.96506874767749</v>
      </c>
      <c r="G74" s="435"/>
      <c r="H74" s="437">
        <f t="shared" si="47"/>
        <v>138</v>
      </c>
      <c r="I74" s="436">
        <f t="shared" si="33"/>
        <v>195499.99999999997</v>
      </c>
      <c r="J74" s="438">
        <f t="shared" si="42"/>
        <v>17.920035000000002</v>
      </c>
      <c r="K74" s="436">
        <f t="shared" si="44"/>
        <v>1313070</v>
      </c>
      <c r="L74" s="437">
        <f t="shared" si="45"/>
        <v>170509.13302500002</v>
      </c>
      <c r="M74" s="439">
        <f t="shared" si="36"/>
        <v>1679079.1330250001</v>
      </c>
      <c r="N74" s="436"/>
      <c r="O74" s="436"/>
      <c r="P74" s="567"/>
    </row>
    <row r="75" spans="1:16">
      <c r="A75">
        <f>A74+1</f>
        <v>2030</v>
      </c>
      <c r="B75" s="420">
        <f t="shared" si="37"/>
        <v>47362</v>
      </c>
      <c r="C75" s="420">
        <f>B75+30-1</f>
        <v>47391</v>
      </c>
      <c r="D75">
        <v>1</v>
      </c>
      <c r="E75" s="431">
        <f t="shared" si="30"/>
        <v>9515</v>
      </c>
      <c r="F75" s="431">
        <f t="shared" si="31"/>
        <v>883.96506874767749</v>
      </c>
      <c r="H75" s="432">
        <f t="shared" si="47"/>
        <v>138</v>
      </c>
      <c r="I75" s="431">
        <f t="shared" si="33"/>
        <v>195499.99999999997</v>
      </c>
      <c r="J75" s="421">
        <f t="shared" si="42"/>
        <v>17.920035000000002</v>
      </c>
      <c r="K75" s="431">
        <f t="shared" si="44"/>
        <v>1313070</v>
      </c>
      <c r="L75" s="432">
        <f t="shared" si="45"/>
        <v>170509.13302500002</v>
      </c>
      <c r="M75" s="419">
        <f t="shared" si="36"/>
        <v>1679079.1330250001</v>
      </c>
      <c r="N75" s="431">
        <f>SUM(K63:K74)</f>
        <v>15071760</v>
      </c>
      <c r="O75" s="431">
        <f>SUM(L63:L74)</f>
        <v>2013631.6662000006</v>
      </c>
      <c r="P75" s="569">
        <f>SUM(I63:I74)</f>
        <v>2244000</v>
      </c>
    </row>
    <row r="76" spans="1:16">
      <c r="A76" s="430">
        <f>A75</f>
        <v>2030</v>
      </c>
      <c r="B76" s="420">
        <f t="shared" si="37"/>
        <v>47392</v>
      </c>
      <c r="C76" s="420">
        <f>B76+30</f>
        <v>47422</v>
      </c>
      <c r="D76">
        <v>1</v>
      </c>
      <c r="E76" s="431">
        <f t="shared" si="30"/>
        <v>9515</v>
      </c>
      <c r="F76" s="431">
        <f t="shared" si="31"/>
        <v>883.96506874767749</v>
      </c>
      <c r="H76" s="432">
        <f t="shared" si="47"/>
        <v>138</v>
      </c>
      <c r="I76" s="431">
        <f t="shared" si="33"/>
        <v>195499.99999999997</v>
      </c>
      <c r="J76" s="421">
        <f t="shared" si="42"/>
        <v>17.920035000000002</v>
      </c>
      <c r="K76" s="431">
        <f t="shared" si="44"/>
        <v>1313070</v>
      </c>
      <c r="L76" s="432">
        <f t="shared" si="45"/>
        <v>170509.13302500002</v>
      </c>
      <c r="M76" s="419">
        <f t="shared" si="36"/>
        <v>1679079.1330250001</v>
      </c>
      <c r="N76" s="431"/>
      <c r="O76" s="431"/>
      <c r="P76" s="567"/>
    </row>
    <row r="77" spans="1:16">
      <c r="A77" s="430">
        <f>A76</f>
        <v>2030</v>
      </c>
      <c r="B77" s="420">
        <f t="shared" si="37"/>
        <v>47423</v>
      </c>
      <c r="C77" s="420">
        <f>B77+30-1</f>
        <v>47452</v>
      </c>
      <c r="D77">
        <v>1</v>
      </c>
      <c r="E77" s="431">
        <f t="shared" si="30"/>
        <v>9515</v>
      </c>
      <c r="F77" s="431">
        <f t="shared" si="31"/>
        <v>883.96506874767749</v>
      </c>
      <c r="H77" s="432">
        <f t="shared" si="47"/>
        <v>138</v>
      </c>
      <c r="I77" s="431">
        <f t="shared" si="33"/>
        <v>195499.99999999997</v>
      </c>
      <c r="J77" s="421">
        <f t="shared" si="42"/>
        <v>17.920035000000002</v>
      </c>
      <c r="K77" s="431">
        <f t="shared" si="44"/>
        <v>1313070</v>
      </c>
      <c r="L77" s="432">
        <f t="shared" si="45"/>
        <v>170509.13302500002</v>
      </c>
      <c r="M77" s="419">
        <f t="shared" si="36"/>
        <v>1679079.1330250001</v>
      </c>
      <c r="N77" s="431"/>
      <c r="O77" s="431"/>
      <c r="P77" s="567"/>
    </row>
    <row r="78" spans="1:16">
      <c r="A78" s="430">
        <f t="shared" ref="A78:A86" si="49">A77</f>
        <v>2030</v>
      </c>
      <c r="B78" s="420">
        <f t="shared" si="37"/>
        <v>47453</v>
      </c>
      <c r="C78" s="420">
        <f>B78+30</f>
        <v>47483</v>
      </c>
      <c r="D78">
        <v>1</v>
      </c>
      <c r="E78" s="431">
        <f t="shared" si="30"/>
        <v>9515</v>
      </c>
      <c r="F78" s="431">
        <f t="shared" si="31"/>
        <v>883.96506874767749</v>
      </c>
      <c r="H78" s="432">
        <f t="shared" si="47"/>
        <v>138</v>
      </c>
      <c r="I78" s="431">
        <f t="shared" si="33"/>
        <v>195499.99999999997</v>
      </c>
      <c r="J78" s="421">
        <f t="shared" si="42"/>
        <v>17.920035000000002</v>
      </c>
      <c r="K78" s="431">
        <f t="shared" si="44"/>
        <v>1313070</v>
      </c>
      <c r="L78" s="432">
        <f t="shared" si="45"/>
        <v>170509.13302500002</v>
      </c>
      <c r="M78" s="419">
        <f t="shared" si="36"/>
        <v>1679079.1330250001</v>
      </c>
      <c r="N78" s="431"/>
      <c r="O78" s="431"/>
      <c r="P78" s="567"/>
    </row>
    <row r="79" spans="1:16">
      <c r="A79" s="430">
        <f t="shared" si="49"/>
        <v>2030</v>
      </c>
      <c r="B79" s="420">
        <f t="shared" si="37"/>
        <v>47484</v>
      </c>
      <c r="C79" s="420">
        <f>B79+30</f>
        <v>47514</v>
      </c>
      <c r="D79">
        <v>1</v>
      </c>
      <c r="E79" s="431">
        <f t="shared" si="30"/>
        <v>9515</v>
      </c>
      <c r="F79" s="431">
        <f t="shared" si="31"/>
        <v>883.96506874767749</v>
      </c>
      <c r="H79" s="432">
        <f t="shared" si="47"/>
        <v>138</v>
      </c>
      <c r="I79" s="431">
        <f t="shared" si="33"/>
        <v>195499.99999999997</v>
      </c>
      <c r="J79" s="421">
        <f>J78*1.05</f>
        <v>18.816036750000002</v>
      </c>
      <c r="K79" s="431">
        <f t="shared" si="44"/>
        <v>1313070</v>
      </c>
      <c r="L79" s="432">
        <f t="shared" si="45"/>
        <v>179034.58967625003</v>
      </c>
      <c r="M79" s="419">
        <f t="shared" si="36"/>
        <v>1687604.58967625</v>
      </c>
      <c r="N79" s="431"/>
      <c r="O79" s="431"/>
      <c r="P79" s="567"/>
    </row>
    <row r="80" spans="1:16">
      <c r="A80" s="430">
        <f t="shared" si="49"/>
        <v>2030</v>
      </c>
      <c r="B80" s="420">
        <f t="shared" si="37"/>
        <v>47515</v>
      </c>
      <c r="C80" s="420">
        <f>B80+30-3</f>
        <v>47542</v>
      </c>
      <c r="D80">
        <v>1</v>
      </c>
      <c r="E80" s="431">
        <f t="shared" si="30"/>
        <v>9515</v>
      </c>
      <c r="F80" s="431">
        <f t="shared" si="31"/>
        <v>883.96506874767749</v>
      </c>
      <c r="H80" s="432">
        <f t="shared" si="47"/>
        <v>138</v>
      </c>
      <c r="I80" s="431">
        <f t="shared" si="33"/>
        <v>195499.99999999997</v>
      </c>
      <c r="J80" s="421">
        <f>J79</f>
        <v>18.816036750000002</v>
      </c>
      <c r="K80" s="431">
        <f t="shared" si="44"/>
        <v>1313070</v>
      </c>
      <c r="L80" s="432">
        <f t="shared" si="45"/>
        <v>179034.58967625003</v>
      </c>
      <c r="M80" s="419">
        <f t="shared" si="36"/>
        <v>1687604.58967625</v>
      </c>
      <c r="N80" s="431"/>
      <c r="O80" s="431"/>
      <c r="P80" s="567"/>
    </row>
    <row r="81" spans="1:16">
      <c r="A81" s="430">
        <f t="shared" si="49"/>
        <v>2030</v>
      </c>
      <c r="B81" s="420">
        <f t="shared" si="37"/>
        <v>47543</v>
      </c>
      <c r="C81" s="420">
        <f>B81+30</f>
        <v>47573</v>
      </c>
      <c r="D81">
        <v>1</v>
      </c>
      <c r="E81" s="431">
        <f t="shared" si="30"/>
        <v>9515</v>
      </c>
      <c r="F81" s="431">
        <f t="shared" si="31"/>
        <v>883.96506874767749</v>
      </c>
      <c r="H81" s="432">
        <f t="shared" si="47"/>
        <v>138</v>
      </c>
      <c r="I81" s="431">
        <f t="shared" si="33"/>
        <v>195499.99999999997</v>
      </c>
      <c r="J81" s="421">
        <f t="shared" si="42"/>
        <v>18.816036750000002</v>
      </c>
      <c r="K81" s="431">
        <f t="shared" si="44"/>
        <v>1313070</v>
      </c>
      <c r="L81" s="432">
        <f t="shared" si="45"/>
        <v>179034.58967625003</v>
      </c>
      <c r="M81" s="419">
        <f t="shared" si="36"/>
        <v>1687604.58967625</v>
      </c>
      <c r="N81" s="431"/>
      <c r="O81" s="431"/>
      <c r="P81" s="567"/>
    </row>
    <row r="82" spans="1:16">
      <c r="A82" s="430">
        <f t="shared" si="49"/>
        <v>2030</v>
      </c>
      <c r="B82" s="420">
        <f t="shared" si="37"/>
        <v>47574</v>
      </c>
      <c r="C82" s="420">
        <f>B82+30-1</f>
        <v>47603</v>
      </c>
      <c r="D82">
        <v>1</v>
      </c>
      <c r="E82" s="431">
        <f t="shared" si="30"/>
        <v>9515</v>
      </c>
      <c r="F82" s="431">
        <f t="shared" si="31"/>
        <v>883.96506874767749</v>
      </c>
      <c r="H82" s="432">
        <f t="shared" si="47"/>
        <v>138</v>
      </c>
      <c r="I82" s="431">
        <f t="shared" si="33"/>
        <v>195499.99999999997</v>
      </c>
      <c r="J82" s="421">
        <f t="shared" si="42"/>
        <v>18.816036750000002</v>
      </c>
      <c r="K82" s="431">
        <f t="shared" si="44"/>
        <v>1313070</v>
      </c>
      <c r="L82" s="432">
        <f t="shared" si="45"/>
        <v>179034.58967625003</v>
      </c>
      <c r="M82" s="419">
        <f t="shared" si="36"/>
        <v>1687604.58967625</v>
      </c>
      <c r="N82" s="431"/>
      <c r="O82" s="431"/>
      <c r="P82" s="567"/>
    </row>
    <row r="83" spans="1:16">
      <c r="A83" s="430">
        <f t="shared" si="49"/>
        <v>2030</v>
      </c>
      <c r="B83" s="420">
        <f t="shared" si="37"/>
        <v>47604</v>
      </c>
      <c r="C83" s="420">
        <f>B83+30</f>
        <v>47634</v>
      </c>
      <c r="D83">
        <v>1</v>
      </c>
      <c r="E83" s="431">
        <f t="shared" si="30"/>
        <v>9515</v>
      </c>
      <c r="F83" s="431">
        <f t="shared" si="31"/>
        <v>883.96506874767749</v>
      </c>
      <c r="H83" s="432">
        <f t="shared" si="47"/>
        <v>138</v>
      </c>
      <c r="I83" s="431">
        <f t="shared" si="33"/>
        <v>195499.99999999997</v>
      </c>
      <c r="J83" s="421">
        <f t="shared" si="42"/>
        <v>18.816036750000002</v>
      </c>
      <c r="K83" s="431">
        <f t="shared" si="44"/>
        <v>1313070</v>
      </c>
      <c r="L83" s="432">
        <f t="shared" si="45"/>
        <v>179034.58967625003</v>
      </c>
      <c r="M83" s="419">
        <f t="shared" si="36"/>
        <v>1687604.58967625</v>
      </c>
      <c r="N83" s="431"/>
      <c r="O83" s="431"/>
      <c r="P83" s="567"/>
    </row>
    <row r="84" spans="1:16">
      <c r="A84" s="430">
        <f t="shared" si="49"/>
        <v>2030</v>
      </c>
      <c r="B84" s="420">
        <f t="shared" si="37"/>
        <v>47635</v>
      </c>
      <c r="C84" s="420">
        <f>B84+30-1</f>
        <v>47664</v>
      </c>
      <c r="D84">
        <v>1</v>
      </c>
      <c r="E84" s="431">
        <f t="shared" si="30"/>
        <v>9515</v>
      </c>
      <c r="F84" s="431">
        <f t="shared" si="31"/>
        <v>883.96506874767749</v>
      </c>
      <c r="H84" s="432">
        <f t="shared" si="47"/>
        <v>138</v>
      </c>
      <c r="I84" s="431">
        <f t="shared" si="33"/>
        <v>195499.99999999997</v>
      </c>
      <c r="J84" s="421">
        <f t="shared" si="42"/>
        <v>18.816036750000002</v>
      </c>
      <c r="K84" s="431">
        <f t="shared" si="44"/>
        <v>1313070</v>
      </c>
      <c r="L84" s="432">
        <f t="shared" si="45"/>
        <v>179034.58967625003</v>
      </c>
      <c r="M84" s="419">
        <f t="shared" si="36"/>
        <v>1687604.58967625</v>
      </c>
      <c r="N84" s="431"/>
      <c r="O84" s="431"/>
      <c r="P84" s="567"/>
    </row>
    <row r="85" spans="1:16">
      <c r="A85" s="430">
        <f t="shared" si="49"/>
        <v>2030</v>
      </c>
      <c r="B85" s="420">
        <f t="shared" ref="B85:B96" si="50">C84+1</f>
        <v>47665</v>
      </c>
      <c r="C85" s="420">
        <f t="shared" ref="C85:C90" si="51">B85+30</f>
        <v>47695</v>
      </c>
      <c r="D85">
        <v>1</v>
      </c>
      <c r="E85" s="431">
        <f t="shared" si="30"/>
        <v>9515</v>
      </c>
      <c r="F85" s="431">
        <f t="shared" si="31"/>
        <v>883.96506874767749</v>
      </c>
      <c r="H85" s="432">
        <f t="shared" si="47"/>
        <v>138</v>
      </c>
      <c r="I85" s="431">
        <f t="shared" si="33"/>
        <v>195499.99999999997</v>
      </c>
      <c r="J85" s="421">
        <f t="shared" ref="J85" si="52">J84</f>
        <v>18.816036750000002</v>
      </c>
      <c r="K85" s="431">
        <f t="shared" si="44"/>
        <v>1313070</v>
      </c>
      <c r="L85" s="432">
        <f t="shared" si="45"/>
        <v>179034.58967625003</v>
      </c>
      <c r="M85" s="419">
        <f t="shared" ref="M85:M96" si="53">I85+K85+L85</f>
        <v>1687604.58967625</v>
      </c>
      <c r="N85" s="431"/>
      <c r="O85" s="431"/>
      <c r="P85" s="567"/>
    </row>
    <row r="86" spans="1:16" ht="13" thickBot="1">
      <c r="A86" s="433">
        <f t="shared" si="49"/>
        <v>2030</v>
      </c>
      <c r="B86" s="434">
        <f t="shared" si="50"/>
        <v>47696</v>
      </c>
      <c r="C86" s="434">
        <f t="shared" si="51"/>
        <v>47726</v>
      </c>
      <c r="D86" s="435">
        <v>1</v>
      </c>
      <c r="E86" s="436">
        <f t="shared" si="30"/>
        <v>9515</v>
      </c>
      <c r="F86" s="436">
        <f t="shared" si="31"/>
        <v>883.96506874767749</v>
      </c>
      <c r="G86" s="435"/>
      <c r="H86" s="437">
        <f t="shared" si="47"/>
        <v>138</v>
      </c>
      <c r="I86" s="431">
        <f t="shared" si="33"/>
        <v>195499.99999999997</v>
      </c>
      <c r="J86" s="438">
        <f t="shared" ref="J86" si="54">J85</f>
        <v>18.816036750000002</v>
      </c>
      <c r="K86" s="436">
        <f t="shared" si="44"/>
        <v>1313070</v>
      </c>
      <c r="L86" s="437">
        <f t="shared" si="45"/>
        <v>179034.58967625003</v>
      </c>
      <c r="M86" s="439">
        <f t="shared" si="53"/>
        <v>1687604.58967625</v>
      </c>
      <c r="N86" s="436"/>
      <c r="O86" s="436"/>
      <c r="P86" s="568"/>
    </row>
    <row r="87" spans="1:16">
      <c r="A87" s="423">
        <f>A86+1</f>
        <v>2031</v>
      </c>
      <c r="B87" s="424">
        <f t="shared" si="50"/>
        <v>47727</v>
      </c>
      <c r="C87" s="424">
        <f>B87+30-1</f>
        <v>47756</v>
      </c>
      <c r="D87" s="425">
        <v>1</v>
      </c>
      <c r="E87" s="426">
        <f t="shared" si="30"/>
        <v>9515</v>
      </c>
      <c r="F87" s="431">
        <f t="shared" si="31"/>
        <v>883.96506874767749</v>
      </c>
      <c r="H87" s="432">
        <f t="shared" si="47"/>
        <v>138</v>
      </c>
      <c r="I87" s="426">
        <f t="shared" si="33"/>
        <v>195499.99999999997</v>
      </c>
      <c r="J87" s="421">
        <f t="shared" ref="J87" si="55">J86</f>
        <v>18.816036750000002</v>
      </c>
      <c r="K87" s="431">
        <f t="shared" si="44"/>
        <v>1313070</v>
      </c>
      <c r="L87" s="432">
        <f t="shared" si="45"/>
        <v>179034.58967625003</v>
      </c>
      <c r="M87" s="419">
        <f t="shared" si="53"/>
        <v>1687604.58967625</v>
      </c>
      <c r="N87" s="431">
        <f>SUM(K75:K86)</f>
        <v>15756840</v>
      </c>
      <c r="O87" s="431">
        <f>SUM(L75:L86)</f>
        <v>2114313.2495100005</v>
      </c>
      <c r="P87" s="566">
        <f>SUM(I75:I86)</f>
        <v>2345999.9999999995</v>
      </c>
    </row>
    <row r="88" spans="1:16">
      <c r="A88" s="430">
        <f>A87</f>
        <v>2031</v>
      </c>
      <c r="B88" s="420">
        <f t="shared" si="50"/>
        <v>47757</v>
      </c>
      <c r="C88" s="420">
        <f t="shared" si="51"/>
        <v>47787</v>
      </c>
      <c r="D88">
        <v>1</v>
      </c>
      <c r="E88" s="431">
        <f t="shared" si="30"/>
        <v>9515</v>
      </c>
      <c r="F88" s="431">
        <f t="shared" si="31"/>
        <v>883.96506874767749</v>
      </c>
      <c r="H88" s="432">
        <f t="shared" si="47"/>
        <v>138</v>
      </c>
      <c r="I88" s="431">
        <f t="shared" si="33"/>
        <v>195499.99999999997</v>
      </c>
      <c r="J88" s="421">
        <f t="shared" ref="J88" si="56">J87</f>
        <v>18.816036750000002</v>
      </c>
      <c r="K88" s="431">
        <f t="shared" si="44"/>
        <v>1313070</v>
      </c>
      <c r="L88" s="432">
        <f t="shared" si="45"/>
        <v>179034.58967625003</v>
      </c>
      <c r="M88" s="419">
        <f t="shared" si="53"/>
        <v>1687604.58967625</v>
      </c>
      <c r="N88" s="431"/>
      <c r="O88" s="431"/>
      <c r="P88" s="567"/>
    </row>
    <row r="89" spans="1:16">
      <c r="A89" s="430">
        <f>A88</f>
        <v>2031</v>
      </c>
      <c r="B89" s="420">
        <f t="shared" si="50"/>
        <v>47788</v>
      </c>
      <c r="C89" s="420">
        <f>B89+30-1</f>
        <v>47817</v>
      </c>
      <c r="D89">
        <v>1</v>
      </c>
      <c r="E89" s="431">
        <f t="shared" si="30"/>
        <v>9515</v>
      </c>
      <c r="F89" s="431">
        <f t="shared" si="31"/>
        <v>883.96506874767749</v>
      </c>
      <c r="H89" s="432">
        <f t="shared" si="47"/>
        <v>138</v>
      </c>
      <c r="I89" s="431">
        <f t="shared" si="33"/>
        <v>195499.99999999997</v>
      </c>
      <c r="J89" s="421">
        <f t="shared" ref="J89" si="57">J88</f>
        <v>18.816036750000002</v>
      </c>
      <c r="K89" s="431">
        <f t="shared" si="44"/>
        <v>1313070</v>
      </c>
      <c r="L89" s="432">
        <f t="shared" si="45"/>
        <v>179034.58967625003</v>
      </c>
      <c r="M89" s="419">
        <f t="shared" si="53"/>
        <v>1687604.58967625</v>
      </c>
      <c r="N89" s="431"/>
      <c r="O89" s="431"/>
      <c r="P89" s="567"/>
    </row>
    <row r="90" spans="1:16">
      <c r="A90" s="430">
        <f t="shared" ref="A90:A98" si="58">A89</f>
        <v>2031</v>
      </c>
      <c r="B90" s="420">
        <f t="shared" si="50"/>
        <v>47818</v>
      </c>
      <c r="C90" s="420">
        <f t="shared" si="51"/>
        <v>47848</v>
      </c>
      <c r="D90">
        <v>1</v>
      </c>
      <c r="E90" s="431">
        <f t="shared" si="30"/>
        <v>9515</v>
      </c>
      <c r="F90" s="431">
        <f t="shared" si="31"/>
        <v>883.96506874767749</v>
      </c>
      <c r="H90" s="432">
        <f t="shared" si="47"/>
        <v>138</v>
      </c>
      <c r="I90" s="431">
        <f t="shared" si="33"/>
        <v>195499.99999999997</v>
      </c>
      <c r="J90" s="421">
        <f t="shared" ref="J90" si="59">J89</f>
        <v>18.816036750000002</v>
      </c>
      <c r="K90" s="431">
        <f t="shared" si="44"/>
        <v>1313070</v>
      </c>
      <c r="L90" s="432">
        <f t="shared" si="45"/>
        <v>179034.58967625003</v>
      </c>
      <c r="M90" s="419">
        <f t="shared" si="53"/>
        <v>1687604.58967625</v>
      </c>
      <c r="N90" s="431"/>
      <c r="O90" s="431"/>
      <c r="P90" s="567"/>
    </row>
    <row r="91" spans="1:16">
      <c r="A91" s="430">
        <f t="shared" si="58"/>
        <v>2031</v>
      </c>
      <c r="B91" s="420">
        <f t="shared" si="50"/>
        <v>47849</v>
      </c>
      <c r="C91" s="420">
        <f>B91+30</f>
        <v>47879</v>
      </c>
      <c r="D91">
        <v>1</v>
      </c>
      <c r="E91" s="431">
        <f t="shared" si="30"/>
        <v>9515</v>
      </c>
      <c r="F91" s="431">
        <f t="shared" si="31"/>
        <v>883.96506874767749</v>
      </c>
      <c r="H91" s="432">
        <f t="shared" si="47"/>
        <v>138</v>
      </c>
      <c r="I91" s="431">
        <f t="shared" si="33"/>
        <v>195499.99999999997</v>
      </c>
      <c r="J91" s="421">
        <f>J90*1.05</f>
        <v>19.756838587500003</v>
      </c>
      <c r="K91" s="431">
        <f t="shared" si="44"/>
        <v>1313070</v>
      </c>
      <c r="L91" s="432">
        <f t="shared" si="45"/>
        <v>187986.31916006253</v>
      </c>
      <c r="M91" s="419">
        <f t="shared" si="53"/>
        <v>1696556.3191600626</v>
      </c>
      <c r="N91" s="431"/>
      <c r="O91" s="431"/>
      <c r="P91" s="567"/>
    </row>
    <row r="92" spans="1:16">
      <c r="A92" s="430">
        <f t="shared" si="58"/>
        <v>2031</v>
      </c>
      <c r="B92" s="420">
        <f t="shared" si="50"/>
        <v>47880</v>
      </c>
      <c r="C92" s="420">
        <f>B92+30-3</f>
        <v>47907</v>
      </c>
      <c r="D92">
        <v>1</v>
      </c>
      <c r="E92" s="431">
        <f t="shared" si="30"/>
        <v>9515</v>
      </c>
      <c r="F92" s="431">
        <f t="shared" si="31"/>
        <v>883.96506874767749</v>
      </c>
      <c r="H92" s="432">
        <f t="shared" si="47"/>
        <v>138</v>
      </c>
      <c r="I92" s="431">
        <f t="shared" si="33"/>
        <v>195499.99999999997</v>
      </c>
      <c r="J92" s="421">
        <f>J91</f>
        <v>19.756838587500003</v>
      </c>
      <c r="K92" s="431">
        <f t="shared" si="44"/>
        <v>1313070</v>
      </c>
      <c r="L92" s="432">
        <f t="shared" si="45"/>
        <v>187986.31916006253</v>
      </c>
      <c r="M92" s="419">
        <f t="shared" si="53"/>
        <v>1696556.3191600626</v>
      </c>
      <c r="N92" s="431"/>
      <c r="O92" s="431"/>
      <c r="P92" s="567"/>
    </row>
    <row r="93" spans="1:16">
      <c r="A93" s="430">
        <f t="shared" si="58"/>
        <v>2031</v>
      </c>
      <c r="B93" s="420">
        <f t="shared" si="50"/>
        <v>47908</v>
      </c>
      <c r="C93" s="420">
        <f>B93+30</f>
        <v>47938</v>
      </c>
      <c r="D93">
        <v>1</v>
      </c>
      <c r="E93" s="431">
        <f t="shared" si="30"/>
        <v>9515</v>
      </c>
      <c r="F93" s="431">
        <f t="shared" si="31"/>
        <v>883.96506874767749</v>
      </c>
      <c r="H93" s="432">
        <f t="shared" si="47"/>
        <v>138</v>
      </c>
      <c r="I93" s="431">
        <f t="shared" si="33"/>
        <v>195499.99999999997</v>
      </c>
      <c r="J93" s="421">
        <f t="shared" ref="J93" si="60">J92</f>
        <v>19.756838587500003</v>
      </c>
      <c r="K93" s="431">
        <f t="shared" si="44"/>
        <v>1313070</v>
      </c>
      <c r="L93" s="432">
        <f t="shared" si="45"/>
        <v>187986.31916006253</v>
      </c>
      <c r="M93" s="419">
        <f t="shared" si="53"/>
        <v>1696556.3191600626</v>
      </c>
      <c r="N93" s="431"/>
      <c r="O93" s="431"/>
      <c r="P93" s="567"/>
    </row>
    <row r="94" spans="1:16">
      <c r="A94" s="430">
        <f t="shared" si="58"/>
        <v>2031</v>
      </c>
      <c r="B94" s="420">
        <f t="shared" si="50"/>
        <v>47939</v>
      </c>
      <c r="C94" s="420">
        <f>B94+30-1</f>
        <v>47968</v>
      </c>
      <c r="D94">
        <v>1</v>
      </c>
      <c r="E94" s="431">
        <f t="shared" si="30"/>
        <v>9515</v>
      </c>
      <c r="F94" s="431">
        <f t="shared" si="31"/>
        <v>883.96506874767749</v>
      </c>
      <c r="H94" s="432">
        <f t="shared" si="47"/>
        <v>138</v>
      </c>
      <c r="I94" s="431">
        <f t="shared" si="33"/>
        <v>195499.99999999997</v>
      </c>
      <c r="J94" s="421">
        <f t="shared" ref="J94" si="61">J93</f>
        <v>19.756838587500003</v>
      </c>
      <c r="K94" s="431">
        <f t="shared" si="44"/>
        <v>1313070</v>
      </c>
      <c r="L94" s="432">
        <f t="shared" si="45"/>
        <v>187986.31916006253</v>
      </c>
      <c r="M94" s="419">
        <f t="shared" si="53"/>
        <v>1696556.3191600626</v>
      </c>
      <c r="N94" s="431"/>
      <c r="O94" s="431"/>
      <c r="P94" s="567"/>
    </row>
    <row r="95" spans="1:16">
      <c r="A95" s="430">
        <f t="shared" si="58"/>
        <v>2031</v>
      </c>
      <c r="B95" s="420">
        <f t="shared" si="50"/>
        <v>47969</v>
      </c>
      <c r="C95" s="420">
        <f>B95+30</f>
        <v>47999</v>
      </c>
      <c r="D95">
        <v>1</v>
      </c>
      <c r="E95" s="431">
        <f t="shared" si="30"/>
        <v>9515</v>
      </c>
      <c r="F95" s="431">
        <f t="shared" si="31"/>
        <v>883.96506874767749</v>
      </c>
      <c r="H95" s="432">
        <f t="shared" si="47"/>
        <v>138</v>
      </c>
      <c r="I95" s="431">
        <f t="shared" si="33"/>
        <v>195499.99999999997</v>
      </c>
      <c r="J95" s="421">
        <f t="shared" ref="J95" si="62">J94</f>
        <v>19.756838587500003</v>
      </c>
      <c r="K95" s="431">
        <f t="shared" ref="K95:K102" si="63">H95*E95</f>
        <v>1313070</v>
      </c>
      <c r="L95" s="432">
        <f t="shared" ref="L95:L102" si="64">J95*E95</f>
        <v>187986.31916006253</v>
      </c>
      <c r="M95" s="419">
        <f t="shared" si="53"/>
        <v>1696556.3191600626</v>
      </c>
      <c r="N95" s="431"/>
      <c r="O95" s="431"/>
      <c r="P95" s="567"/>
    </row>
    <row r="96" spans="1:16">
      <c r="A96" s="430">
        <f t="shared" si="58"/>
        <v>2031</v>
      </c>
      <c r="B96" s="420">
        <f t="shared" si="50"/>
        <v>48000</v>
      </c>
      <c r="C96" s="420">
        <f>B96+30-1</f>
        <v>48029</v>
      </c>
      <c r="D96">
        <v>1</v>
      </c>
      <c r="E96" s="431">
        <f t="shared" si="30"/>
        <v>9515</v>
      </c>
      <c r="F96" s="431">
        <f t="shared" si="31"/>
        <v>883.96506874767749</v>
      </c>
      <c r="H96" s="432">
        <f t="shared" si="47"/>
        <v>138</v>
      </c>
      <c r="I96" s="431">
        <f t="shared" si="33"/>
        <v>195499.99999999997</v>
      </c>
      <c r="J96" s="421">
        <f t="shared" ref="J96" si="65">J95</f>
        <v>19.756838587500003</v>
      </c>
      <c r="K96" s="431">
        <f t="shared" si="63"/>
        <v>1313070</v>
      </c>
      <c r="L96" s="432">
        <f t="shared" si="64"/>
        <v>187986.31916006253</v>
      </c>
      <c r="M96" s="419">
        <f t="shared" si="53"/>
        <v>1696556.3191600626</v>
      </c>
      <c r="N96" s="431"/>
      <c r="O96" s="431"/>
      <c r="P96" s="567"/>
    </row>
    <row r="97" spans="1:18">
      <c r="A97" s="430">
        <f t="shared" si="58"/>
        <v>2031</v>
      </c>
      <c r="B97" s="420">
        <f t="shared" ref="B97:B102" si="66">C96+1</f>
        <v>48030</v>
      </c>
      <c r="C97" s="420">
        <f t="shared" ref="C97:C102" si="67">B97+30</f>
        <v>48060</v>
      </c>
      <c r="D97">
        <v>1</v>
      </c>
      <c r="E97" s="431">
        <f t="shared" ref="E97:F102" si="68">E96</f>
        <v>9515</v>
      </c>
      <c r="F97" s="431">
        <f t="shared" si="68"/>
        <v>883.96506874767749</v>
      </c>
      <c r="H97" s="432">
        <f t="shared" si="47"/>
        <v>138</v>
      </c>
      <c r="I97" s="431">
        <f t="shared" si="33"/>
        <v>195499.99999999997</v>
      </c>
      <c r="J97" s="421">
        <f t="shared" ref="J97" si="69">J96</f>
        <v>19.756838587500003</v>
      </c>
      <c r="K97" s="431">
        <f t="shared" si="63"/>
        <v>1313070</v>
      </c>
      <c r="L97" s="432">
        <f t="shared" si="64"/>
        <v>187986.31916006253</v>
      </c>
      <c r="M97" s="419">
        <f t="shared" ref="M97:M102" si="70">I97+K97+L97</f>
        <v>1696556.3191600626</v>
      </c>
      <c r="N97" s="431"/>
      <c r="O97" s="431"/>
      <c r="P97" s="567"/>
    </row>
    <row r="98" spans="1:18" ht="13" thickBot="1">
      <c r="A98" s="433">
        <f t="shared" si="58"/>
        <v>2031</v>
      </c>
      <c r="B98" s="434">
        <f t="shared" si="66"/>
        <v>48061</v>
      </c>
      <c r="C98" s="434">
        <f t="shared" si="67"/>
        <v>48091</v>
      </c>
      <c r="D98" s="435">
        <v>1</v>
      </c>
      <c r="E98" s="436">
        <f t="shared" si="68"/>
        <v>9515</v>
      </c>
      <c r="F98" s="436">
        <f t="shared" si="68"/>
        <v>883.96506874767749</v>
      </c>
      <c r="G98" s="435"/>
      <c r="H98" s="437">
        <f t="shared" si="47"/>
        <v>138</v>
      </c>
      <c r="I98" s="431">
        <f t="shared" si="47"/>
        <v>195499.99999999997</v>
      </c>
      <c r="J98" s="438">
        <f t="shared" ref="J98" si="71">J97</f>
        <v>19.756838587500003</v>
      </c>
      <c r="K98" s="436">
        <f t="shared" si="63"/>
        <v>1313070</v>
      </c>
      <c r="L98" s="437">
        <f t="shared" si="64"/>
        <v>187986.31916006253</v>
      </c>
      <c r="M98" s="439">
        <f t="shared" si="70"/>
        <v>1696556.3191600626</v>
      </c>
      <c r="N98" s="436"/>
      <c r="O98" s="436"/>
      <c r="P98" s="567"/>
    </row>
    <row r="99" spans="1:18">
      <c r="A99" s="430">
        <f>A98+1</f>
        <v>2032</v>
      </c>
      <c r="B99" s="420">
        <f t="shared" si="66"/>
        <v>48092</v>
      </c>
      <c r="C99" s="420">
        <f>B99+30-1</f>
        <v>48121</v>
      </c>
      <c r="D99">
        <v>1</v>
      </c>
      <c r="E99" s="431">
        <f t="shared" si="68"/>
        <v>9515</v>
      </c>
      <c r="F99" s="431">
        <f t="shared" si="68"/>
        <v>883.96506874767749</v>
      </c>
      <c r="H99" s="432">
        <f t="shared" si="47"/>
        <v>138</v>
      </c>
      <c r="I99" s="426">
        <f t="shared" si="47"/>
        <v>195499.99999999997</v>
      </c>
      <c r="J99" s="421">
        <f t="shared" ref="J99" si="72">J98</f>
        <v>19.756838587500003</v>
      </c>
      <c r="K99" s="431">
        <f t="shared" si="63"/>
        <v>1313070</v>
      </c>
      <c r="L99" s="432">
        <f t="shared" si="64"/>
        <v>187986.31916006253</v>
      </c>
      <c r="M99" s="419">
        <f t="shared" si="70"/>
        <v>1696556.3191600626</v>
      </c>
      <c r="N99" s="431">
        <f>SUM(K87:K98)</f>
        <v>15756840</v>
      </c>
      <c r="O99" s="431">
        <f>SUM(L87:L98)</f>
        <v>2220028.9119855007</v>
      </c>
      <c r="P99" s="569">
        <f>SUM(I87:I98)</f>
        <v>2345999.9999999995</v>
      </c>
    </row>
    <row r="100" spans="1:18">
      <c r="A100" s="430">
        <f>A99</f>
        <v>2032</v>
      </c>
      <c r="B100" s="420">
        <f t="shared" si="66"/>
        <v>48122</v>
      </c>
      <c r="C100" s="420">
        <f t="shared" si="67"/>
        <v>48152</v>
      </c>
      <c r="D100">
        <v>1</v>
      </c>
      <c r="E100" s="431">
        <f t="shared" si="68"/>
        <v>9515</v>
      </c>
      <c r="F100" s="431">
        <f t="shared" si="68"/>
        <v>883.96506874767749</v>
      </c>
      <c r="H100" s="432">
        <f t="shared" si="47"/>
        <v>138</v>
      </c>
      <c r="I100" s="431">
        <f t="shared" si="47"/>
        <v>195499.99999999997</v>
      </c>
      <c r="J100" s="421">
        <f t="shared" ref="J100" si="73">J99</f>
        <v>19.756838587500003</v>
      </c>
      <c r="K100" s="431">
        <f t="shared" si="63"/>
        <v>1313070</v>
      </c>
      <c r="L100" s="432">
        <f t="shared" si="64"/>
        <v>187986.31916006253</v>
      </c>
      <c r="M100" s="419">
        <f t="shared" si="70"/>
        <v>1696556.3191600626</v>
      </c>
      <c r="N100" s="431"/>
      <c r="O100" s="431"/>
      <c r="P100" s="567"/>
    </row>
    <row r="101" spans="1:18">
      <c r="A101" s="430">
        <f t="shared" ref="A101:A102" si="74">A100</f>
        <v>2032</v>
      </c>
      <c r="B101" s="420">
        <f t="shared" si="66"/>
        <v>48153</v>
      </c>
      <c r="C101" s="420">
        <f>B101+30-1</f>
        <v>48182</v>
      </c>
      <c r="D101">
        <v>1</v>
      </c>
      <c r="E101" s="431">
        <f t="shared" si="68"/>
        <v>9515</v>
      </c>
      <c r="F101" s="431">
        <f t="shared" si="68"/>
        <v>883.96506874767749</v>
      </c>
      <c r="H101" s="432">
        <f t="shared" si="47"/>
        <v>138</v>
      </c>
      <c r="I101" s="431">
        <f t="shared" si="47"/>
        <v>195499.99999999997</v>
      </c>
      <c r="J101" s="421">
        <f t="shared" ref="J101" si="75">J100</f>
        <v>19.756838587500003</v>
      </c>
      <c r="K101" s="431">
        <f t="shared" si="63"/>
        <v>1313070</v>
      </c>
      <c r="L101" s="432">
        <f t="shared" si="64"/>
        <v>187986.31916006253</v>
      </c>
      <c r="M101" s="419">
        <f t="shared" si="70"/>
        <v>1696556.3191600626</v>
      </c>
      <c r="N101" s="431"/>
      <c r="O101" s="431"/>
      <c r="P101" s="567"/>
    </row>
    <row r="102" spans="1:18" ht="13" thickBot="1">
      <c r="A102" s="433">
        <f t="shared" si="74"/>
        <v>2032</v>
      </c>
      <c r="B102" s="434">
        <f t="shared" si="66"/>
        <v>48183</v>
      </c>
      <c r="C102" s="434">
        <f t="shared" si="67"/>
        <v>48213</v>
      </c>
      <c r="D102" s="435">
        <v>1</v>
      </c>
      <c r="E102" s="436">
        <f t="shared" si="68"/>
        <v>9515</v>
      </c>
      <c r="F102" s="436">
        <f t="shared" si="68"/>
        <v>883.96506874767749</v>
      </c>
      <c r="G102" s="435"/>
      <c r="H102" s="437">
        <f t="shared" si="47"/>
        <v>138</v>
      </c>
      <c r="I102" s="436">
        <f t="shared" si="47"/>
        <v>195499.99999999997</v>
      </c>
      <c r="J102" s="438">
        <f t="shared" ref="J102" si="76">J101</f>
        <v>19.756838587500003</v>
      </c>
      <c r="K102" s="436">
        <f t="shared" si="63"/>
        <v>1313070</v>
      </c>
      <c r="L102" s="437">
        <f t="shared" si="64"/>
        <v>187986.31916006253</v>
      </c>
      <c r="M102" s="439">
        <f t="shared" si="70"/>
        <v>1696556.3191600626</v>
      </c>
      <c r="N102" s="436"/>
      <c r="O102" s="436"/>
      <c r="P102" s="567"/>
    </row>
    <row r="103" spans="1:18">
      <c r="I103" s="431"/>
      <c r="N103" s="431">
        <f>SUM(K99:K102)</f>
        <v>5252280</v>
      </c>
      <c r="O103" s="431">
        <f>SUM(L99:L102)</f>
        <v>751945.27664025011</v>
      </c>
      <c r="P103" s="570">
        <f>SUM(I99:I102)</f>
        <v>781999.99999999988</v>
      </c>
      <c r="Q103" s="422"/>
      <c r="R103" s="422"/>
    </row>
    <row r="104" spans="1:18">
      <c r="I104" s="418">
        <f>SUM(I31:I102)</f>
        <v>13158000</v>
      </c>
      <c r="K104" s="422">
        <f>SUM(K31:K102)</f>
        <v>88375320</v>
      </c>
      <c r="L104" s="422">
        <f>SUM(L31:L102)</f>
        <v>12022424.428335754</v>
      </c>
      <c r="M104" s="422">
        <f>SUM(M31:M102)</f>
        <v>113555744.42833564</v>
      </c>
      <c r="N104" s="422">
        <f>SUM(N31:N103)</f>
        <v>88375320</v>
      </c>
      <c r="O104" s="422">
        <f>SUM(O31:O103)</f>
        <v>12022424.428335754</v>
      </c>
      <c r="P104" s="446">
        <f>SUM(P31:P103)</f>
        <v>13158000</v>
      </c>
    </row>
    <row r="105" spans="1:18">
      <c r="K105" s="457"/>
    </row>
  </sheetData>
  <mergeCells count="1">
    <mergeCell ref="B11:C11"/>
  </mergeCells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FF00"/>
    <pageSetUpPr fitToPage="1"/>
  </sheetPr>
  <dimension ref="A1:O117"/>
  <sheetViews>
    <sheetView workbookViewId="0">
      <pane ySplit="2" topLeftCell="A65" activePane="bottomLeft" state="frozen"/>
      <selection activeCell="F34" sqref="F34"/>
      <selection pane="bottomLeft" activeCell="E89" sqref="E89"/>
    </sheetView>
  </sheetViews>
  <sheetFormatPr defaultColWidth="11.453125" defaultRowHeight="12.5" outlineLevelRow="1"/>
  <cols>
    <col min="1" max="1" width="22.54296875" style="113" customWidth="1"/>
    <col min="2" max="2" width="19.6328125" style="113" bestFit="1" customWidth="1"/>
    <col min="3" max="3" width="3.08984375" style="113" customWidth="1"/>
    <col min="4" max="4" width="24.6328125" style="113" customWidth="1"/>
    <col min="5" max="5" width="25" style="113" bestFit="1" customWidth="1"/>
    <col min="6" max="6" width="16.36328125" style="114" customWidth="1"/>
    <col min="7" max="10" width="15" style="114" bestFit="1" customWidth="1"/>
    <col min="11" max="11" width="15" style="113" bestFit="1" customWidth="1"/>
    <col min="12" max="12" width="15.08984375" style="113" bestFit="1" customWidth="1"/>
    <col min="13" max="14" width="11.453125" style="113" customWidth="1"/>
    <col min="15" max="16384" width="11.453125" style="113"/>
  </cols>
  <sheetData>
    <row r="1" spans="1:15" ht="16" thickBot="1">
      <c r="A1" s="714" t="s">
        <v>252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590"/>
    </row>
    <row r="2" spans="1:15">
      <c r="A2" s="167" t="s">
        <v>253</v>
      </c>
      <c r="B2" s="243" t="s">
        <v>254</v>
      </c>
      <c r="C2" s="251"/>
      <c r="D2" s="250" t="s">
        <v>232</v>
      </c>
      <c r="E2" s="168"/>
      <c r="F2" s="169" t="s">
        <v>316</v>
      </c>
      <c r="G2" s="169">
        <f t="shared" ref="G2:O2" si="0">F2+1</f>
        <v>2027</v>
      </c>
      <c r="H2" s="169">
        <f t="shared" si="0"/>
        <v>2028</v>
      </c>
      <c r="I2" s="169">
        <f t="shared" si="0"/>
        <v>2029</v>
      </c>
      <c r="J2" s="169">
        <f t="shared" si="0"/>
        <v>2030</v>
      </c>
      <c r="K2" s="170">
        <f t="shared" si="0"/>
        <v>2031</v>
      </c>
      <c r="L2" s="170">
        <f t="shared" si="0"/>
        <v>2032</v>
      </c>
      <c r="M2" s="168">
        <f t="shared" si="0"/>
        <v>2033</v>
      </c>
      <c r="N2" s="593">
        <f t="shared" si="0"/>
        <v>2034</v>
      </c>
      <c r="O2" s="589">
        <f t="shared" si="0"/>
        <v>2035</v>
      </c>
    </row>
    <row r="3" spans="1:15">
      <c r="A3" s="162" t="s">
        <v>255</v>
      </c>
      <c r="B3" s="244">
        <f>B6+B12+B18</f>
        <v>34000000</v>
      </c>
      <c r="C3" s="252"/>
      <c r="D3" s="161" t="s">
        <v>256</v>
      </c>
      <c r="E3" s="119">
        <f>SUM(F3:N3)</f>
        <v>72</v>
      </c>
      <c r="F3" s="116">
        <v>8</v>
      </c>
      <c r="G3" s="116">
        <v>12</v>
      </c>
      <c r="H3" s="116">
        <v>12</v>
      </c>
      <c r="I3" s="116">
        <v>12</v>
      </c>
      <c r="J3" s="116">
        <v>12</v>
      </c>
      <c r="K3" s="116">
        <v>12</v>
      </c>
      <c r="L3" s="117">
        <v>4</v>
      </c>
      <c r="M3" s="493">
        <v>0</v>
      </c>
      <c r="N3" s="493">
        <v>0</v>
      </c>
      <c r="O3" s="584">
        <v>0</v>
      </c>
    </row>
    <row r="4" spans="1:15">
      <c r="A4" s="162" t="s">
        <v>257</v>
      </c>
      <c r="B4" s="253">
        <f>+'Rent Calculation'!F29</f>
        <v>7.1099999999999997E-2</v>
      </c>
      <c r="C4" s="252"/>
      <c r="D4" s="161" t="s">
        <v>258</v>
      </c>
      <c r="E4" s="119">
        <f>E3-SUM(F3:N3)</f>
        <v>0</v>
      </c>
      <c r="F4" s="118"/>
      <c r="G4" s="118"/>
      <c r="H4" s="118"/>
      <c r="I4" s="118"/>
      <c r="J4" s="118"/>
      <c r="K4" s="115"/>
      <c r="L4" s="115"/>
      <c r="M4" s="115"/>
      <c r="N4" s="115"/>
      <c r="O4" s="591"/>
    </row>
    <row r="5" spans="1:15">
      <c r="A5" s="162"/>
      <c r="B5" s="245"/>
      <c r="C5" s="252"/>
      <c r="D5" s="161"/>
      <c r="E5" s="115"/>
      <c r="F5" s="118"/>
      <c r="G5" s="118"/>
      <c r="H5" s="118"/>
      <c r="I5" s="118"/>
      <c r="J5" s="118"/>
      <c r="K5" s="115"/>
      <c r="L5" s="115"/>
      <c r="M5" s="115"/>
      <c r="N5" s="115"/>
      <c r="O5" s="592"/>
    </row>
    <row r="6" spans="1:15">
      <c r="A6" s="162" t="s">
        <v>255</v>
      </c>
      <c r="B6" s="349">
        <v>14000000</v>
      </c>
      <c r="C6" s="252"/>
      <c r="D6" s="161" t="s">
        <v>259</v>
      </c>
      <c r="E6" s="115"/>
      <c r="F6" s="147">
        <f t="shared" ref="F6:O6" si="1">IF(F3&lt;&gt;0,$B$6/$B$7,0)</f>
        <v>2333333.3333333335</v>
      </c>
      <c r="G6" s="147">
        <f t="shared" si="1"/>
        <v>2333333.3333333335</v>
      </c>
      <c r="H6" s="147">
        <f t="shared" si="1"/>
        <v>2333333.3333333335</v>
      </c>
      <c r="I6" s="147">
        <f t="shared" si="1"/>
        <v>2333333.3333333335</v>
      </c>
      <c r="J6" s="147">
        <f t="shared" si="1"/>
        <v>2333333.3333333335</v>
      </c>
      <c r="K6" s="147">
        <f t="shared" si="1"/>
        <v>2333333.3333333335</v>
      </c>
      <c r="L6" s="147">
        <f t="shared" si="1"/>
        <v>2333333.3333333335</v>
      </c>
      <c r="M6" s="147">
        <f t="shared" si="1"/>
        <v>0</v>
      </c>
      <c r="N6" s="147">
        <f t="shared" si="1"/>
        <v>0</v>
      </c>
      <c r="O6" s="585">
        <f t="shared" si="1"/>
        <v>0</v>
      </c>
    </row>
    <row r="7" spans="1:15">
      <c r="A7" s="162" t="s">
        <v>260</v>
      </c>
      <c r="B7" s="287">
        <f>E3/12</f>
        <v>6</v>
      </c>
      <c r="C7" s="252"/>
      <c r="D7" s="161" t="s">
        <v>261</v>
      </c>
      <c r="E7" s="115"/>
      <c r="F7" s="147">
        <f>F6/12*F3</f>
        <v>1555555.5555555557</v>
      </c>
      <c r="G7" s="147">
        <f t="shared" ref="G7:O7" si="2">G6/12*G3</f>
        <v>2333333.3333333335</v>
      </c>
      <c r="H7" s="147">
        <f t="shared" si="2"/>
        <v>2333333.3333333335</v>
      </c>
      <c r="I7" s="147">
        <f t="shared" si="2"/>
        <v>2333333.3333333335</v>
      </c>
      <c r="J7" s="147">
        <f t="shared" si="2"/>
        <v>2333333.3333333335</v>
      </c>
      <c r="K7" s="147">
        <f t="shared" si="2"/>
        <v>2333333.3333333335</v>
      </c>
      <c r="L7" s="147">
        <f t="shared" si="2"/>
        <v>777777.77777777787</v>
      </c>
      <c r="M7" s="147">
        <f t="shared" si="2"/>
        <v>0</v>
      </c>
      <c r="N7" s="147">
        <f t="shared" si="2"/>
        <v>0</v>
      </c>
      <c r="O7" s="585">
        <f t="shared" si="2"/>
        <v>0</v>
      </c>
    </row>
    <row r="8" spans="1:15">
      <c r="A8" s="162"/>
      <c r="B8" s="245"/>
      <c r="C8" s="252"/>
      <c r="D8" s="161"/>
      <c r="E8" s="115"/>
      <c r="F8" s="118"/>
      <c r="G8" s="118"/>
      <c r="H8" s="118"/>
      <c r="I8" s="118"/>
      <c r="J8" s="118"/>
      <c r="K8" s="115"/>
      <c r="L8" s="115"/>
      <c r="M8" s="115"/>
      <c r="N8" s="115"/>
      <c r="O8" s="592"/>
    </row>
    <row r="9" spans="1:15">
      <c r="A9" s="162"/>
      <c r="B9" s="246"/>
      <c r="C9" s="252"/>
      <c r="D9" s="161" t="s">
        <v>256</v>
      </c>
      <c r="E9" s="119">
        <f>SUM(F9:N9)</f>
        <v>30</v>
      </c>
      <c r="F9" s="116">
        <v>8</v>
      </c>
      <c r="G9" s="116">
        <v>12</v>
      </c>
      <c r="H9" s="116">
        <v>10</v>
      </c>
      <c r="I9" s="116">
        <v>0</v>
      </c>
      <c r="J9" s="116">
        <v>0</v>
      </c>
      <c r="K9" s="116">
        <v>0</v>
      </c>
      <c r="L9" s="117">
        <v>0</v>
      </c>
      <c r="M9" s="493">
        <v>0</v>
      </c>
      <c r="N9" s="493">
        <v>0</v>
      </c>
      <c r="O9" s="584">
        <v>0</v>
      </c>
    </row>
    <row r="10" spans="1:15">
      <c r="A10" s="162"/>
      <c r="B10" s="119"/>
      <c r="C10" s="252"/>
      <c r="D10" s="161" t="s">
        <v>258</v>
      </c>
      <c r="E10" s="119">
        <v>0</v>
      </c>
      <c r="F10" s="118"/>
      <c r="G10" s="118"/>
      <c r="H10" s="118"/>
      <c r="I10" s="118"/>
      <c r="J10" s="118"/>
      <c r="K10" s="115"/>
      <c r="L10" s="115"/>
      <c r="M10" s="115"/>
      <c r="N10" s="115"/>
      <c r="O10" s="592"/>
    </row>
    <row r="11" spans="1:15">
      <c r="A11" s="162"/>
      <c r="B11" s="245"/>
      <c r="C11" s="252"/>
      <c r="D11" s="161"/>
      <c r="E11" s="115"/>
      <c r="F11" s="147"/>
      <c r="G11" s="147"/>
      <c r="H11" s="147"/>
      <c r="I11" s="147"/>
      <c r="J11" s="147"/>
      <c r="K11" s="120"/>
      <c r="L11" s="120"/>
      <c r="M11" s="115"/>
      <c r="N11" s="115"/>
      <c r="O11" s="591"/>
    </row>
    <row r="12" spans="1:15">
      <c r="A12" s="162" t="s">
        <v>255</v>
      </c>
      <c r="B12" s="246">
        <v>5000000</v>
      </c>
      <c r="C12" s="252"/>
      <c r="D12" s="161" t="s">
        <v>259</v>
      </c>
      <c r="E12" s="115"/>
      <c r="F12" s="147">
        <f t="shared" ref="F12:O12" si="3">IF(F9&lt;&gt;0,$B$12/$B$13,0)</f>
        <v>2000000</v>
      </c>
      <c r="G12" s="147">
        <f t="shared" si="3"/>
        <v>2000000</v>
      </c>
      <c r="H12" s="147">
        <f t="shared" si="3"/>
        <v>2000000</v>
      </c>
      <c r="I12" s="147">
        <f t="shared" si="3"/>
        <v>0</v>
      </c>
      <c r="J12" s="147">
        <f t="shared" si="3"/>
        <v>0</v>
      </c>
      <c r="K12" s="147">
        <f t="shared" si="3"/>
        <v>0</v>
      </c>
      <c r="L12" s="147">
        <f t="shared" si="3"/>
        <v>0</v>
      </c>
      <c r="M12" s="147">
        <f t="shared" si="3"/>
        <v>0</v>
      </c>
      <c r="N12" s="147">
        <f t="shared" si="3"/>
        <v>0</v>
      </c>
      <c r="O12" s="585">
        <f t="shared" si="3"/>
        <v>0</v>
      </c>
    </row>
    <row r="13" spans="1:15">
      <c r="A13" s="162" t="s">
        <v>260</v>
      </c>
      <c r="B13" s="287">
        <f>E9/12</f>
        <v>2.5</v>
      </c>
      <c r="C13" s="252"/>
      <c r="D13" s="161" t="s">
        <v>261</v>
      </c>
      <c r="E13" s="115"/>
      <c r="F13" s="147">
        <f>F12/12*F3</f>
        <v>1333333.3333333333</v>
      </c>
      <c r="G13" s="147">
        <f t="shared" ref="G13:O13" si="4">G12/12*G9</f>
        <v>2000000</v>
      </c>
      <c r="H13" s="147">
        <f>H12/12*H9</f>
        <v>1666666.6666666665</v>
      </c>
      <c r="I13" s="147">
        <f t="shared" si="4"/>
        <v>0</v>
      </c>
      <c r="J13" s="147">
        <f t="shared" si="4"/>
        <v>0</v>
      </c>
      <c r="K13" s="147">
        <f t="shared" si="4"/>
        <v>0</v>
      </c>
      <c r="L13" s="147">
        <f t="shared" si="4"/>
        <v>0</v>
      </c>
      <c r="M13" s="147">
        <f t="shared" si="4"/>
        <v>0</v>
      </c>
      <c r="N13" s="147">
        <f t="shared" si="4"/>
        <v>0</v>
      </c>
      <c r="O13" s="585">
        <f t="shared" si="4"/>
        <v>0</v>
      </c>
    </row>
    <row r="14" spans="1:15">
      <c r="A14" s="162"/>
      <c r="B14" s="245"/>
      <c r="C14" s="252"/>
      <c r="D14" s="161"/>
      <c r="E14" s="115"/>
      <c r="F14" s="118"/>
      <c r="G14" s="118"/>
      <c r="H14" s="118"/>
      <c r="I14" s="118"/>
      <c r="J14" s="118"/>
      <c r="K14" s="115"/>
      <c r="L14" s="115"/>
      <c r="M14" s="120"/>
      <c r="N14" s="120"/>
      <c r="O14" s="592"/>
    </row>
    <row r="15" spans="1:15">
      <c r="A15" s="162"/>
      <c r="B15" s="245"/>
      <c r="C15" s="252"/>
      <c r="D15" s="161" t="s">
        <v>256</v>
      </c>
      <c r="E15" s="119">
        <f>SUM(F15:N15)</f>
        <v>48</v>
      </c>
      <c r="F15" s="116">
        <v>8</v>
      </c>
      <c r="G15" s="116">
        <v>12</v>
      </c>
      <c r="H15" s="116">
        <v>12</v>
      </c>
      <c r="I15" s="116">
        <v>12</v>
      </c>
      <c r="J15" s="116">
        <v>4</v>
      </c>
      <c r="K15" s="117">
        <v>0</v>
      </c>
      <c r="L15" s="117">
        <v>0</v>
      </c>
      <c r="M15" s="117">
        <v>0</v>
      </c>
      <c r="N15" s="117">
        <v>0</v>
      </c>
      <c r="O15" s="586">
        <v>0</v>
      </c>
    </row>
    <row r="16" spans="1:15">
      <c r="A16" s="162"/>
      <c r="B16" s="245"/>
      <c r="C16" s="252"/>
      <c r="D16" s="161" t="s">
        <v>258</v>
      </c>
      <c r="E16" s="119">
        <f>E15-SUM(F15:N15)</f>
        <v>0</v>
      </c>
      <c r="F16" s="118"/>
      <c r="G16" s="118"/>
      <c r="H16" s="118"/>
      <c r="I16" s="118"/>
      <c r="J16" s="118"/>
      <c r="K16" s="115"/>
      <c r="L16" s="115"/>
      <c r="M16" s="115"/>
      <c r="N16" s="115"/>
      <c r="O16" s="592"/>
    </row>
    <row r="17" spans="1:15">
      <c r="A17" s="162"/>
      <c r="B17" s="245"/>
      <c r="C17" s="252"/>
      <c r="D17" s="161"/>
      <c r="E17" s="119"/>
      <c r="F17" s="118"/>
      <c r="G17" s="118"/>
      <c r="H17" s="118"/>
      <c r="I17" s="118"/>
      <c r="J17" s="118"/>
      <c r="K17" s="115"/>
      <c r="L17" s="115"/>
      <c r="M17" s="115"/>
      <c r="N17" s="115"/>
      <c r="O17" s="591"/>
    </row>
    <row r="18" spans="1:15">
      <c r="A18" s="162" t="s">
        <v>255</v>
      </c>
      <c r="B18" s="246">
        <v>15000000</v>
      </c>
      <c r="C18" s="252"/>
      <c r="D18" s="161" t="s">
        <v>259</v>
      </c>
      <c r="E18" s="285"/>
      <c r="F18" s="147">
        <f>IF(F15&lt;&gt;0,$B$18/$B$19,0)</f>
        <v>3750000</v>
      </c>
      <c r="G18" s="516">
        <f t="shared" ref="G18:O18" si="5">IF(G15&lt;&gt;0,$B$18/$B$19,0)</f>
        <v>3750000</v>
      </c>
      <c r="H18" s="516">
        <f t="shared" si="5"/>
        <v>3750000</v>
      </c>
      <c r="I18" s="516">
        <f t="shared" si="5"/>
        <v>3750000</v>
      </c>
      <c r="J18" s="516">
        <f t="shared" si="5"/>
        <v>3750000</v>
      </c>
      <c r="K18" s="516">
        <f t="shared" si="5"/>
        <v>0</v>
      </c>
      <c r="L18" s="147">
        <f t="shared" si="5"/>
        <v>0</v>
      </c>
      <c r="M18" s="147">
        <f t="shared" si="5"/>
        <v>0</v>
      </c>
      <c r="N18" s="147">
        <f t="shared" si="5"/>
        <v>0</v>
      </c>
      <c r="O18" s="585">
        <f t="shared" si="5"/>
        <v>0</v>
      </c>
    </row>
    <row r="19" spans="1:15">
      <c r="A19" s="162" t="s">
        <v>260</v>
      </c>
      <c r="B19" s="292">
        <f>E15/12</f>
        <v>4</v>
      </c>
      <c r="C19" s="252"/>
      <c r="D19" s="161" t="s">
        <v>261</v>
      </c>
      <c r="E19" s="115"/>
      <c r="F19" s="147">
        <f>F18/12*F15</f>
        <v>2500000</v>
      </c>
      <c r="G19" s="147">
        <f t="shared" ref="G19:O19" si="6">G18/12*G15</f>
        <v>3750000</v>
      </c>
      <c r="H19" s="147">
        <f t="shared" si="6"/>
        <v>3750000</v>
      </c>
      <c r="I19" s="147">
        <f t="shared" si="6"/>
        <v>3750000</v>
      </c>
      <c r="J19" s="147">
        <f t="shared" si="6"/>
        <v>1250000</v>
      </c>
      <c r="K19" s="147">
        <f t="shared" si="6"/>
        <v>0</v>
      </c>
      <c r="L19" s="147">
        <f t="shared" si="6"/>
        <v>0</v>
      </c>
      <c r="M19" s="147">
        <f t="shared" si="6"/>
        <v>0</v>
      </c>
      <c r="N19" s="147">
        <f t="shared" si="6"/>
        <v>0</v>
      </c>
      <c r="O19" s="585">
        <f t="shared" si="6"/>
        <v>0</v>
      </c>
    </row>
    <row r="20" spans="1:15">
      <c r="A20" s="162"/>
      <c r="B20" s="245"/>
      <c r="C20" s="252"/>
      <c r="D20" s="161"/>
      <c r="E20" s="115"/>
      <c r="F20" s="118"/>
      <c r="G20" s="118"/>
      <c r="H20" s="118"/>
      <c r="I20" s="118"/>
      <c r="J20" s="118"/>
      <c r="K20" s="115"/>
      <c r="L20" s="115"/>
      <c r="M20" s="120"/>
      <c r="N20" s="120"/>
      <c r="O20" s="592"/>
    </row>
    <row r="21" spans="1:15">
      <c r="A21" s="162" t="s">
        <v>262</v>
      </c>
      <c r="B21" s="517">
        <f>+'Rent Calculation'!F21</f>
        <v>9515</v>
      </c>
      <c r="C21" s="518"/>
      <c r="D21" s="519" t="s">
        <v>263</v>
      </c>
      <c r="E21" s="520"/>
      <c r="F21" s="147">
        <f>B3</f>
        <v>34000000</v>
      </c>
      <c r="G21" s="147">
        <f>F22</f>
        <v>28611111.111111112</v>
      </c>
      <c r="H21" s="147">
        <f t="shared" ref="H21:K21" si="7">G22</f>
        <v>20527777.777777776</v>
      </c>
      <c r="I21" s="147">
        <f t="shared" si="7"/>
        <v>12777777.777777776</v>
      </c>
      <c r="J21" s="147">
        <f t="shared" si="7"/>
        <v>6694444.4444444422</v>
      </c>
      <c r="K21" s="147">
        <f t="shared" si="7"/>
        <v>3111111.1111111087</v>
      </c>
      <c r="L21" s="120">
        <f>K22</f>
        <v>777777.77777777519</v>
      </c>
      <c r="M21" s="120">
        <f t="shared" ref="M21:O21" si="8">L22</f>
        <v>-2.6775524020195007E-9</v>
      </c>
      <c r="N21" s="120">
        <f t="shared" si="8"/>
        <v>-2.6775524020195007E-9</v>
      </c>
      <c r="O21" s="587">
        <f t="shared" si="8"/>
        <v>-2.6775524020195007E-9</v>
      </c>
    </row>
    <row r="22" spans="1:15">
      <c r="A22" s="162" t="s">
        <v>264</v>
      </c>
      <c r="B22" s="247">
        <f>+B21/10.764</f>
        <v>883.96506874767749</v>
      </c>
      <c r="C22" s="252"/>
      <c r="D22" s="161" t="s">
        <v>265</v>
      </c>
      <c r="E22" s="115"/>
      <c r="F22" s="147">
        <f>F21-F27</f>
        <v>28611111.111111112</v>
      </c>
      <c r="G22" s="147">
        <f>G21-G27</f>
        <v>20527777.777777776</v>
      </c>
      <c r="H22" s="147">
        <f t="shared" ref="H22:K22" si="9">H21-H27</f>
        <v>12777777.777777776</v>
      </c>
      <c r="I22" s="147">
        <f t="shared" si="9"/>
        <v>6694444.4444444422</v>
      </c>
      <c r="J22" s="147">
        <f t="shared" si="9"/>
        <v>3111111.1111111087</v>
      </c>
      <c r="K22" s="147">
        <f t="shared" si="9"/>
        <v>777777.77777777519</v>
      </c>
      <c r="L22" s="147">
        <f t="shared" ref="L22:O22" si="10">L21-L27</f>
        <v>-2.6775524020195007E-9</v>
      </c>
      <c r="M22" s="147">
        <f t="shared" si="10"/>
        <v>-2.6775524020195007E-9</v>
      </c>
      <c r="N22" s="147">
        <f t="shared" si="10"/>
        <v>-2.6775524020195007E-9</v>
      </c>
      <c r="O22" s="585">
        <f t="shared" si="10"/>
        <v>-2.6775524020195007E-9</v>
      </c>
    </row>
    <row r="23" spans="1:15">
      <c r="A23" s="162" t="s">
        <v>266</v>
      </c>
      <c r="B23" s="413" t="str">
        <f>F2</f>
        <v>2026</v>
      </c>
      <c r="C23" s="252"/>
      <c r="D23" s="161" t="s">
        <v>267</v>
      </c>
      <c r="E23" s="115"/>
      <c r="F23" s="147">
        <f>(F21+F22)/2</f>
        <v>31305555.555555556</v>
      </c>
      <c r="G23" s="147">
        <f>(G21+G22)/2</f>
        <v>24569444.444444444</v>
      </c>
      <c r="H23" s="147">
        <f t="shared" ref="H23:O23" si="11">(H21+H22)/2</f>
        <v>16652777.777777776</v>
      </c>
      <c r="I23" s="147">
        <f>(I21+I22)/2</f>
        <v>9736111.1111111082</v>
      </c>
      <c r="J23" s="147">
        <f t="shared" si="11"/>
        <v>4902777.7777777752</v>
      </c>
      <c r="K23" s="120">
        <f t="shared" si="11"/>
        <v>1944444.4444444419</v>
      </c>
      <c r="L23" s="120">
        <f t="shared" si="11"/>
        <v>388888.88888888626</v>
      </c>
      <c r="M23" s="120">
        <f t="shared" si="11"/>
        <v>-2.6775524020195007E-9</v>
      </c>
      <c r="N23" s="120">
        <f t="shared" si="11"/>
        <v>-2.6775524020195007E-9</v>
      </c>
      <c r="O23" s="587">
        <f t="shared" si="11"/>
        <v>-2.6775524020195007E-9</v>
      </c>
    </row>
    <row r="24" spans="1:15">
      <c r="A24" s="162"/>
      <c r="B24" s="245"/>
      <c r="C24" s="252"/>
      <c r="D24" s="161"/>
      <c r="E24" s="115"/>
      <c r="F24" s="147"/>
      <c r="G24" s="147"/>
      <c r="H24" s="147"/>
      <c r="I24" s="147"/>
      <c r="J24" s="147"/>
      <c r="K24" s="120"/>
      <c r="L24" s="120"/>
      <c r="M24" s="120"/>
      <c r="N24" s="120"/>
      <c r="O24" s="592"/>
    </row>
    <row r="25" spans="1:15">
      <c r="A25" s="162"/>
      <c r="B25" s="245"/>
      <c r="C25" s="252"/>
      <c r="D25" s="161"/>
      <c r="E25" s="115"/>
      <c r="F25" s="147"/>
      <c r="G25" s="147"/>
      <c r="H25" s="147"/>
      <c r="I25" s="147"/>
      <c r="J25" s="147"/>
      <c r="K25" s="120"/>
      <c r="L25" s="120"/>
      <c r="M25" s="120"/>
      <c r="N25" s="120"/>
      <c r="O25" s="591"/>
    </row>
    <row r="26" spans="1:15">
      <c r="A26" s="162"/>
      <c r="B26" s="245"/>
      <c r="C26" s="252"/>
      <c r="D26" s="161" t="s">
        <v>268</v>
      </c>
      <c r="E26" s="119">
        <f>SUM(F26:N26)</f>
        <v>5621508.333333333</v>
      </c>
      <c r="F26" s="147">
        <f>F23*$B$4/12*F3</f>
        <v>1483883.3333333333</v>
      </c>
      <c r="G26" s="147">
        <f>G23*$B$4/12*G3</f>
        <v>1746887.5</v>
      </c>
      <c r="H26" s="147">
        <f>H23*$B$4/12*H3</f>
        <v>1184012.4999999998</v>
      </c>
      <c r="I26" s="147">
        <f>I23*$B$4/12*I3</f>
        <v>692237.49999999977</v>
      </c>
      <c r="J26" s="147">
        <f t="shared" ref="J26:O26" si="12">J23*$B$4</f>
        <v>348587.49999999983</v>
      </c>
      <c r="K26" s="147">
        <f t="shared" si="12"/>
        <v>138249.99999999983</v>
      </c>
      <c r="L26" s="120">
        <f t="shared" si="12"/>
        <v>27649.999999999811</v>
      </c>
      <c r="M26" s="120">
        <f t="shared" si="12"/>
        <v>-1.903739757835865E-10</v>
      </c>
      <c r="N26" s="120">
        <f t="shared" si="12"/>
        <v>-1.903739757835865E-10</v>
      </c>
      <c r="O26" s="587">
        <f t="shared" si="12"/>
        <v>-1.903739757835865E-10</v>
      </c>
    </row>
    <row r="27" spans="1:15">
      <c r="A27" s="162" t="s">
        <v>269</v>
      </c>
      <c r="B27" s="248">
        <f>E30*E9</f>
        <v>16508961.805555558</v>
      </c>
      <c r="C27" s="252"/>
      <c r="D27" s="161" t="s">
        <v>321</v>
      </c>
      <c r="E27" s="119">
        <f>SUM(F27:N27)</f>
        <v>34000000</v>
      </c>
      <c r="F27" s="147">
        <f>F7+F13+F19</f>
        <v>5388888.888888889</v>
      </c>
      <c r="G27" s="147">
        <f t="shared" ref="G27:O27" si="13">G7+G13+G19</f>
        <v>8083333.333333334</v>
      </c>
      <c r="H27" s="147">
        <f t="shared" si="13"/>
        <v>7750000</v>
      </c>
      <c r="I27" s="147">
        <f t="shared" si="13"/>
        <v>6083333.333333334</v>
      </c>
      <c r="J27" s="147">
        <f t="shared" si="13"/>
        <v>3583333.3333333335</v>
      </c>
      <c r="K27" s="147">
        <f t="shared" si="13"/>
        <v>2333333.3333333335</v>
      </c>
      <c r="L27" s="147">
        <f t="shared" si="13"/>
        <v>777777.77777777787</v>
      </c>
      <c r="M27" s="147">
        <f t="shared" si="13"/>
        <v>0</v>
      </c>
      <c r="N27" s="147">
        <f t="shared" si="13"/>
        <v>0</v>
      </c>
      <c r="O27" s="585">
        <f t="shared" si="13"/>
        <v>0</v>
      </c>
    </row>
    <row r="28" spans="1:15">
      <c r="A28" s="162"/>
      <c r="B28" s="245"/>
      <c r="C28" s="252"/>
      <c r="D28" s="161"/>
      <c r="E28" s="115"/>
      <c r="F28" s="147"/>
      <c r="G28" s="147"/>
      <c r="H28" s="147"/>
      <c r="I28" s="147"/>
      <c r="J28" s="147"/>
      <c r="K28" s="120"/>
      <c r="L28" s="120"/>
      <c r="M28" s="120"/>
      <c r="N28" s="120"/>
      <c r="O28" s="592"/>
    </row>
    <row r="29" spans="1:15">
      <c r="A29" s="162" t="s">
        <v>271</v>
      </c>
      <c r="B29" s="249">
        <f>+E30/B21</f>
        <v>57.834863568245076</v>
      </c>
      <c r="C29" s="252"/>
      <c r="D29" s="161"/>
      <c r="E29" s="115"/>
      <c r="F29" s="147">
        <f t="shared" ref="F29:M29" si="14">SUM(F26:F28)</f>
        <v>6872772.222222222</v>
      </c>
      <c r="G29" s="147">
        <f t="shared" si="14"/>
        <v>9830220.833333334</v>
      </c>
      <c r="H29" s="147">
        <f t="shared" si="14"/>
        <v>8934012.5</v>
      </c>
      <c r="I29" s="147">
        <f t="shared" si="14"/>
        <v>6775570.833333334</v>
      </c>
      <c r="J29" s="147">
        <f t="shared" si="14"/>
        <v>3931920.8333333335</v>
      </c>
      <c r="K29" s="147">
        <f t="shared" si="14"/>
        <v>2471583.3333333335</v>
      </c>
      <c r="L29" s="147">
        <f t="shared" si="14"/>
        <v>805427.77777777764</v>
      </c>
      <c r="M29" s="147">
        <f t="shared" si="14"/>
        <v>-1.903739757835865E-10</v>
      </c>
      <c r="N29" s="147">
        <f>SUM(N26:N28)</f>
        <v>-1.903739757835865E-10</v>
      </c>
      <c r="O29" s="585">
        <f>SUM(O26:O28)</f>
        <v>-1.903739757835865E-10</v>
      </c>
    </row>
    <row r="30" spans="1:15" s="528" customFormat="1" ht="13" thickBot="1">
      <c r="A30" s="521" t="s">
        <v>272</v>
      </c>
      <c r="B30" s="522">
        <f>+E30/B22</f>
        <v>622.53447144859001</v>
      </c>
      <c r="C30" s="523"/>
      <c r="D30" s="524" t="s">
        <v>273</v>
      </c>
      <c r="E30" s="525">
        <f>IFERROR(SUM(F26:N27)/E3,0)</f>
        <v>550298.72685185191</v>
      </c>
      <c r="F30" s="526"/>
      <c r="G30" s="526"/>
      <c r="H30" s="526"/>
      <c r="I30" s="526"/>
      <c r="J30" s="526"/>
      <c r="K30" s="527"/>
      <c r="L30" s="527"/>
      <c r="M30" s="527"/>
      <c r="N30" s="527"/>
      <c r="O30" s="588"/>
    </row>
    <row r="31" spans="1:15">
      <c r="F31" s="346"/>
      <c r="G31" s="346"/>
      <c r="H31" s="346"/>
      <c r="I31" s="346"/>
    </row>
    <row r="32" spans="1:15" outlineLevel="1"/>
    <row r="33" spans="1:15" outlineLevel="1">
      <c r="A33" s="254"/>
      <c r="B33" s="354"/>
    </row>
    <row r="34" spans="1:15" ht="13" outlineLevel="1" thickBot="1">
      <c r="F34" s="346"/>
      <c r="G34" s="346"/>
      <c r="H34" s="346"/>
      <c r="I34" s="346"/>
    </row>
    <row r="35" spans="1:15" ht="16" outlineLevel="1" thickBot="1">
      <c r="A35" s="714"/>
      <c r="B35" s="715"/>
      <c r="C35" s="715"/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715"/>
      <c r="O35" s="716"/>
    </row>
    <row r="36" spans="1:15" outlineLevel="1">
      <c r="A36" s="294" t="s">
        <v>253</v>
      </c>
      <c r="B36" s="295" t="s">
        <v>40</v>
      </c>
      <c r="C36" s="251"/>
      <c r="D36" s="296" t="s">
        <v>232</v>
      </c>
      <c r="E36" s="297"/>
      <c r="F36" s="259" t="str">
        <f>F2</f>
        <v>2026</v>
      </c>
      <c r="G36" s="169">
        <f t="shared" ref="G36:O36" si="15">F36+1</f>
        <v>2027</v>
      </c>
      <c r="H36" s="169">
        <f t="shared" si="15"/>
        <v>2028</v>
      </c>
      <c r="I36" s="169">
        <f t="shared" si="15"/>
        <v>2029</v>
      </c>
      <c r="J36" s="169">
        <f t="shared" si="15"/>
        <v>2030</v>
      </c>
      <c r="K36" s="298">
        <f t="shared" si="15"/>
        <v>2031</v>
      </c>
      <c r="L36" s="298">
        <f t="shared" si="15"/>
        <v>2032</v>
      </c>
      <c r="M36" s="297">
        <f t="shared" si="15"/>
        <v>2033</v>
      </c>
      <c r="N36" s="297">
        <f t="shared" si="15"/>
        <v>2034</v>
      </c>
      <c r="O36" s="299">
        <f t="shared" si="15"/>
        <v>2035</v>
      </c>
    </row>
    <row r="37" spans="1:15" outlineLevel="1">
      <c r="A37" s="300" t="s">
        <v>255</v>
      </c>
      <c r="B37" s="244">
        <f>SUM(F38:O38)</f>
        <v>43000000</v>
      </c>
      <c r="C37" s="252"/>
      <c r="D37" s="302"/>
      <c r="E37" s="303"/>
      <c r="F37" s="118"/>
      <c r="G37" s="118"/>
      <c r="H37" s="118"/>
      <c r="I37" s="118"/>
      <c r="J37" s="118"/>
      <c r="K37" s="303"/>
      <c r="L37" s="303"/>
      <c r="M37" s="303"/>
      <c r="N37" s="303"/>
      <c r="O37" s="304"/>
    </row>
    <row r="38" spans="1:15" outlineLevel="1">
      <c r="A38" s="300" t="s">
        <v>257</v>
      </c>
      <c r="B38" s="305">
        <f>B4</f>
        <v>7.1099999999999997E-2</v>
      </c>
      <c r="C38" s="252"/>
      <c r="D38" s="306" t="s">
        <v>274</v>
      </c>
      <c r="E38" s="303"/>
      <c r="F38" s="120">
        <v>14000000</v>
      </c>
      <c r="G38" s="120">
        <v>12000000</v>
      </c>
      <c r="H38" s="120">
        <v>5000000</v>
      </c>
      <c r="I38" s="120">
        <v>6000000</v>
      </c>
      <c r="J38" s="256">
        <v>6000000</v>
      </c>
      <c r="K38" s="256"/>
      <c r="L38" s="256"/>
      <c r="M38" s="256"/>
      <c r="N38" s="256"/>
      <c r="O38" s="304"/>
    </row>
    <row r="39" spans="1:15" outlineLevel="1">
      <c r="A39" s="300"/>
      <c r="B39" s="307"/>
      <c r="C39" s="252"/>
      <c r="D39" s="302"/>
      <c r="E39" s="303"/>
      <c r="F39" s="303"/>
      <c r="G39" s="303"/>
      <c r="H39" s="303"/>
      <c r="I39" s="303"/>
      <c r="J39" s="303"/>
      <c r="K39" s="303"/>
      <c r="L39" s="303"/>
      <c r="M39" s="303"/>
      <c r="N39" s="303"/>
      <c r="O39" s="304"/>
    </row>
    <row r="40" spans="1:15" outlineLevel="1">
      <c r="A40" s="300" t="s">
        <v>255</v>
      </c>
      <c r="B40" s="308">
        <f>+F38</f>
        <v>14000000</v>
      </c>
      <c r="C40" s="252"/>
      <c r="D40" s="302" t="s">
        <v>256</v>
      </c>
      <c r="E40" s="312">
        <f>SUM(F40:O40)</f>
        <v>72</v>
      </c>
      <c r="F40" s="116">
        <v>8</v>
      </c>
      <c r="G40" s="116">
        <v>12</v>
      </c>
      <c r="H40" s="116">
        <v>12</v>
      </c>
      <c r="I40" s="116">
        <v>12</v>
      </c>
      <c r="J40" s="116">
        <v>12</v>
      </c>
      <c r="K40" s="116">
        <v>12</v>
      </c>
      <c r="L40" s="117">
        <v>4</v>
      </c>
      <c r="M40" s="309"/>
      <c r="N40" s="309"/>
      <c r="O40" s="310"/>
    </row>
    <row r="41" spans="1:15" outlineLevel="1">
      <c r="A41" s="300" t="s">
        <v>260</v>
      </c>
      <c r="B41" s="324">
        <f>E40/12</f>
        <v>6</v>
      </c>
      <c r="C41" s="252"/>
      <c r="D41" s="302" t="s">
        <v>258</v>
      </c>
      <c r="E41" s="312">
        <f>E40-SUM(F40:N40)</f>
        <v>0</v>
      </c>
      <c r="F41" s="118"/>
      <c r="G41" s="118"/>
      <c r="H41" s="118"/>
      <c r="I41" s="118"/>
      <c r="J41" s="118"/>
      <c r="K41" s="303"/>
      <c r="L41" s="303"/>
      <c r="M41" s="303"/>
      <c r="N41" s="303"/>
      <c r="O41" s="304"/>
    </row>
    <row r="42" spans="1:15" outlineLevel="1">
      <c r="A42" s="300"/>
      <c r="B42" s="311"/>
      <c r="C42" s="252"/>
      <c r="D42" s="302" t="s">
        <v>259</v>
      </c>
      <c r="E42" s="303"/>
      <c r="F42" s="118">
        <f t="shared" ref="F42:O42" si="16">IF(F40&lt;&gt;0,$F$38/$B$41,0)</f>
        <v>2333333.3333333335</v>
      </c>
      <c r="G42" s="118">
        <f t="shared" si="16"/>
        <v>2333333.3333333335</v>
      </c>
      <c r="H42" s="118">
        <f t="shared" si="16"/>
        <v>2333333.3333333335</v>
      </c>
      <c r="I42" s="118">
        <f t="shared" si="16"/>
        <v>2333333.3333333335</v>
      </c>
      <c r="J42" s="118">
        <f t="shared" si="16"/>
        <v>2333333.3333333335</v>
      </c>
      <c r="K42" s="118">
        <f t="shared" si="16"/>
        <v>2333333.3333333335</v>
      </c>
      <c r="L42" s="118">
        <f t="shared" si="16"/>
        <v>2333333.3333333335</v>
      </c>
      <c r="M42" s="118">
        <f t="shared" si="16"/>
        <v>0</v>
      </c>
      <c r="N42" s="118">
        <f t="shared" si="16"/>
        <v>0</v>
      </c>
      <c r="O42" s="118">
        <f t="shared" si="16"/>
        <v>0</v>
      </c>
    </row>
    <row r="43" spans="1:15" outlineLevel="1">
      <c r="A43" s="300"/>
      <c r="B43" s="311"/>
      <c r="C43" s="252"/>
      <c r="D43" s="302" t="s">
        <v>261</v>
      </c>
      <c r="E43" s="303"/>
      <c r="F43" s="118">
        <f>F42/12*F40</f>
        <v>1555555.5555555557</v>
      </c>
      <c r="G43" s="118">
        <f t="shared" ref="G43:O43" si="17">G42/12*G40</f>
        <v>2333333.3333333335</v>
      </c>
      <c r="H43" s="118">
        <f t="shared" si="17"/>
        <v>2333333.3333333335</v>
      </c>
      <c r="I43" s="118">
        <f t="shared" si="17"/>
        <v>2333333.3333333335</v>
      </c>
      <c r="J43" s="118">
        <f t="shared" si="17"/>
        <v>2333333.3333333335</v>
      </c>
      <c r="K43" s="118">
        <f t="shared" si="17"/>
        <v>2333333.3333333335</v>
      </c>
      <c r="L43" s="118">
        <f t="shared" si="17"/>
        <v>777777.77777777787</v>
      </c>
      <c r="M43" s="118">
        <f t="shared" si="17"/>
        <v>0</v>
      </c>
      <c r="N43" s="118">
        <f t="shared" si="17"/>
        <v>0</v>
      </c>
      <c r="O43" s="118">
        <f t="shared" si="17"/>
        <v>0</v>
      </c>
    </row>
    <row r="44" spans="1:15" outlineLevel="1">
      <c r="A44" s="300"/>
      <c r="B44" s="307"/>
      <c r="C44" s="252"/>
      <c r="D44" s="302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4"/>
    </row>
    <row r="45" spans="1:15" outlineLevel="1">
      <c r="A45" s="300" t="s">
        <v>255</v>
      </c>
      <c r="B45" s="308">
        <f>+G38</f>
        <v>12000000</v>
      </c>
      <c r="C45" s="252"/>
      <c r="D45" s="302" t="s">
        <v>256</v>
      </c>
      <c r="E45" s="312">
        <f>SUM(F45:O45)</f>
        <v>60</v>
      </c>
      <c r="F45" s="116"/>
      <c r="G45" s="116">
        <v>8</v>
      </c>
      <c r="H45" s="116">
        <v>12</v>
      </c>
      <c r="I45" s="116">
        <v>12</v>
      </c>
      <c r="J45" s="116">
        <v>12</v>
      </c>
      <c r="K45" s="116">
        <v>12</v>
      </c>
      <c r="L45" s="309">
        <v>4</v>
      </c>
      <c r="M45" s="309"/>
      <c r="N45" s="309"/>
      <c r="O45" s="310"/>
    </row>
    <row r="46" spans="1:15" outlineLevel="1">
      <c r="A46" s="300" t="s">
        <v>260</v>
      </c>
      <c r="B46" s="324">
        <f>E45/12</f>
        <v>5</v>
      </c>
      <c r="C46" s="252"/>
      <c r="D46" s="302" t="s">
        <v>258</v>
      </c>
      <c r="E46" s="312">
        <f>E45-SUM(F45:N45)</f>
        <v>0</v>
      </c>
      <c r="F46" s="118"/>
      <c r="G46" s="118"/>
      <c r="H46" s="118"/>
      <c r="I46" s="118"/>
      <c r="J46" s="118"/>
      <c r="K46" s="303"/>
      <c r="L46" s="303"/>
      <c r="M46" s="303"/>
      <c r="N46" s="303"/>
      <c r="O46" s="304"/>
    </row>
    <row r="47" spans="1:15" outlineLevel="1">
      <c r="A47" s="300"/>
      <c r="B47" s="307"/>
      <c r="C47" s="252"/>
      <c r="D47" s="302" t="s">
        <v>259</v>
      </c>
      <c r="E47" s="303"/>
      <c r="F47" s="118"/>
      <c r="G47" s="118">
        <f>IF(G45&lt;&gt;0,$G$38/($E$45/12),0)</f>
        <v>2400000</v>
      </c>
      <c r="H47" s="118">
        <f t="shared" ref="H47:O47" si="18">IF(H45&lt;&gt;0,$G$38/($E$45/12),0)</f>
        <v>2400000</v>
      </c>
      <c r="I47" s="118">
        <f t="shared" si="18"/>
        <v>2400000</v>
      </c>
      <c r="J47" s="118">
        <f t="shared" si="18"/>
        <v>2400000</v>
      </c>
      <c r="K47" s="118">
        <f t="shared" si="18"/>
        <v>2400000</v>
      </c>
      <c r="L47" s="118">
        <f t="shared" si="18"/>
        <v>2400000</v>
      </c>
      <c r="M47" s="118">
        <f t="shared" si="18"/>
        <v>0</v>
      </c>
      <c r="N47" s="118">
        <f t="shared" si="18"/>
        <v>0</v>
      </c>
      <c r="O47" s="118">
        <f t="shared" si="18"/>
        <v>0</v>
      </c>
    </row>
    <row r="48" spans="1:15" outlineLevel="1">
      <c r="A48" s="300"/>
      <c r="B48" s="248"/>
      <c r="C48" s="252"/>
      <c r="D48" s="302" t="s">
        <v>261</v>
      </c>
      <c r="E48" s="303"/>
      <c r="F48" s="118"/>
      <c r="G48" s="118">
        <f>G47/12*G45</f>
        <v>1600000</v>
      </c>
      <c r="H48" s="118">
        <f>H47/12*H45</f>
        <v>2400000</v>
      </c>
      <c r="I48" s="118">
        <f>I47/12*I45</f>
        <v>2400000</v>
      </c>
      <c r="J48" s="118">
        <f t="shared" ref="J48:K48" si="19">J47/12*J45</f>
        <v>2400000</v>
      </c>
      <c r="K48" s="118">
        <f t="shared" si="19"/>
        <v>2400000</v>
      </c>
      <c r="L48" s="118">
        <f t="shared" ref="L48:O48" si="20">L47/12*L45</f>
        <v>800000</v>
      </c>
      <c r="M48" s="118">
        <f t="shared" si="20"/>
        <v>0</v>
      </c>
      <c r="N48" s="118">
        <f t="shared" si="20"/>
        <v>0</v>
      </c>
      <c r="O48" s="118">
        <f t="shared" si="20"/>
        <v>0</v>
      </c>
    </row>
    <row r="49" spans="1:15" outlineLevel="1">
      <c r="A49" s="300"/>
      <c r="B49" s="307"/>
      <c r="C49" s="252"/>
      <c r="D49" s="302"/>
      <c r="E49" s="303"/>
      <c r="F49" s="118"/>
      <c r="G49" s="118"/>
      <c r="H49" s="118"/>
      <c r="I49" s="118"/>
      <c r="J49" s="118"/>
      <c r="K49" s="314"/>
      <c r="L49" s="314"/>
      <c r="M49" s="303"/>
      <c r="N49" s="303"/>
      <c r="O49" s="304"/>
    </row>
    <row r="50" spans="1:15" outlineLevel="1">
      <c r="A50" s="300" t="s">
        <v>255</v>
      </c>
      <c r="B50" s="308">
        <f>+H38</f>
        <v>5000000</v>
      </c>
      <c r="C50" s="252"/>
      <c r="D50" s="302" t="s">
        <v>256</v>
      </c>
      <c r="E50" s="312">
        <f>SUM(F50:O50)</f>
        <v>48</v>
      </c>
      <c r="F50" s="116"/>
      <c r="G50" s="116"/>
      <c r="H50" s="116">
        <v>8</v>
      </c>
      <c r="I50" s="116">
        <v>12</v>
      </c>
      <c r="J50" s="116">
        <v>12</v>
      </c>
      <c r="K50" s="309">
        <v>12</v>
      </c>
      <c r="L50" s="309">
        <v>4</v>
      </c>
      <c r="M50" s="309"/>
      <c r="N50" s="309"/>
      <c r="O50" s="310"/>
    </row>
    <row r="51" spans="1:15" outlineLevel="1">
      <c r="A51" s="300" t="s">
        <v>260</v>
      </c>
      <c r="B51" s="414">
        <f>E50/12</f>
        <v>4</v>
      </c>
      <c r="C51" s="252"/>
      <c r="D51" s="302" t="s">
        <v>258</v>
      </c>
      <c r="E51" s="312">
        <f>E50-SUM(F50:N50)</f>
        <v>0</v>
      </c>
      <c r="F51" s="118"/>
      <c r="G51" s="118"/>
      <c r="H51" s="118"/>
      <c r="I51" s="118"/>
      <c r="J51" s="118"/>
      <c r="K51" s="303"/>
      <c r="L51" s="303"/>
      <c r="M51" s="303"/>
      <c r="N51" s="303"/>
      <c r="O51" s="304"/>
    </row>
    <row r="52" spans="1:15" outlineLevel="1">
      <c r="A52" s="300"/>
      <c r="B52" s="307"/>
      <c r="C52" s="252"/>
      <c r="D52" s="302" t="s">
        <v>259</v>
      </c>
      <c r="E52" s="303"/>
      <c r="F52" s="118"/>
      <c r="G52" s="118"/>
      <c r="H52" s="118">
        <f>IF(H50&lt;&gt;0,$H$38/($E$50/12),0)</f>
        <v>1250000</v>
      </c>
      <c r="I52" s="118">
        <f t="shared" ref="I52:O52" si="21">IF(I50&lt;&gt;0,$H$38/($E$50/12),0)</f>
        <v>1250000</v>
      </c>
      <c r="J52" s="118">
        <f t="shared" si="21"/>
        <v>1250000</v>
      </c>
      <c r="K52" s="118">
        <f t="shared" si="21"/>
        <v>1250000</v>
      </c>
      <c r="L52" s="118">
        <f t="shared" si="21"/>
        <v>1250000</v>
      </c>
      <c r="M52" s="118">
        <f t="shared" si="21"/>
        <v>0</v>
      </c>
      <c r="N52" s="118">
        <f t="shared" si="21"/>
        <v>0</v>
      </c>
      <c r="O52" s="118">
        <f t="shared" si="21"/>
        <v>0</v>
      </c>
    </row>
    <row r="53" spans="1:15" outlineLevel="1">
      <c r="A53" s="300"/>
      <c r="B53" s="307"/>
      <c r="C53" s="252"/>
      <c r="D53" s="302" t="s">
        <v>261</v>
      </c>
      <c r="E53" s="303"/>
      <c r="F53" s="118"/>
      <c r="G53" s="118"/>
      <c r="H53" s="118">
        <f t="shared" ref="H53:O53" si="22">H52/12*H50</f>
        <v>833333.33333333337</v>
      </c>
      <c r="I53" s="118">
        <f t="shared" si="22"/>
        <v>1250000</v>
      </c>
      <c r="J53" s="118">
        <f t="shared" si="22"/>
        <v>1250000</v>
      </c>
      <c r="K53" s="118">
        <f t="shared" si="22"/>
        <v>1250000</v>
      </c>
      <c r="L53" s="118">
        <f t="shared" si="22"/>
        <v>416666.66666666669</v>
      </c>
      <c r="M53" s="118">
        <f t="shared" si="22"/>
        <v>0</v>
      </c>
      <c r="N53" s="118">
        <f t="shared" si="22"/>
        <v>0</v>
      </c>
      <c r="O53" s="118">
        <f t="shared" si="22"/>
        <v>0</v>
      </c>
    </row>
    <row r="54" spans="1:15" outlineLevel="1">
      <c r="A54" s="300"/>
      <c r="B54" s="307"/>
      <c r="C54" s="301"/>
      <c r="D54" s="302"/>
      <c r="E54" s="303"/>
      <c r="F54" s="118"/>
      <c r="G54" s="118"/>
      <c r="H54" s="118"/>
      <c r="I54" s="118"/>
      <c r="J54" s="118"/>
      <c r="K54" s="303"/>
      <c r="L54" s="303"/>
      <c r="M54" s="314"/>
      <c r="N54" s="314"/>
      <c r="O54" s="304"/>
    </row>
    <row r="55" spans="1:15" outlineLevel="1">
      <c r="A55" s="300" t="s">
        <v>255</v>
      </c>
      <c r="B55" s="308">
        <f>+I38</f>
        <v>6000000</v>
      </c>
      <c r="C55" s="301"/>
      <c r="D55" s="302" t="s">
        <v>256</v>
      </c>
      <c r="E55" s="312">
        <f>SUM(F55:O55)</f>
        <v>36</v>
      </c>
      <c r="F55" s="116"/>
      <c r="G55" s="116"/>
      <c r="H55" s="116"/>
      <c r="I55" s="116">
        <v>8</v>
      </c>
      <c r="J55" s="116">
        <v>12</v>
      </c>
      <c r="K55" s="116">
        <v>12</v>
      </c>
      <c r="L55" s="116">
        <v>4</v>
      </c>
      <c r="M55" s="309">
        <v>0</v>
      </c>
      <c r="N55" s="309"/>
      <c r="O55" s="310"/>
    </row>
    <row r="56" spans="1:15" outlineLevel="1">
      <c r="A56" s="300" t="s">
        <v>260</v>
      </c>
      <c r="B56" s="456">
        <f>E55/12</f>
        <v>3</v>
      </c>
      <c r="C56" s="301"/>
      <c r="D56" s="302" t="s">
        <v>258</v>
      </c>
      <c r="E56" s="312">
        <f>E55-SUM(F55:N55)</f>
        <v>0</v>
      </c>
      <c r="F56" s="118"/>
      <c r="G56" s="118"/>
      <c r="H56" s="118"/>
      <c r="I56" s="118"/>
      <c r="J56" s="118"/>
      <c r="K56" s="303"/>
      <c r="L56" s="303"/>
      <c r="M56" s="303"/>
      <c r="N56" s="303"/>
      <c r="O56" s="304"/>
    </row>
    <row r="57" spans="1:15" outlineLevel="1">
      <c r="A57" s="300"/>
      <c r="B57" s="307"/>
      <c r="C57" s="301"/>
      <c r="D57" s="302" t="s">
        <v>259</v>
      </c>
      <c r="E57" s="303"/>
      <c r="F57" s="118"/>
      <c r="G57" s="118"/>
      <c r="H57" s="118"/>
      <c r="I57" s="118">
        <f>IF(I55&lt;&gt;0,$I$38/($E$55/12),0)</f>
        <v>2000000</v>
      </c>
      <c r="J57" s="118">
        <f t="shared" ref="J57:O57" si="23">IF(J55&lt;&gt;0,$I$38/($E$55/12),0)</f>
        <v>2000000</v>
      </c>
      <c r="K57" s="118">
        <f t="shared" si="23"/>
        <v>2000000</v>
      </c>
      <c r="L57" s="118">
        <f t="shared" si="23"/>
        <v>2000000</v>
      </c>
      <c r="M57" s="118">
        <f t="shared" si="23"/>
        <v>0</v>
      </c>
      <c r="N57" s="118">
        <f t="shared" si="23"/>
        <v>0</v>
      </c>
      <c r="O57" s="118">
        <f t="shared" si="23"/>
        <v>0</v>
      </c>
    </row>
    <row r="58" spans="1:15" outlineLevel="1">
      <c r="A58" s="300"/>
      <c r="B58" s="307"/>
      <c r="C58" s="301"/>
      <c r="D58" s="302" t="s">
        <v>261</v>
      </c>
      <c r="E58" s="303"/>
      <c r="F58" s="118"/>
      <c r="G58" s="118"/>
      <c r="H58" s="118"/>
      <c r="I58" s="118">
        <f t="shared" ref="I58:O58" si="24">I57/12*I55</f>
        <v>1333333.3333333333</v>
      </c>
      <c r="J58" s="118">
        <f t="shared" si="24"/>
        <v>2000000</v>
      </c>
      <c r="K58" s="118">
        <f t="shared" si="24"/>
        <v>2000000</v>
      </c>
      <c r="L58" s="118">
        <f t="shared" si="24"/>
        <v>666666.66666666663</v>
      </c>
      <c r="M58" s="118">
        <f t="shared" si="24"/>
        <v>0</v>
      </c>
      <c r="N58" s="118">
        <f t="shared" si="24"/>
        <v>0</v>
      </c>
      <c r="O58" s="118">
        <f t="shared" si="24"/>
        <v>0</v>
      </c>
    </row>
    <row r="59" spans="1:15" outlineLevel="1">
      <c r="A59" s="300"/>
      <c r="B59" s="307"/>
      <c r="C59" s="301"/>
      <c r="D59" s="302"/>
      <c r="E59" s="303"/>
      <c r="F59" s="118"/>
      <c r="G59" s="118"/>
      <c r="H59" s="118"/>
      <c r="I59" s="118"/>
      <c r="J59" s="118"/>
      <c r="K59" s="303"/>
      <c r="L59" s="303"/>
      <c r="M59" s="314"/>
      <c r="N59" s="314"/>
      <c r="O59" s="304"/>
    </row>
    <row r="60" spans="1:15" outlineLevel="1">
      <c r="A60" s="300" t="s">
        <v>255</v>
      </c>
      <c r="B60" s="308">
        <f>J38</f>
        <v>6000000</v>
      </c>
      <c r="C60" s="301"/>
      <c r="D60" s="302" t="s">
        <v>256</v>
      </c>
      <c r="E60" s="312">
        <f>SUM(F60:O60)</f>
        <v>24</v>
      </c>
      <c r="F60" s="116"/>
      <c r="G60" s="116"/>
      <c r="H60" s="116"/>
      <c r="I60" s="116"/>
      <c r="J60" s="116">
        <v>8</v>
      </c>
      <c r="K60" s="116">
        <v>12</v>
      </c>
      <c r="L60" s="116">
        <v>4</v>
      </c>
      <c r="M60" s="116">
        <v>0</v>
      </c>
      <c r="N60" s="116">
        <v>0</v>
      </c>
      <c r="O60" s="310">
        <v>0</v>
      </c>
    </row>
    <row r="61" spans="1:15" outlineLevel="1">
      <c r="A61" s="300" t="s">
        <v>260</v>
      </c>
      <c r="B61" s="456">
        <f>E60/12</f>
        <v>2</v>
      </c>
      <c r="C61" s="301"/>
      <c r="D61" s="302" t="s">
        <v>258</v>
      </c>
      <c r="E61" s="312">
        <f>E60-SUM(F60:O60)</f>
        <v>0</v>
      </c>
      <c r="F61" s="118"/>
      <c r="G61" s="118"/>
      <c r="H61" s="118"/>
      <c r="I61" s="118"/>
      <c r="J61" s="118"/>
      <c r="K61" s="303"/>
      <c r="L61" s="303"/>
      <c r="M61" s="303"/>
      <c r="N61" s="303"/>
      <c r="O61" s="304"/>
    </row>
    <row r="62" spans="1:15" outlineLevel="1">
      <c r="A62" s="300"/>
      <c r="B62" s="307"/>
      <c r="C62" s="301"/>
      <c r="D62" s="302" t="s">
        <v>259</v>
      </c>
      <c r="E62" s="303"/>
      <c r="F62" s="118"/>
      <c r="G62" s="118"/>
      <c r="H62" s="118"/>
      <c r="I62" s="118"/>
      <c r="J62" s="118">
        <f>IF(J60&lt;&gt;0,$I$38/($E$60/12),0)</f>
        <v>3000000</v>
      </c>
      <c r="K62" s="118">
        <f t="shared" ref="K62:L62" si="25">IF(K60&lt;&gt;0,$I$38/($E$60/12),0)</f>
        <v>3000000</v>
      </c>
      <c r="L62" s="118">
        <f t="shared" si="25"/>
        <v>3000000</v>
      </c>
      <c r="M62" s="118">
        <f t="shared" ref="M62:O62" si="26">IF(M60&lt;&gt;0,$J$38/$B$41,0)</f>
        <v>0</v>
      </c>
      <c r="N62" s="118">
        <f t="shared" si="26"/>
        <v>0</v>
      </c>
      <c r="O62" s="118">
        <f t="shared" si="26"/>
        <v>0</v>
      </c>
    </row>
    <row r="63" spans="1:15" outlineLevel="1">
      <c r="A63" s="300"/>
      <c r="B63" s="307"/>
      <c r="C63" s="301"/>
      <c r="D63" s="302" t="s">
        <v>261</v>
      </c>
      <c r="E63" s="303"/>
      <c r="F63" s="118"/>
      <c r="G63" s="118"/>
      <c r="H63" s="118"/>
      <c r="I63" s="118"/>
      <c r="J63" s="118">
        <f t="shared" ref="J63:O63" si="27">J62/12*J60</f>
        <v>2000000</v>
      </c>
      <c r="K63" s="118">
        <f t="shared" si="27"/>
        <v>3000000</v>
      </c>
      <c r="L63" s="118">
        <f t="shared" si="27"/>
        <v>1000000</v>
      </c>
      <c r="M63" s="118">
        <f t="shared" si="27"/>
        <v>0</v>
      </c>
      <c r="N63" s="118">
        <f t="shared" si="27"/>
        <v>0</v>
      </c>
      <c r="O63" s="118">
        <f t="shared" si="27"/>
        <v>0</v>
      </c>
    </row>
    <row r="64" spans="1:15" outlineLevel="1">
      <c r="A64" s="300"/>
      <c r="B64" s="307"/>
      <c r="C64" s="301"/>
      <c r="D64" s="302"/>
      <c r="E64" s="303"/>
      <c r="F64" s="118"/>
      <c r="G64" s="118"/>
      <c r="H64" s="118"/>
      <c r="I64" s="118"/>
      <c r="J64" s="118"/>
      <c r="K64" s="303"/>
      <c r="L64" s="303"/>
      <c r="M64" s="314"/>
      <c r="N64" s="314"/>
      <c r="O64" s="304"/>
    </row>
    <row r="65" spans="1:15" outlineLevel="1">
      <c r="A65" s="300" t="s">
        <v>255</v>
      </c>
      <c r="B65" s="308">
        <f>+K38</f>
        <v>0</v>
      </c>
      <c r="C65" s="301"/>
      <c r="D65" s="302" t="s">
        <v>256</v>
      </c>
      <c r="E65" s="312">
        <f>SUM(F65:O65)</f>
        <v>0</v>
      </c>
      <c r="F65" s="116"/>
      <c r="G65" s="116"/>
      <c r="H65" s="116"/>
      <c r="I65" s="116"/>
      <c r="J65" s="116"/>
      <c r="K65" s="309">
        <v>0</v>
      </c>
      <c r="L65" s="309">
        <v>0</v>
      </c>
      <c r="M65" s="309">
        <v>0</v>
      </c>
      <c r="N65" s="309">
        <v>0</v>
      </c>
      <c r="O65" s="309">
        <v>0</v>
      </c>
    </row>
    <row r="66" spans="1:15" outlineLevel="1">
      <c r="A66" s="300" t="s">
        <v>260</v>
      </c>
      <c r="B66" s="311"/>
      <c r="C66" s="301"/>
      <c r="D66" s="302" t="s">
        <v>258</v>
      </c>
      <c r="E66" s="312">
        <f>E65-SUM(F65:O65)</f>
        <v>0</v>
      </c>
      <c r="F66" s="118"/>
      <c r="G66" s="118"/>
      <c r="H66" s="118"/>
      <c r="I66" s="118"/>
      <c r="J66" s="118"/>
      <c r="K66" s="303"/>
      <c r="L66" s="303"/>
      <c r="M66" s="303"/>
      <c r="N66" s="303"/>
      <c r="O66" s="304"/>
    </row>
    <row r="67" spans="1:15" outlineLevel="1">
      <c r="A67" s="300"/>
      <c r="B67" s="307"/>
      <c r="C67" s="301"/>
      <c r="D67" s="302" t="s">
        <v>259</v>
      </c>
      <c r="E67" s="303"/>
      <c r="F67" s="118"/>
      <c r="G67" s="118"/>
      <c r="H67" s="118"/>
      <c r="I67" s="118"/>
      <c r="J67" s="118"/>
      <c r="K67" s="118">
        <f>IF(K65&lt;&gt;0,$K$38/$B$41,0)</f>
        <v>0</v>
      </c>
      <c r="L67" s="118">
        <f t="shared" ref="L67:O67" si="28">IF(L65&lt;&gt;0,$K$38/$B$41,0)</f>
        <v>0</v>
      </c>
      <c r="M67" s="118">
        <f t="shared" si="28"/>
        <v>0</v>
      </c>
      <c r="N67" s="118">
        <f t="shared" si="28"/>
        <v>0</v>
      </c>
      <c r="O67" s="118">
        <f t="shared" si="28"/>
        <v>0</v>
      </c>
    </row>
    <row r="68" spans="1:15" outlineLevel="1">
      <c r="A68" s="300"/>
      <c r="B68" s="307"/>
      <c r="C68" s="301"/>
      <c r="D68" s="302" t="s">
        <v>261</v>
      </c>
      <c r="E68" s="303"/>
      <c r="F68" s="118"/>
      <c r="G68" s="118"/>
      <c r="H68" s="118"/>
      <c r="I68" s="118"/>
      <c r="J68" s="118"/>
      <c r="K68" s="118">
        <f>K67/12*K65</f>
        <v>0</v>
      </c>
      <c r="L68" s="118">
        <f t="shared" ref="L68:O68" si="29">L67/12*L65</f>
        <v>0</v>
      </c>
      <c r="M68" s="118">
        <f t="shared" si="29"/>
        <v>0</v>
      </c>
      <c r="N68" s="118">
        <f t="shared" si="29"/>
        <v>0</v>
      </c>
      <c r="O68" s="118">
        <f t="shared" si="29"/>
        <v>0</v>
      </c>
    </row>
    <row r="69" spans="1:15" outlineLevel="1">
      <c r="A69" s="300"/>
      <c r="B69" s="307"/>
      <c r="C69" s="301"/>
      <c r="D69" s="302"/>
      <c r="E69" s="303"/>
      <c r="F69" s="118"/>
      <c r="G69" s="118"/>
      <c r="H69" s="118"/>
      <c r="I69" s="118"/>
      <c r="J69" s="118"/>
      <c r="K69" s="303"/>
      <c r="L69" s="303"/>
      <c r="M69" s="314"/>
      <c r="N69" s="314"/>
      <c r="O69" s="315"/>
    </row>
    <row r="70" spans="1:15" outlineLevel="1">
      <c r="A70" s="300" t="s">
        <v>255</v>
      </c>
      <c r="B70" s="308">
        <f>+L38</f>
        <v>0</v>
      </c>
      <c r="C70" s="301"/>
      <c r="D70" s="302" t="s">
        <v>256</v>
      </c>
      <c r="E70" s="312">
        <f>SUM(F70:O70)</f>
        <v>0</v>
      </c>
      <c r="F70" s="116"/>
      <c r="G70" s="116"/>
      <c r="H70" s="116"/>
      <c r="I70" s="116"/>
      <c r="J70" s="116"/>
      <c r="K70" s="309"/>
      <c r="L70" s="309">
        <v>0</v>
      </c>
      <c r="M70" s="309">
        <v>0</v>
      </c>
      <c r="N70" s="309">
        <v>0</v>
      </c>
      <c r="O70" s="310">
        <v>0</v>
      </c>
    </row>
    <row r="71" spans="1:15" outlineLevel="1">
      <c r="A71" s="300" t="s">
        <v>260</v>
      </c>
      <c r="B71" s="311"/>
      <c r="C71" s="301"/>
      <c r="D71" s="302" t="s">
        <v>258</v>
      </c>
      <c r="E71" s="312">
        <f>E70-SUM(F70:O70)</f>
        <v>0</v>
      </c>
      <c r="F71" s="118"/>
      <c r="G71" s="118"/>
      <c r="H71" s="118"/>
      <c r="I71" s="118"/>
      <c r="J71" s="118"/>
      <c r="K71" s="303"/>
      <c r="L71" s="303"/>
      <c r="M71" s="303"/>
      <c r="N71" s="303"/>
      <c r="O71" s="304"/>
    </row>
    <row r="72" spans="1:15" outlineLevel="1">
      <c r="A72" s="300"/>
      <c r="B72" s="307"/>
      <c r="C72" s="301"/>
      <c r="D72" s="302" t="s">
        <v>259</v>
      </c>
      <c r="E72" s="303"/>
      <c r="F72" s="118"/>
      <c r="G72" s="118"/>
      <c r="H72" s="118"/>
      <c r="I72" s="118"/>
      <c r="J72" s="118"/>
      <c r="K72" s="118"/>
      <c r="L72" s="118">
        <f>IF(L70&lt;&gt;0,$L$38/$B$41,0)</f>
        <v>0</v>
      </c>
      <c r="M72" s="118">
        <f>IF(M70&lt;&gt;0,$L$38/$B$41,0)</f>
        <v>0</v>
      </c>
      <c r="N72" s="118">
        <f>IF(N70&lt;&gt;0,$L$38/$B$41,0)</f>
        <v>0</v>
      </c>
      <c r="O72" s="118">
        <f t="shared" ref="O72" si="30">IF(O70&lt;&gt;0,$K$38/$B$41,0)</f>
        <v>0</v>
      </c>
    </row>
    <row r="73" spans="1:15" outlineLevel="1">
      <c r="A73" s="300"/>
      <c r="B73" s="307"/>
      <c r="C73" s="301"/>
      <c r="D73" s="302" t="s">
        <v>261</v>
      </c>
      <c r="E73" s="303"/>
      <c r="F73" s="118"/>
      <c r="G73" s="118"/>
      <c r="H73" s="118"/>
      <c r="I73" s="118"/>
      <c r="J73" s="118"/>
      <c r="K73" s="118"/>
      <c r="L73" s="118">
        <f>L72/12*L70</f>
        <v>0</v>
      </c>
      <c r="M73" s="118">
        <f>M72/12*M70</f>
        <v>0</v>
      </c>
      <c r="N73" s="118">
        <f>N72/12*N70</f>
        <v>0</v>
      </c>
      <c r="O73" s="118">
        <f t="shared" ref="O73" si="31">O72/12*O70</f>
        <v>0</v>
      </c>
    </row>
    <row r="74" spans="1:15" outlineLevel="1">
      <c r="A74" s="300"/>
      <c r="B74" s="307"/>
      <c r="C74" s="301"/>
      <c r="D74" s="302"/>
      <c r="E74" s="303"/>
      <c r="F74" s="118"/>
      <c r="G74" s="118"/>
      <c r="H74" s="118"/>
      <c r="I74" s="118"/>
      <c r="J74" s="118"/>
      <c r="K74" s="303"/>
      <c r="L74" s="303"/>
      <c r="M74" s="314"/>
      <c r="N74" s="314"/>
      <c r="O74" s="315"/>
    </row>
    <row r="75" spans="1:15" outlineLevel="1">
      <c r="A75" s="300" t="s">
        <v>255</v>
      </c>
      <c r="B75" s="308">
        <f>+M38</f>
        <v>0</v>
      </c>
      <c r="C75" s="301"/>
      <c r="D75" s="302" t="s">
        <v>256</v>
      </c>
      <c r="E75" s="312">
        <f>SUM(F75:O75)</f>
        <v>0</v>
      </c>
      <c r="F75" s="116"/>
      <c r="G75" s="116"/>
      <c r="H75" s="116"/>
      <c r="I75" s="116"/>
      <c r="J75" s="116"/>
      <c r="K75" s="309"/>
      <c r="L75" s="309"/>
      <c r="M75" s="309">
        <v>0</v>
      </c>
      <c r="N75" s="309">
        <v>0</v>
      </c>
      <c r="O75" s="310">
        <v>0</v>
      </c>
    </row>
    <row r="76" spans="1:15" outlineLevel="1">
      <c r="A76" s="300" t="s">
        <v>260</v>
      </c>
      <c r="B76" s="311"/>
      <c r="C76" s="301"/>
      <c r="D76" s="302" t="s">
        <v>258</v>
      </c>
      <c r="E76" s="312">
        <f>E75-SUM(F75:O75)</f>
        <v>0</v>
      </c>
      <c r="F76" s="118"/>
      <c r="G76" s="118"/>
      <c r="H76" s="118"/>
      <c r="I76" s="118"/>
      <c r="J76" s="118"/>
      <c r="K76" s="303"/>
      <c r="L76" s="303"/>
      <c r="M76" s="303"/>
      <c r="N76" s="303"/>
      <c r="O76" s="304"/>
    </row>
    <row r="77" spans="1:15" outlineLevel="1">
      <c r="A77" s="300"/>
      <c r="B77" s="307"/>
      <c r="C77" s="301"/>
      <c r="D77" s="302" t="s">
        <v>259</v>
      </c>
      <c r="E77" s="303"/>
      <c r="F77" s="118"/>
      <c r="G77" s="118"/>
      <c r="H77" s="118"/>
      <c r="I77" s="118"/>
      <c r="J77" s="118"/>
      <c r="K77" s="118"/>
      <c r="L77" s="118"/>
      <c r="M77" s="118">
        <f>IF(M75&lt;&gt;0,$M$38/$B$41,0)</f>
        <v>0</v>
      </c>
      <c r="N77" s="118">
        <f>IF(N75&lt;&gt;0,$M$38/$B$41,0)</f>
        <v>0</v>
      </c>
      <c r="O77" s="118">
        <f t="shared" ref="O77" si="32">IF(O75&lt;&gt;0,$K$38/$B$41,0)</f>
        <v>0</v>
      </c>
    </row>
    <row r="78" spans="1:15" outlineLevel="1">
      <c r="A78" s="300"/>
      <c r="B78" s="307"/>
      <c r="C78" s="301"/>
      <c r="D78" s="302" t="s">
        <v>261</v>
      </c>
      <c r="E78" s="303"/>
      <c r="F78" s="118"/>
      <c r="G78" s="118"/>
      <c r="H78" s="118"/>
      <c r="I78" s="118"/>
      <c r="J78" s="118"/>
      <c r="K78" s="118"/>
      <c r="L78" s="118"/>
      <c r="M78" s="118">
        <f>M77/12*M75</f>
        <v>0</v>
      </c>
      <c r="N78" s="118">
        <f>N77/12*N75</f>
        <v>0</v>
      </c>
      <c r="O78" s="118">
        <f t="shared" ref="O78" si="33">O77/12*O75</f>
        <v>0</v>
      </c>
    </row>
    <row r="79" spans="1:15" outlineLevel="1">
      <c r="A79" s="300"/>
      <c r="B79" s="307"/>
      <c r="C79" s="301"/>
      <c r="D79" s="302"/>
      <c r="E79" s="303"/>
      <c r="F79" s="118"/>
      <c r="G79" s="118"/>
      <c r="H79" s="118"/>
      <c r="I79" s="118"/>
      <c r="J79" s="118"/>
      <c r="K79" s="303"/>
      <c r="L79" s="303"/>
      <c r="M79" s="314"/>
      <c r="N79" s="314"/>
      <c r="O79" s="315"/>
    </row>
    <row r="80" spans="1:15" outlineLevel="1">
      <c r="A80" s="300" t="s">
        <v>255</v>
      </c>
      <c r="B80" s="308">
        <f>+N38</f>
        <v>0</v>
      </c>
      <c r="C80" s="301"/>
      <c r="D80" s="302" t="s">
        <v>256</v>
      </c>
      <c r="E80" s="312">
        <f>SUM(F80:O80)</f>
        <v>0</v>
      </c>
      <c r="F80" s="116"/>
      <c r="G80" s="116"/>
      <c r="H80" s="116"/>
      <c r="I80" s="116"/>
      <c r="J80" s="116"/>
      <c r="K80" s="309"/>
      <c r="L80" s="309"/>
      <c r="M80" s="309"/>
      <c r="N80" s="309">
        <v>0</v>
      </c>
      <c r="O80" s="310">
        <v>0</v>
      </c>
    </row>
    <row r="81" spans="1:15" outlineLevel="1">
      <c r="A81" s="300" t="s">
        <v>260</v>
      </c>
      <c r="B81" s="311"/>
      <c r="C81" s="301"/>
      <c r="D81" s="302" t="s">
        <v>258</v>
      </c>
      <c r="E81" s="312">
        <f>E80-SUM(F80:O80)</f>
        <v>0</v>
      </c>
      <c r="F81" s="118"/>
      <c r="G81" s="118"/>
      <c r="H81" s="118"/>
      <c r="I81" s="118"/>
      <c r="J81" s="118"/>
      <c r="K81" s="303"/>
      <c r="L81" s="303"/>
      <c r="M81" s="303"/>
      <c r="N81" s="303"/>
      <c r="O81" s="304"/>
    </row>
    <row r="82" spans="1:15" outlineLevel="1">
      <c r="A82" s="300"/>
      <c r="B82" s="307"/>
      <c r="C82" s="301"/>
      <c r="D82" s="302" t="s">
        <v>259</v>
      </c>
      <c r="E82" s="303"/>
      <c r="F82" s="118"/>
      <c r="G82" s="118"/>
      <c r="H82" s="118"/>
      <c r="I82" s="118"/>
      <c r="J82" s="118"/>
      <c r="K82" s="118"/>
      <c r="L82" s="118"/>
      <c r="M82" s="118"/>
      <c r="N82" s="118">
        <f>IF(N80&lt;&gt;0,$M$38/$B$41,0)</f>
        <v>0</v>
      </c>
      <c r="O82" s="118">
        <f t="shared" ref="O82" si="34">IF(O80&lt;&gt;0,$K$38/$B$41,0)</f>
        <v>0</v>
      </c>
    </row>
    <row r="83" spans="1:15" outlineLevel="1">
      <c r="A83" s="300"/>
      <c r="B83" s="307"/>
      <c r="C83" s="301"/>
      <c r="D83" s="302" t="s">
        <v>261</v>
      </c>
      <c r="E83" s="303"/>
      <c r="F83" s="118"/>
      <c r="G83" s="118"/>
      <c r="H83" s="118"/>
      <c r="I83" s="118"/>
      <c r="J83" s="118"/>
      <c r="K83" s="118"/>
      <c r="L83" s="118"/>
      <c r="M83" s="118"/>
      <c r="N83" s="118">
        <f>N82/12*N80</f>
        <v>0</v>
      </c>
      <c r="O83" s="118">
        <f t="shared" ref="O83" si="35">O82/12*O80</f>
        <v>0</v>
      </c>
    </row>
    <row r="84" spans="1:15" outlineLevel="1">
      <c r="A84" s="300"/>
      <c r="B84" s="307"/>
      <c r="C84" s="301"/>
      <c r="D84" s="302"/>
      <c r="E84" s="303"/>
      <c r="F84" s="118"/>
      <c r="G84" s="118"/>
      <c r="H84" s="118"/>
      <c r="I84" s="118"/>
      <c r="J84" s="118"/>
      <c r="K84" s="303"/>
      <c r="L84" s="303"/>
      <c r="M84" s="314"/>
      <c r="N84" s="314"/>
      <c r="O84" s="315"/>
    </row>
    <row r="85" spans="1:15" outlineLevel="1">
      <c r="A85" s="300" t="s">
        <v>255</v>
      </c>
      <c r="B85" s="308">
        <f>O38</f>
        <v>0</v>
      </c>
      <c r="C85" s="301"/>
      <c r="D85" s="302" t="s">
        <v>256</v>
      </c>
      <c r="E85" s="312">
        <f>SUM(F85:O85)</f>
        <v>0</v>
      </c>
      <c r="F85" s="116"/>
      <c r="G85" s="116"/>
      <c r="H85" s="116"/>
      <c r="I85" s="116"/>
      <c r="J85" s="116"/>
      <c r="K85" s="309"/>
      <c r="L85" s="309"/>
      <c r="M85" s="309"/>
      <c r="N85" s="309"/>
      <c r="O85" s="310">
        <v>0</v>
      </c>
    </row>
    <row r="86" spans="1:15" outlineLevel="1">
      <c r="A86" s="300" t="s">
        <v>260</v>
      </c>
      <c r="B86" s="311"/>
      <c r="C86" s="301"/>
      <c r="D86" s="302" t="s">
        <v>258</v>
      </c>
      <c r="E86" s="312">
        <f>E85-SUM(F85:O85)</f>
        <v>0</v>
      </c>
      <c r="F86" s="118"/>
      <c r="G86" s="118"/>
      <c r="H86" s="118"/>
      <c r="I86" s="118"/>
      <c r="J86" s="118"/>
      <c r="K86" s="303"/>
      <c r="L86" s="303"/>
      <c r="M86" s="303"/>
      <c r="N86" s="303"/>
      <c r="O86" s="304"/>
    </row>
    <row r="87" spans="1:15" outlineLevel="1">
      <c r="A87" s="300"/>
      <c r="B87" s="307"/>
      <c r="C87" s="301"/>
      <c r="D87" s="302" t="s">
        <v>259</v>
      </c>
      <c r="E87" s="303"/>
      <c r="F87" s="118"/>
      <c r="G87" s="118"/>
      <c r="H87" s="118"/>
      <c r="I87" s="118"/>
      <c r="J87" s="118"/>
      <c r="K87" s="118"/>
      <c r="L87" s="118"/>
      <c r="M87" s="118"/>
      <c r="N87" s="118"/>
      <c r="O87" s="118">
        <f t="shared" ref="O87" si="36">IF(O85&lt;&gt;0,$K$38/$B$41,0)</f>
        <v>0</v>
      </c>
    </row>
    <row r="88" spans="1:15" outlineLevel="1">
      <c r="A88" s="300"/>
      <c r="B88" s="307"/>
      <c r="C88" s="301"/>
      <c r="D88" s="302" t="s">
        <v>261</v>
      </c>
      <c r="E88" s="303"/>
      <c r="F88" s="118"/>
      <c r="G88" s="118"/>
      <c r="H88" s="118"/>
      <c r="I88" s="118"/>
      <c r="J88" s="118"/>
      <c r="K88" s="118"/>
      <c r="L88" s="118"/>
      <c r="M88" s="118"/>
      <c r="N88" s="118"/>
      <c r="O88" s="118">
        <f t="shared" ref="O88" si="37">O87/12*O85</f>
        <v>0</v>
      </c>
    </row>
    <row r="89" spans="1:15" outlineLevel="1">
      <c r="A89" s="300"/>
      <c r="B89" s="307"/>
      <c r="C89" s="301"/>
      <c r="D89" s="302"/>
      <c r="E89" s="303"/>
      <c r="F89" s="118"/>
      <c r="G89" s="118"/>
      <c r="H89" s="118"/>
      <c r="I89" s="118"/>
      <c r="J89" s="118"/>
      <c r="K89" s="303"/>
      <c r="L89" s="303"/>
      <c r="M89" s="303"/>
      <c r="N89" s="303"/>
      <c r="O89" s="304"/>
    </row>
    <row r="90" spans="1:15" outlineLevel="1">
      <c r="A90" s="300" t="s">
        <v>262</v>
      </c>
      <c r="B90" s="316">
        <f>B21</f>
        <v>9515</v>
      </c>
      <c r="C90" s="301"/>
      <c r="D90" s="302" t="s">
        <v>263</v>
      </c>
      <c r="E90" s="303"/>
      <c r="F90" s="118">
        <f>+F38</f>
        <v>14000000</v>
      </c>
      <c r="G90" s="118">
        <f>+F91+G38</f>
        <v>24444444.444444444</v>
      </c>
      <c r="H90" s="118">
        <f>+G91+H38</f>
        <v>25511111.111111112</v>
      </c>
      <c r="I90" s="118">
        <f t="shared" ref="I90:O90" si="38">+H91+I38</f>
        <v>25944444.444444444</v>
      </c>
      <c r="J90" s="118">
        <f t="shared" si="38"/>
        <v>24627777.777777776</v>
      </c>
      <c r="K90" s="118">
        <f t="shared" si="38"/>
        <v>14644444.444444442</v>
      </c>
      <c r="L90" s="118">
        <f t="shared" si="38"/>
        <v>3661111.1111111082</v>
      </c>
      <c r="M90" s="118">
        <f t="shared" si="38"/>
        <v>0</v>
      </c>
      <c r="N90" s="118">
        <f t="shared" si="38"/>
        <v>0</v>
      </c>
      <c r="O90" s="313">
        <f t="shared" si="38"/>
        <v>0</v>
      </c>
    </row>
    <row r="91" spans="1:15" outlineLevel="1">
      <c r="A91" s="300" t="s">
        <v>264</v>
      </c>
      <c r="B91" s="244">
        <f>+B90/10.764</f>
        <v>883.96506874767749</v>
      </c>
      <c r="C91" s="301"/>
      <c r="D91" s="302" t="s">
        <v>265</v>
      </c>
      <c r="E91" s="303"/>
      <c r="F91" s="118">
        <f t="shared" ref="F91:O91" si="39">F90-F96</f>
        <v>12444444.444444444</v>
      </c>
      <c r="G91" s="118">
        <f>G90-G96</f>
        <v>20511111.111111112</v>
      </c>
      <c r="H91" s="118">
        <f t="shared" si="39"/>
        <v>19944444.444444444</v>
      </c>
      <c r="I91" s="118">
        <f>I90-I96</f>
        <v>18627777.777777776</v>
      </c>
      <c r="J91" s="118">
        <f t="shared" si="39"/>
        <v>14644444.444444442</v>
      </c>
      <c r="K91" s="118">
        <f t="shared" si="39"/>
        <v>3661111.1111111082</v>
      </c>
      <c r="L91" s="118">
        <f t="shared" si="39"/>
        <v>0</v>
      </c>
      <c r="M91" s="118">
        <f t="shared" si="39"/>
        <v>0</v>
      </c>
      <c r="N91" s="118">
        <f t="shared" si="39"/>
        <v>0</v>
      </c>
      <c r="O91" s="313">
        <f t="shared" si="39"/>
        <v>0</v>
      </c>
    </row>
    <row r="92" spans="1:15" outlineLevel="1">
      <c r="A92" s="300" t="s">
        <v>266</v>
      </c>
      <c r="B92" s="415" t="str">
        <f>B23</f>
        <v>2026</v>
      </c>
      <c r="C92" s="301"/>
      <c r="D92" s="302" t="s">
        <v>267</v>
      </c>
      <c r="E92" s="303"/>
      <c r="F92" s="118">
        <f t="shared" ref="F92:O92" si="40">(F90+F91)/2</f>
        <v>13222222.222222222</v>
      </c>
      <c r="G92" s="118">
        <f t="shared" si="40"/>
        <v>22477777.777777776</v>
      </c>
      <c r="H92" s="118">
        <f t="shared" si="40"/>
        <v>22727777.777777776</v>
      </c>
      <c r="I92" s="118">
        <f t="shared" si="40"/>
        <v>22286111.111111112</v>
      </c>
      <c r="J92" s="118">
        <f t="shared" si="40"/>
        <v>19636111.111111108</v>
      </c>
      <c r="K92" s="314">
        <f t="shared" si="40"/>
        <v>9152777.7777777761</v>
      </c>
      <c r="L92" s="314">
        <f t="shared" si="40"/>
        <v>1830555.5555555541</v>
      </c>
      <c r="M92" s="314">
        <f t="shared" si="40"/>
        <v>0</v>
      </c>
      <c r="N92" s="314">
        <f t="shared" si="40"/>
        <v>0</v>
      </c>
      <c r="O92" s="315">
        <f t="shared" si="40"/>
        <v>0</v>
      </c>
    </row>
    <row r="93" spans="1:15" outlineLevel="1">
      <c r="A93" s="300"/>
      <c r="B93" s="307"/>
      <c r="C93" s="301"/>
      <c r="D93" s="302"/>
      <c r="E93" s="303"/>
      <c r="F93" s="118"/>
      <c r="G93" s="118"/>
      <c r="H93" s="118"/>
      <c r="I93" s="118"/>
      <c r="J93" s="118"/>
      <c r="K93" s="314"/>
      <c r="L93" s="314"/>
      <c r="M93" s="314"/>
      <c r="N93" s="314"/>
      <c r="O93" s="304"/>
    </row>
    <row r="94" spans="1:15" outlineLevel="1">
      <c r="A94" s="300"/>
      <c r="B94" s="307"/>
      <c r="C94" s="301"/>
      <c r="D94" s="302"/>
      <c r="E94" s="303"/>
      <c r="F94" s="118"/>
      <c r="G94" s="118"/>
      <c r="H94" s="118"/>
      <c r="I94" s="118"/>
      <c r="J94" s="118"/>
      <c r="K94" s="314"/>
      <c r="L94" s="314"/>
      <c r="M94" s="314"/>
      <c r="N94" s="314"/>
      <c r="O94" s="304"/>
    </row>
    <row r="95" spans="1:15" outlineLevel="1">
      <c r="A95" s="300"/>
      <c r="B95" s="307"/>
      <c r="C95" s="301"/>
      <c r="D95" s="302" t="s">
        <v>268</v>
      </c>
      <c r="E95" s="312">
        <f>SUM(F95:O95)</f>
        <v>7515665</v>
      </c>
      <c r="F95" s="118">
        <f>F92*$B$38/12*F40</f>
        <v>626733.33333333326</v>
      </c>
      <c r="G95" s="118">
        <f t="shared" ref="G95:M95" si="41">G92*$B$38/12*G40</f>
        <v>1598169.9999999998</v>
      </c>
      <c r="H95" s="118">
        <f t="shared" si="41"/>
        <v>1615944.9999999998</v>
      </c>
      <c r="I95" s="118">
        <f t="shared" si="41"/>
        <v>1584542.5</v>
      </c>
      <c r="J95" s="118">
        <f t="shared" si="41"/>
        <v>1396127.4999999998</v>
      </c>
      <c r="K95" s="118">
        <f t="shared" si="41"/>
        <v>650762.49999999988</v>
      </c>
      <c r="L95" s="118">
        <f t="shared" si="41"/>
        <v>43384.166666666628</v>
      </c>
      <c r="M95" s="118">
        <f t="shared" si="41"/>
        <v>0</v>
      </c>
      <c r="N95" s="118">
        <f>N92*$B$40/12*N7</f>
        <v>0</v>
      </c>
      <c r="O95" s="313"/>
    </row>
    <row r="96" spans="1:15" outlineLevel="1">
      <c r="A96" s="300" t="s">
        <v>269</v>
      </c>
      <c r="B96" s="248">
        <f>E99*E47</f>
        <v>0</v>
      </c>
      <c r="C96" s="301"/>
      <c r="D96" s="302" t="s">
        <v>270</v>
      </c>
      <c r="E96" s="312">
        <f>SUM(F96:O96)</f>
        <v>43000000.000000007</v>
      </c>
      <c r="F96" s="118">
        <f t="shared" ref="F96:O96" si="42">+F43+F48+F53+F58+F63+F68+F73+F78</f>
        <v>1555555.5555555557</v>
      </c>
      <c r="G96" s="118">
        <f t="shared" si="42"/>
        <v>3933333.3333333335</v>
      </c>
      <c r="H96" s="118">
        <f t="shared" si="42"/>
        <v>5566666.666666667</v>
      </c>
      <c r="I96" s="118">
        <f t="shared" si="42"/>
        <v>7316666.666666667</v>
      </c>
      <c r="J96" s="118">
        <f t="shared" si="42"/>
        <v>9983333.333333334</v>
      </c>
      <c r="K96" s="118">
        <f t="shared" si="42"/>
        <v>10983333.333333334</v>
      </c>
      <c r="L96" s="118">
        <f t="shared" si="42"/>
        <v>3661111.1111111115</v>
      </c>
      <c r="M96" s="118">
        <f t="shared" si="42"/>
        <v>0</v>
      </c>
      <c r="N96" s="118">
        <f t="shared" si="42"/>
        <v>0</v>
      </c>
      <c r="O96" s="118">
        <f t="shared" si="42"/>
        <v>0</v>
      </c>
    </row>
    <row r="97" spans="1:15" outlineLevel="1">
      <c r="A97" s="300"/>
      <c r="B97" s="307"/>
      <c r="C97" s="301"/>
      <c r="D97" s="302"/>
      <c r="E97" s="303"/>
      <c r="F97" s="118"/>
      <c r="G97" s="118"/>
      <c r="H97" s="118"/>
      <c r="I97" s="118"/>
      <c r="J97" s="118"/>
      <c r="K97" s="314"/>
      <c r="L97" s="314"/>
      <c r="M97" s="314"/>
      <c r="N97" s="314"/>
      <c r="O97" s="304"/>
    </row>
    <row r="98" spans="1:15" outlineLevel="1">
      <c r="A98" s="300" t="s">
        <v>271</v>
      </c>
      <c r="B98" s="317">
        <f>IFERROR(+E99/B90,0)</f>
        <v>73.736884743387648</v>
      </c>
      <c r="C98" s="301"/>
      <c r="D98" s="302"/>
      <c r="E98" s="303"/>
      <c r="F98" s="118">
        <f t="shared" ref="F98:O98" si="43">SUM(F95:F97)</f>
        <v>2182288.888888889</v>
      </c>
      <c r="G98" s="118">
        <f t="shared" si="43"/>
        <v>5531503.333333333</v>
      </c>
      <c r="H98" s="118">
        <f t="shared" si="43"/>
        <v>7182611.666666667</v>
      </c>
      <c r="I98" s="118">
        <f t="shared" si="43"/>
        <v>8901209.1666666679</v>
      </c>
      <c r="J98" s="118">
        <f t="shared" si="43"/>
        <v>11379460.833333334</v>
      </c>
      <c r="K98" s="118">
        <f t="shared" si="43"/>
        <v>11634095.833333334</v>
      </c>
      <c r="L98" s="118">
        <f t="shared" si="43"/>
        <v>3704495.277777778</v>
      </c>
      <c r="M98" s="118">
        <f t="shared" si="43"/>
        <v>0</v>
      </c>
      <c r="N98" s="118">
        <f t="shared" si="43"/>
        <v>0</v>
      </c>
      <c r="O98" s="313">
        <f t="shared" si="43"/>
        <v>0</v>
      </c>
    </row>
    <row r="99" spans="1:15" ht="13" outlineLevel="1" thickBot="1">
      <c r="A99" s="318" t="s">
        <v>272</v>
      </c>
      <c r="B99" s="319">
        <f>IFERROR(+E99/B91,0)</f>
        <v>793.70382737782461</v>
      </c>
      <c r="C99" s="320"/>
      <c r="D99" s="321" t="s">
        <v>273</v>
      </c>
      <c r="E99" s="257">
        <f>IFERROR(SUM(F95:O96)/E40,0)</f>
        <v>701606.45833333349</v>
      </c>
      <c r="F99" s="166"/>
      <c r="G99" s="166"/>
      <c r="H99" s="166"/>
      <c r="I99" s="166"/>
      <c r="J99" s="166"/>
      <c r="K99" s="322"/>
      <c r="L99" s="322"/>
      <c r="M99" s="322"/>
      <c r="N99" s="322"/>
      <c r="O99" s="323"/>
    </row>
    <row r="100" spans="1:15" ht="13" outlineLevel="1" thickBot="1">
      <c r="E100" s="347"/>
      <c r="F100" s="175"/>
      <c r="G100" s="175"/>
      <c r="H100" s="175"/>
      <c r="I100" s="175"/>
    </row>
    <row r="101" spans="1:15" ht="16" thickBot="1">
      <c r="A101" s="717"/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9"/>
    </row>
    <row r="102" spans="1:15">
      <c r="A102" s="167"/>
      <c r="B102" s="261"/>
      <c r="C102" s="168"/>
      <c r="D102" s="168"/>
      <c r="E102" s="168"/>
      <c r="F102" s="169"/>
      <c r="G102" s="169"/>
      <c r="H102" s="169"/>
      <c r="I102" s="169"/>
      <c r="J102" s="169"/>
      <c r="K102" s="170"/>
      <c r="L102" s="170"/>
      <c r="M102" s="168"/>
      <c r="N102" s="168"/>
      <c r="O102" s="242"/>
    </row>
    <row r="103" spans="1:15">
      <c r="A103" s="162"/>
      <c r="B103" s="116"/>
      <c r="C103" s="115"/>
      <c r="D103" s="115"/>
      <c r="E103" s="115"/>
      <c r="F103" s="118"/>
      <c r="G103" s="118"/>
      <c r="H103" s="118"/>
      <c r="I103" s="118"/>
      <c r="J103" s="118"/>
      <c r="K103" s="115"/>
      <c r="L103" s="115"/>
      <c r="M103" s="115"/>
      <c r="N103" s="115"/>
      <c r="O103" s="163"/>
    </row>
    <row r="104" spans="1:15">
      <c r="A104" s="162" t="s">
        <v>275</v>
      </c>
      <c r="B104" s="116">
        <f>F104+G104+H104+I104+J104+K104</f>
        <v>2500000</v>
      </c>
      <c r="C104" s="115"/>
      <c r="D104" s="255"/>
      <c r="E104" s="115"/>
      <c r="F104" s="118">
        <v>1500000</v>
      </c>
      <c r="G104" s="118">
        <v>200000</v>
      </c>
      <c r="H104" s="118">
        <v>200000</v>
      </c>
      <c r="I104" s="118">
        <v>200000</v>
      </c>
      <c r="J104" s="118">
        <v>200000</v>
      </c>
      <c r="K104" s="118">
        <v>200000</v>
      </c>
      <c r="L104" s="500"/>
      <c r="M104" s="500"/>
      <c r="N104" s="500"/>
      <c r="O104" s="501"/>
    </row>
    <row r="105" spans="1:15">
      <c r="A105" s="162" t="s">
        <v>322</v>
      </c>
      <c r="B105" s="121">
        <f>((B104/B21))/E3</f>
        <v>3.6492088515209904</v>
      </c>
      <c r="C105" s="115"/>
      <c r="D105" s="115"/>
      <c r="E105" s="115"/>
      <c r="F105" s="118"/>
      <c r="G105" s="118"/>
      <c r="H105" s="118"/>
      <c r="I105" s="118"/>
      <c r="J105" s="118"/>
      <c r="K105" s="115"/>
      <c r="L105" s="115"/>
      <c r="M105" s="115"/>
      <c r="N105" s="115"/>
      <c r="O105" s="163"/>
    </row>
    <row r="106" spans="1:15" ht="13" thickBot="1">
      <c r="A106" s="164" t="s">
        <v>323</v>
      </c>
      <c r="B106" s="258">
        <f>B105*10.764</f>
        <v>39.280084077771939</v>
      </c>
      <c r="C106" s="165"/>
      <c r="D106" s="165"/>
      <c r="E106" s="257"/>
      <c r="F106" s="166"/>
      <c r="G106" s="166"/>
      <c r="H106" s="166"/>
      <c r="I106" s="166"/>
      <c r="J106" s="166"/>
      <c r="K106" s="166"/>
      <c r="L106" s="166"/>
      <c r="M106" s="166"/>
      <c r="N106" s="166"/>
      <c r="O106" s="260"/>
    </row>
    <row r="107" spans="1:15">
      <c r="B107" s="347"/>
      <c r="F107" s="293"/>
      <c r="G107" s="293"/>
      <c r="H107" s="293"/>
      <c r="I107" s="293"/>
      <c r="J107" s="291"/>
    </row>
    <row r="108" spans="1:15" ht="13">
      <c r="B108" s="280"/>
      <c r="E108" s="351"/>
      <c r="F108" s="346"/>
      <c r="G108" s="346"/>
      <c r="H108" s="346"/>
      <c r="I108" s="346"/>
    </row>
    <row r="109" spans="1:15">
      <c r="B109" s="284"/>
      <c r="D109" s="357"/>
      <c r="F109" s="346"/>
      <c r="G109" s="346"/>
      <c r="H109" s="346"/>
      <c r="I109" s="346"/>
    </row>
    <row r="110" spans="1:15">
      <c r="B110" s="284"/>
    </row>
    <row r="111" spans="1:15">
      <c r="B111" s="354"/>
      <c r="E111" s="284"/>
    </row>
    <row r="112" spans="1:15">
      <c r="B112" s="354"/>
      <c r="E112" s="284"/>
      <c r="F112" s="293"/>
      <c r="G112" s="293"/>
      <c r="H112" s="293"/>
      <c r="I112" s="293"/>
      <c r="J112" s="293"/>
    </row>
    <row r="114" spans="2:5">
      <c r="B114" s="284"/>
      <c r="E114" s="284"/>
    </row>
    <row r="116" spans="2:5">
      <c r="B116" s="357"/>
    </row>
    <row r="117" spans="2:5">
      <c r="B117" s="354"/>
    </row>
  </sheetData>
  <mergeCells count="3">
    <mergeCell ref="A1:N1"/>
    <mergeCell ref="A35:O35"/>
    <mergeCell ref="A101:O101"/>
  </mergeCells>
  <pageMargins left="0.7" right="0.7" top="0.75" bottom="0.75" header="0.3" footer="0.3"/>
  <pageSetup paperSize="9" scale="72" orientation="landscape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2:M25"/>
  <sheetViews>
    <sheetView topLeftCell="A4" workbookViewId="0">
      <selection activeCell="C17" sqref="C17"/>
    </sheetView>
  </sheetViews>
  <sheetFormatPr defaultColWidth="9.36328125" defaultRowHeight="12.5"/>
  <cols>
    <col min="1" max="1" width="25.54296875" style="174" bestFit="1" customWidth="1"/>
    <col min="2" max="2" width="21.453125" style="174" bestFit="1" customWidth="1"/>
    <col min="3" max="3" width="21.453125" style="174" customWidth="1"/>
    <col min="4" max="4" width="19.1796875" style="174" bestFit="1" customWidth="1"/>
    <col min="5" max="10" width="16" style="174" bestFit="1" customWidth="1"/>
    <col min="11" max="12" width="11.36328125" style="174" bestFit="1" customWidth="1"/>
    <col min="13" max="13" width="17" style="174" bestFit="1" customWidth="1"/>
    <col min="14" max="16384" width="9.36328125" style="174"/>
  </cols>
  <sheetData>
    <row r="2" spans="1:13" ht="13">
      <c r="C2" s="176"/>
    </row>
    <row r="5" spans="1:13">
      <c r="C5" s="178"/>
      <c r="M5" s="175"/>
    </row>
    <row r="7" spans="1:13">
      <c r="C7" s="175"/>
    </row>
    <row r="8" spans="1:13" ht="13">
      <c r="A8" s="529"/>
      <c r="B8" s="530" t="s">
        <v>36</v>
      </c>
      <c r="C8" s="531" t="s">
        <v>276</v>
      </c>
      <c r="D8" s="531" t="s">
        <v>277</v>
      </c>
    </row>
    <row r="9" spans="1:13">
      <c r="A9" s="274" t="s">
        <v>57</v>
      </c>
      <c r="B9" s="353">
        <v>0</v>
      </c>
      <c r="C9" s="353">
        <f>+B9*'Rent Calculation'!F28/12*33.5</f>
        <v>0</v>
      </c>
      <c r="D9" s="276"/>
      <c r="F9" s="355"/>
    </row>
    <row r="10" spans="1:13">
      <c r="A10" s="274" t="s">
        <v>278</v>
      </c>
      <c r="B10" s="353">
        <f>'Rent Calculation'!F67</f>
        <v>11418000</v>
      </c>
      <c r="C10" s="353">
        <f>+B10*'Rent Calculation'!F28/12*B16</f>
        <v>7193340</v>
      </c>
      <c r="D10" s="276"/>
      <c r="E10" s="355"/>
      <c r="F10" s="355"/>
    </row>
    <row r="11" spans="1:13">
      <c r="A11" s="274" t="s">
        <v>279</v>
      </c>
      <c r="B11" s="353">
        <f>'Rent Calculation'!F71</f>
        <v>0</v>
      </c>
      <c r="C11" s="353">
        <f>+B11*'Rent Calculation'!F28/12*B16</f>
        <v>0</v>
      </c>
      <c r="D11" s="276"/>
      <c r="E11" s="355"/>
      <c r="F11" s="282"/>
    </row>
    <row r="12" spans="1:13">
      <c r="A12" s="274" t="s">
        <v>297</v>
      </c>
      <c r="B12" s="353">
        <f>+'Rent Calculation'!F69</f>
        <v>500000</v>
      </c>
      <c r="C12" s="353">
        <f>+B12*'Rent Calculation'!F28*3</f>
        <v>157500</v>
      </c>
      <c r="D12" s="276"/>
      <c r="E12" s="355"/>
      <c r="F12" s="282"/>
    </row>
    <row r="13" spans="1:13" ht="13">
      <c r="A13" s="275" t="s">
        <v>29</v>
      </c>
      <c r="B13" s="278">
        <f>SUM(B9:B12)</f>
        <v>11918000</v>
      </c>
      <c r="C13" s="177">
        <f>SUM(C9:C12)</f>
        <v>7350840</v>
      </c>
      <c r="D13" s="283"/>
      <c r="E13" s="355"/>
      <c r="F13" s="282"/>
    </row>
    <row r="14" spans="1:13">
      <c r="A14" s="185" t="s">
        <v>280</v>
      </c>
      <c r="B14" s="185">
        <f>'Rent Calculation'!F21</f>
        <v>9515</v>
      </c>
      <c r="C14" s="185"/>
      <c r="D14" s="277"/>
      <c r="E14" s="355"/>
      <c r="F14" s="282"/>
    </row>
    <row r="15" spans="1:13">
      <c r="A15" s="185" t="s">
        <v>281</v>
      </c>
      <c r="B15" s="378">
        <f>'Rent Calculation'!F28</f>
        <v>0.105</v>
      </c>
      <c r="C15" s="185"/>
      <c r="D15" s="277"/>
      <c r="E15" s="355"/>
      <c r="F15" s="282"/>
    </row>
    <row r="16" spans="1:13">
      <c r="A16" s="185" t="s">
        <v>282</v>
      </c>
      <c r="B16" s="574">
        <f>'Rent Calculation'!F54</f>
        <v>72</v>
      </c>
      <c r="C16" s="185"/>
      <c r="D16" s="277"/>
      <c r="E16" s="355"/>
      <c r="F16" s="282"/>
    </row>
    <row r="17" spans="1:8" ht="13">
      <c r="A17" s="275" t="s">
        <v>283</v>
      </c>
      <c r="B17" s="275"/>
      <c r="C17" s="279">
        <f>C13/(B14*B16)</f>
        <v>10.729900157645822</v>
      </c>
      <c r="D17" s="277"/>
    </row>
    <row r="20" spans="1:8">
      <c r="B20" s="356"/>
    </row>
    <row r="21" spans="1:8">
      <c r="A21" s="407" t="s">
        <v>286</v>
      </c>
      <c r="B21" s="407" t="s">
        <v>287</v>
      </c>
      <c r="C21" s="407" t="s">
        <v>288</v>
      </c>
      <c r="D21" s="406"/>
    </row>
    <row r="22" spans="1:8">
      <c r="A22" s="407" t="s">
        <v>289</v>
      </c>
      <c r="B22" s="354">
        <f>'Rent Calculation'!F21</f>
        <v>9515</v>
      </c>
      <c r="C22" s="495">
        <f>'Rent Calculation'!G21</f>
        <v>883.96506874767749</v>
      </c>
      <c r="D22" s="407" t="s">
        <v>290</v>
      </c>
      <c r="G22" s="454"/>
    </row>
    <row r="23" spans="1:8" ht="25">
      <c r="A23" s="408" t="s">
        <v>291</v>
      </c>
      <c r="B23" s="405">
        <f>IF(B22&lt;50000,82.6,62.72)</f>
        <v>82.6</v>
      </c>
      <c r="C23" s="411">
        <f>B23*10.764</f>
        <v>889.10639999999989</v>
      </c>
      <c r="D23" s="355">
        <f>B22*B23</f>
        <v>785939</v>
      </c>
      <c r="F23" s="356"/>
      <c r="G23" s="454"/>
      <c r="H23" s="356"/>
    </row>
    <row r="24" spans="1:8">
      <c r="A24" s="406"/>
      <c r="B24" s="406"/>
      <c r="C24" s="406"/>
      <c r="D24" s="409">
        <f>D23/B16</f>
        <v>10915.819444444445</v>
      </c>
      <c r="G24" s="454"/>
      <c r="H24" s="356"/>
    </row>
    <row r="25" spans="1:8" ht="13">
      <c r="A25" s="406"/>
      <c r="B25" s="406"/>
      <c r="C25" s="406"/>
      <c r="D25" s="410">
        <f>D24/B22</f>
        <v>1.1472222222222224</v>
      </c>
      <c r="G25" s="454"/>
      <c r="H25" s="356"/>
    </row>
  </sheetData>
  <pageMargins left="0.7" right="0.7" top="0.75" bottom="0.75" header="0.3" footer="0.3"/>
  <pageSetup paperSize="9" orientation="portrait" horizontalDpi="300" r:id="rId1"/>
  <headerFooter>
    <oddFooter>&amp;LUnrestricted</oddFooter>
  </headerFooter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7921E7373C1341A3C877D189CE8922" ma:contentTypeVersion="16" ma:contentTypeDescription="Create a new document." ma:contentTypeScope="" ma:versionID="2036b66ca2b7955135caa708c7901a86">
  <xsd:schema xmlns:xsd="http://www.w3.org/2001/XMLSchema" xmlns:xs="http://www.w3.org/2001/XMLSchema" xmlns:p="http://schemas.microsoft.com/office/2006/metadata/properties" xmlns:ns2="d83aeb52-d2fa-41b9-9c50-14da36e1ffc1" xmlns:ns3="c08142bf-fe70-4204-ae0f-fc8dda0aa6d8" targetNamespace="http://schemas.microsoft.com/office/2006/metadata/properties" ma:root="true" ma:fieldsID="fed2217af4f675ffeab875e34aa73a78" ns2:_="" ns3:_="">
    <xsd:import namespace="d83aeb52-d2fa-41b9-9c50-14da36e1ffc1"/>
    <xsd:import namespace="c08142bf-fe70-4204-ae0f-fc8dda0aa6d8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aeb52-d2fa-41b9-9c50-14da36e1ffc1" elementFormDefault="qualified">
    <xsd:import namespace="http://schemas.microsoft.com/office/2006/documentManagement/types"/>
    <xsd:import namespace="http://schemas.microsoft.com/office/infopath/2007/PartnerControls"/>
    <xsd:element name="Status" ma:index="8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142bf-fe70-4204-ae0f-fc8dda0aa6d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39b05f-1bf0-4c88-a674-906d04b2fc70}" ma:internalName="TaxCatchAll" ma:showField="CatchAllData" ma:web="c08142bf-fe70-4204-ae0f-fc8dda0aa6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3aeb52-d2fa-41b9-9c50-14da36e1ffc1">
      <Terms xmlns="http://schemas.microsoft.com/office/infopath/2007/PartnerControls"/>
    </lcf76f155ced4ddcb4097134ff3c332f>
    <TaxCatchAll xmlns="c08142bf-fe70-4204-ae0f-fc8dda0aa6d8" xsi:nil="true"/>
    <Status xmlns="d83aeb52-d2fa-41b9-9c50-14da36e1ff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719E29-C329-4AB1-8ED0-5CC29C0FF7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3aeb52-d2fa-41b9-9c50-14da36e1ffc1"/>
    <ds:schemaRef ds:uri="c08142bf-fe70-4204-ae0f-fc8dda0aa6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D5BE44-B07C-4182-BC7A-71E5962390BD}">
  <ds:schemaRefs>
    <ds:schemaRef ds:uri="http://schemas.microsoft.com/office/2006/metadata/properties"/>
    <ds:schemaRef ds:uri="http://schemas.microsoft.com/office/infopath/2007/PartnerControls"/>
    <ds:schemaRef ds:uri="d83aeb52-d2fa-41b9-9c50-14da36e1ffc1"/>
    <ds:schemaRef ds:uri="c08142bf-fe70-4204-ae0f-fc8dda0aa6d8"/>
  </ds:schemaRefs>
</ds:datastoreItem>
</file>

<file path=customXml/itemProps3.xml><?xml version="1.0" encoding="utf-8"?>
<ds:datastoreItem xmlns:ds="http://schemas.openxmlformats.org/officeDocument/2006/customXml" ds:itemID="{BC57694E-BA35-486E-AC74-B7B624F1FDE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59b6cd5-d141-4a33-8bf1-0ca04484304f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Main</vt:lpstr>
      <vt:lpstr>Rent Calculation</vt:lpstr>
      <vt:lpstr>Lease Size</vt:lpstr>
      <vt:lpstr>Lease Rent</vt:lpstr>
      <vt:lpstr>CAPEX and PM</vt:lpstr>
      <vt:lpstr>Security Deposit</vt:lpstr>
      <vt:lpstr>'Rent Calculation'!Print_Area</vt:lpstr>
      <vt:lpstr>'Rent Calculation'!Print_Titles</vt:lpstr>
    </vt:vector>
  </TitlesOfParts>
  <Manager/>
  <Company>Siemens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in216194</dc:creator>
  <cp:keywords>C_Restricted</cp:keywords>
  <dc:description/>
  <cp:lastModifiedBy>GAVATAR SRE</cp:lastModifiedBy>
  <cp:revision/>
  <cp:lastPrinted>2026-06-13T09:54:48Z</cp:lastPrinted>
  <dcterms:created xsi:type="dcterms:W3CDTF">2015-09-30T07:11:28Z</dcterms:created>
  <dcterms:modified xsi:type="dcterms:W3CDTF">2026-06-16T07:05:23Z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  <property fmtid="{D5CDD505-2E9C-101B-9397-08002B2CF9AE}" pid="3" name="_NewReviewCycle">
    <vt:lpwstr/>
  </property>
  <property fmtid="{D5CDD505-2E9C-101B-9397-08002B2CF9AE}" pid="4" name="CustomUiType">
    <vt:lpwstr>2</vt:lpwstr>
  </property>
  <property fmtid="{D5CDD505-2E9C-101B-9397-08002B2CF9AE}" pid="5" name="MSIP_Label_a59b6cd5-d141-4a33-8bf1-0ca04484304f_Enabled">
    <vt:lpwstr>true</vt:lpwstr>
  </property>
  <property fmtid="{D5CDD505-2E9C-101B-9397-08002B2CF9AE}" pid="6" name="MSIP_Label_a59b6cd5-d141-4a33-8bf1-0ca04484304f_SetDate">
    <vt:lpwstr>2022-01-25T07:40:57Z</vt:lpwstr>
  </property>
  <property fmtid="{D5CDD505-2E9C-101B-9397-08002B2CF9AE}" pid="7" name="MSIP_Label_a59b6cd5-d141-4a33-8bf1-0ca04484304f_Method">
    <vt:lpwstr>Standard</vt:lpwstr>
  </property>
  <property fmtid="{D5CDD505-2E9C-101B-9397-08002B2CF9AE}" pid="8" name="MSIP_Label_a59b6cd5-d141-4a33-8bf1-0ca04484304f_Name">
    <vt:lpwstr>restricted-default</vt:lpwstr>
  </property>
  <property fmtid="{D5CDD505-2E9C-101B-9397-08002B2CF9AE}" pid="9" name="MSIP_Label_a59b6cd5-d141-4a33-8bf1-0ca04484304f_SiteId">
    <vt:lpwstr>38ae3bcd-9579-4fd4-adda-b42e1495d55a</vt:lpwstr>
  </property>
  <property fmtid="{D5CDD505-2E9C-101B-9397-08002B2CF9AE}" pid="10" name="MSIP_Label_a59b6cd5-d141-4a33-8bf1-0ca04484304f_ActionId">
    <vt:lpwstr>3c279d14-5217-4c0c-960e-917fd57be7a3</vt:lpwstr>
  </property>
  <property fmtid="{D5CDD505-2E9C-101B-9397-08002B2CF9AE}" pid="11" name="MSIP_Label_a59b6cd5-d141-4a33-8bf1-0ca04484304f_ContentBits">
    <vt:lpwstr>0</vt:lpwstr>
  </property>
  <property fmtid="{D5CDD505-2E9C-101B-9397-08002B2CF9AE}" pid="12" name="Document_Confidentiality">
    <vt:lpwstr>Restricted</vt:lpwstr>
  </property>
  <property fmtid="{D5CDD505-2E9C-101B-9397-08002B2CF9AE}" pid="13" name="ContentTypeId">
    <vt:lpwstr>0x010100907921E7373C1341A3C877D189CE8922</vt:lpwstr>
  </property>
  <property fmtid="{D5CDD505-2E9C-101B-9397-08002B2CF9AE}" pid="14" name="MediaServiceImageTags">
    <vt:lpwstr/>
  </property>
</Properties>
</file>